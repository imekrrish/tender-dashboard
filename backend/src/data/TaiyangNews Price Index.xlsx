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heme/themeOverride1.xml" ContentType="application/vnd.openxmlformats-officedocument.themeOverride+xml"/>
  <Override PartName="/xl/drawings/drawing4.xml" ContentType="application/vnd.openxmlformats-officedocument.drawingml.chartshapes+xml"/>
  <Override PartName="/xl/drawings/drawing5.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6.xml" ContentType="application/vnd.openxmlformats-officedocument.drawingml.chartshapes+xml"/>
  <Override PartName="/xl/drawings/drawing7.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heme/themeOverride2.xml" ContentType="application/vnd.openxmlformats-officedocument.themeOverride+xml"/>
  <Override PartName="/xl/drawings/drawing8.xml" ContentType="application/vnd.openxmlformats-officedocument.drawingml.chartshapes+xml"/>
  <Override PartName="/xl/drawings/drawing9.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heme/themeOverride3.xml" ContentType="application/vnd.openxmlformats-officedocument.themeOverride+xml"/>
  <Override PartName="/xl/drawings/drawing10.xml" ContentType="application/vnd.openxmlformats-officedocument.drawingml.chartshape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516"/>
  <workbookPr codeName="ThisWorkbook"/>
  <mc:AlternateContent xmlns:mc="http://schemas.openxmlformats.org/markup-compatibility/2006">
    <mc:Choice Requires="x15">
      <x15ac:absPath xmlns:x15ac="http://schemas.microsoft.com/office/spreadsheetml/2010/11/ac" url="https://taiyangnewsinfo-my.sharepoint.com/personal/vikranth_taiyangnews_info/Documents/Price Index/2026/Week 37/"/>
    </mc:Choice>
  </mc:AlternateContent>
  <xr:revisionPtr revIDLastSave="0" documentId="8_{EAF47E5E-4309-458A-802A-C57D46612A5A}" xr6:coauthVersionLast="47" xr6:coauthVersionMax="47" xr10:uidLastSave="{00000000-0000-0000-0000-000000000000}"/>
  <bookViews>
    <workbookView xWindow="-120" yWindow="-120" windowWidth="29040" windowHeight="15720" firstSheet="2" activeTab="2" xr2:uid="{00000000-000D-0000-FFFF-FFFF00000000}"/>
  </bookViews>
  <sheets>
    <sheet name="Sheet2" sheetId="2" r:id="rId1"/>
    <sheet name="Sheet1" sheetId="1" r:id="rId2"/>
    <sheet name="Table" sheetId="3" r:id="rId3"/>
    <sheet name="polysilicon" sheetId="4" r:id="rId4"/>
    <sheet name="Wafer" sheetId="5" r:id="rId5"/>
    <sheet name="cells" sheetId="6" r:id="rId6"/>
    <sheet name="modules" sheetId="7" r:id="rId7"/>
    <sheet name="glass" sheetId="8" r:id="rId8"/>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S5" i="8" l="1"/>
  <c r="DP5" i="8"/>
  <c r="DI5" i="8"/>
  <c r="A5" i="8"/>
  <c r="DS4" i="8"/>
  <c r="DP4" i="8"/>
  <c r="DI4" i="8"/>
  <c r="A4" i="8"/>
  <c r="DS14" i="7"/>
  <c r="DR14" i="7"/>
  <c r="DS12" i="7"/>
  <c r="DP12" i="7"/>
  <c r="DI12" i="7"/>
  <c r="DS11" i="7"/>
  <c r="DP11" i="7"/>
  <c r="DI11" i="7"/>
  <c r="DS10" i="7"/>
  <c r="DP10" i="7"/>
  <c r="DI10" i="7"/>
  <c r="DS8" i="7"/>
  <c r="DP8" i="7"/>
  <c r="DI8" i="7"/>
  <c r="DS7" i="7"/>
  <c r="DP7" i="7"/>
  <c r="DI7" i="7"/>
  <c r="DS6" i="7"/>
  <c r="DP6" i="7"/>
  <c r="DI6" i="7"/>
  <c r="DS5" i="7"/>
  <c r="DP5" i="7"/>
  <c r="DI5" i="7"/>
  <c r="DS4" i="7"/>
  <c r="DP4" i="7"/>
  <c r="DI4" i="7"/>
  <c r="DS8" i="6"/>
  <c r="DP8" i="6"/>
  <c r="DI8" i="6"/>
  <c r="DS7" i="6"/>
  <c r="DP7" i="6"/>
  <c r="DI7" i="6"/>
  <c r="DS6" i="6"/>
  <c r="DP6" i="6"/>
  <c r="DI6" i="6"/>
  <c r="DS5" i="6"/>
  <c r="DP5" i="6"/>
  <c r="DI5" i="6"/>
  <c r="DS4" i="6"/>
  <c r="DP4" i="6"/>
  <c r="DI4" i="6"/>
  <c r="DS9" i="5"/>
  <c r="DP9" i="5"/>
  <c r="DI9" i="5"/>
  <c r="DS8" i="5"/>
  <c r="DP8" i="5"/>
  <c r="DI8" i="5"/>
  <c r="DS7" i="5"/>
  <c r="DP7" i="5"/>
  <c r="DI7" i="5"/>
  <c r="DI5" i="5"/>
  <c r="DI4" i="5"/>
  <c r="DS8" i="4"/>
  <c r="DP8" i="4"/>
  <c r="DI8" i="4"/>
  <c r="DS7" i="4"/>
  <c r="DP7" i="4"/>
  <c r="DI7" i="4"/>
  <c r="DS6" i="4"/>
  <c r="DP6" i="4"/>
  <c r="DI6" i="4"/>
  <c r="DS5" i="4"/>
  <c r="DP5" i="4"/>
  <c r="DI5" i="4"/>
  <c r="DS4" i="4"/>
  <c r="DP4" i="4"/>
  <c r="DI4" i="4"/>
  <c r="GF41" i="1"/>
  <c r="GF5" i="8" s="1"/>
  <c r="GE41" i="1"/>
  <c r="GE5" i="8" s="1"/>
  <c r="GD41" i="1"/>
  <c r="GD5" i="8" s="1"/>
  <c r="GC41" i="1"/>
  <c r="GC5" i="8" s="1"/>
  <c r="GB41" i="1"/>
  <c r="GA41" i="1"/>
  <c r="GA5" i="8" s="1"/>
  <c r="FZ41" i="1"/>
  <c r="FZ5" i="8" s="1"/>
  <c r="FY41" i="1"/>
  <c r="FY5" i="8" s="1"/>
  <c r="FX41" i="1"/>
  <c r="FX5" i="8" s="1"/>
  <c r="FW41" i="1"/>
  <c r="FW5" i="8" s="1"/>
  <c r="FV41" i="1"/>
  <c r="FV5" i="8" s="1"/>
  <c r="FU41" i="1"/>
  <c r="FU5" i="8" s="1"/>
  <c r="FT41" i="1"/>
  <c r="FS41" i="1"/>
  <c r="FS5" i="8" s="1"/>
  <c r="FR41" i="1"/>
  <c r="FR5" i="8" s="1"/>
  <c r="FQ41" i="1"/>
  <c r="FQ5" i="8" s="1"/>
  <c r="FP41" i="1"/>
  <c r="FP5" i="8" s="1"/>
  <c r="FO41" i="1"/>
  <c r="FO5" i="8" s="1"/>
  <c r="FN41" i="1"/>
  <c r="FN5" i="8" s="1"/>
  <c r="FM41" i="1"/>
  <c r="FL41" i="1"/>
  <c r="FK41" i="1"/>
  <c r="FK5" i="8" s="1"/>
  <c r="FJ41" i="1"/>
  <c r="FJ5" i="8" s="1"/>
  <c r="FI41" i="1"/>
  <c r="FI5" i="8" s="1"/>
  <c r="FH41" i="1"/>
  <c r="FG41" i="1"/>
  <c r="FG5" i="8" s="1"/>
  <c r="FF41" i="1"/>
  <c r="FF5" i="8" s="1"/>
  <c r="FE41" i="1"/>
  <c r="FE5" i="8" s="1"/>
  <c r="FD41" i="1"/>
  <c r="FC41" i="1"/>
  <c r="FC5" i="8" s="1"/>
  <c r="FB41" i="1"/>
  <c r="FB5" i="8" s="1"/>
  <c r="FA41" i="1"/>
  <c r="FA5" i="8" s="1"/>
  <c r="EZ41" i="1"/>
  <c r="EZ5" i="8" s="1"/>
  <c r="EY41" i="1"/>
  <c r="EY5" i="8" s="1"/>
  <c r="EX41" i="1"/>
  <c r="EX5" i="8" s="1"/>
  <c r="EW41" i="1"/>
  <c r="EW5" i="8" s="1"/>
  <c r="EV41" i="1"/>
  <c r="EU41" i="1"/>
  <c r="EU5" i="8" s="1"/>
  <c r="ET41" i="1"/>
  <c r="ET5" i="8" s="1"/>
  <c r="ES41" i="1"/>
  <c r="ES5" i="8" s="1"/>
  <c r="ER41" i="1"/>
  <c r="ER5" i="8" s="1"/>
  <c r="EQ41" i="1"/>
  <c r="EQ5" i="8" s="1"/>
  <c r="EP41" i="1"/>
  <c r="EP5" i="8" s="1"/>
  <c r="EO41" i="1"/>
  <c r="EO5" i="8" s="1"/>
  <c r="EN41" i="1"/>
  <c r="EM41" i="1"/>
  <c r="EM5" i="8" s="1"/>
  <c r="EL41" i="1"/>
  <c r="EL5" i="8" s="1"/>
  <c r="EK41" i="1"/>
  <c r="EK5" i="8" s="1"/>
  <c r="EJ41" i="1"/>
  <c r="EJ5" i="8" s="1"/>
  <c r="EI41" i="1"/>
  <c r="EI5" i="8" s="1"/>
  <c r="EH41" i="1"/>
  <c r="EH5" i="8" s="1"/>
  <c r="EG41" i="1"/>
  <c r="EF41" i="1"/>
  <c r="EE41" i="1"/>
  <c r="EE5" i="8" s="1"/>
  <c r="ED41" i="1"/>
  <c r="ED5" i="8" s="1"/>
  <c r="EC41" i="1"/>
  <c r="EC5" i="8" s="1"/>
  <c r="EB41" i="1"/>
  <c r="EB5" i="8" s="1"/>
  <c r="EA41" i="1"/>
  <c r="EA5" i="8" s="1"/>
  <c r="DZ41" i="1"/>
  <c r="DZ5" i="8" s="1"/>
  <c r="DY41" i="1"/>
  <c r="DY5" i="8" s="1"/>
  <c r="DX41" i="1"/>
  <c r="DW41" i="1"/>
  <c r="DW5" i="8" s="1"/>
  <c r="DV41" i="1"/>
  <c r="DU41" i="1"/>
  <c r="DU5" i="8" s="1"/>
  <c r="DT41" i="1"/>
  <c r="DR41" i="1"/>
  <c r="DR5" i="8" s="1"/>
  <c r="DQ41" i="1"/>
  <c r="DQ5" i="8" s="1"/>
  <c r="DO41" i="1"/>
  <c r="DN41" i="1"/>
  <c r="DM41" i="1"/>
  <c r="DM5" i="8" s="1"/>
  <c r="DL41" i="1"/>
  <c r="DK41" i="1"/>
  <c r="DK5" i="8" s="1"/>
  <c r="DJ41" i="1"/>
  <c r="DJ5" i="8" s="1"/>
  <c r="DH41" i="1"/>
  <c r="DH5" i="8" s="1"/>
  <c r="DG41" i="1"/>
  <c r="DG5" i="8" s="1"/>
  <c r="DF41" i="1"/>
  <c r="DE41" i="1"/>
  <c r="DD41" i="1"/>
  <c r="DD5" i="8" s="1"/>
  <c r="DC41" i="1"/>
  <c r="DC5" i="8" s="1"/>
  <c r="DB41" i="1"/>
  <c r="DB5" i="8" s="1"/>
  <c r="DA41" i="1"/>
  <c r="DA5" i="8" s="1"/>
  <c r="CZ41" i="1"/>
  <c r="CZ5" i="8" s="1"/>
  <c r="CY41" i="1"/>
  <c r="CY5" i="8" s="1"/>
  <c r="CX41" i="1"/>
  <c r="CX5" i="8" s="1"/>
  <c r="CW41" i="1"/>
  <c r="CV41" i="1"/>
  <c r="CV5" i="8" s="1"/>
  <c r="CU41" i="1"/>
  <c r="CU5" i="8" s="1"/>
  <c r="CT41" i="1"/>
  <c r="CT5" i="8" s="1"/>
  <c r="CS41" i="1"/>
  <c r="CR41" i="1"/>
  <c r="CR5" i="8" s="1"/>
  <c r="CQ41" i="1"/>
  <c r="CQ5" i="8" s="1"/>
  <c r="CP41" i="1"/>
  <c r="CP5" i="8" s="1"/>
  <c r="CO41" i="1"/>
  <c r="CN41" i="1"/>
  <c r="CN5" i="8" s="1"/>
  <c r="CM41" i="1"/>
  <c r="CM5" i="8" s="1"/>
  <c r="CL41" i="1"/>
  <c r="CL5" i="8" s="1"/>
  <c r="CK41" i="1"/>
  <c r="CK5" i="8" s="1"/>
  <c r="CJ41" i="1"/>
  <c r="CJ5" i="8" s="1"/>
  <c r="CI41" i="1"/>
  <c r="CH41" i="1"/>
  <c r="CI5" i="8" s="1"/>
  <c r="CG41" i="1"/>
  <c r="CF41" i="1"/>
  <c r="CG5" i="8" s="1"/>
  <c r="CE41" i="1"/>
  <c r="CF5" i="8" s="1"/>
  <c r="CD41" i="1"/>
  <c r="CE5" i="8" s="1"/>
  <c r="CC41" i="1"/>
  <c r="CD5" i="8" s="1"/>
  <c r="CB41" i="1"/>
  <c r="CC5" i="8" s="1"/>
  <c r="CA41" i="1"/>
  <c r="CB5" i="8" s="1"/>
  <c r="BZ41" i="1"/>
  <c r="BY41" i="1"/>
  <c r="BX41" i="1"/>
  <c r="BY5" i="8" s="1"/>
  <c r="BW41" i="1"/>
  <c r="BX5" i="8" s="1"/>
  <c r="BV41" i="1"/>
  <c r="BW5" i="8" s="1"/>
  <c r="BU41" i="1"/>
  <c r="BT41" i="1"/>
  <c r="BU5" i="8" s="1"/>
  <c r="BS41" i="1"/>
  <c r="BT5" i="8" s="1"/>
  <c r="BR41" i="1"/>
  <c r="BS5" i="8" s="1"/>
  <c r="BQ41" i="1"/>
  <c r="BP41" i="1"/>
  <c r="BQ5" i="8" s="1"/>
  <c r="BO41" i="1"/>
  <c r="BP5" i="8" s="1"/>
  <c r="BN41" i="1"/>
  <c r="BO5" i="8" s="1"/>
  <c r="BM41" i="1"/>
  <c r="BN5" i="8" s="1"/>
  <c r="BL41" i="1"/>
  <c r="BM5" i="8" s="1"/>
  <c r="BK41" i="1"/>
  <c r="BL5" i="8" s="1"/>
  <c r="BJ41" i="1"/>
  <c r="BK5" i="8" s="1"/>
  <c r="BI41" i="1"/>
  <c r="BH41" i="1"/>
  <c r="BI5" i="8" s="1"/>
  <c r="BG41" i="1"/>
  <c r="BF41" i="1"/>
  <c r="BG5" i="8" s="1"/>
  <c r="BE41" i="1"/>
  <c r="BF5" i="8" s="1"/>
  <c r="BD41" i="1"/>
  <c r="BE5" i="8" s="1"/>
  <c r="BC41" i="1"/>
  <c r="BD5" i="8" s="1"/>
  <c r="BB41" i="1"/>
  <c r="BC5" i="8" s="1"/>
  <c r="BA41" i="1"/>
  <c r="AZ41" i="1"/>
  <c r="BA5" i="8" s="1"/>
  <c r="AY41" i="1"/>
  <c r="AZ5" i="8" s="1"/>
  <c r="GF40" i="1"/>
  <c r="GF4" i="8" s="1"/>
  <c r="GE40" i="1"/>
  <c r="GE4" i="8" s="1"/>
  <c r="GD40" i="1"/>
  <c r="GC40" i="1"/>
  <c r="GC4" i="8" s="1"/>
  <c r="GB40" i="1"/>
  <c r="GB4" i="8" s="1"/>
  <c r="GA40" i="1"/>
  <c r="GA4" i="8" s="1"/>
  <c r="FZ40" i="1"/>
  <c r="FZ4" i="8" s="1"/>
  <c r="FY40" i="1"/>
  <c r="FY4" i="8" s="1"/>
  <c r="FX40" i="1"/>
  <c r="FX4" i="8" s="1"/>
  <c r="FW40" i="1"/>
  <c r="FW4" i="8" s="1"/>
  <c r="FV40" i="1"/>
  <c r="FV4" i="8" s="1"/>
  <c r="FU40" i="1"/>
  <c r="FU4" i="8" s="1"/>
  <c r="FT40" i="1"/>
  <c r="FT4" i="8" s="1"/>
  <c r="FS40" i="1"/>
  <c r="FS4" i="8" s="1"/>
  <c r="FR40" i="1"/>
  <c r="FR4" i="8" s="1"/>
  <c r="FQ40" i="1"/>
  <c r="FQ4" i="8" s="1"/>
  <c r="FP40" i="1"/>
  <c r="FP4" i="8" s="1"/>
  <c r="FO40" i="1"/>
  <c r="FO4" i="8" s="1"/>
  <c r="FN40" i="1"/>
  <c r="FN4" i="8" s="1"/>
  <c r="FM40" i="1"/>
  <c r="FM4" i="8" s="1"/>
  <c r="FL40" i="1"/>
  <c r="FL4" i="8" s="1"/>
  <c r="FK40" i="1"/>
  <c r="FK4" i="8" s="1"/>
  <c r="FJ40" i="1"/>
  <c r="FJ4" i="8" s="1"/>
  <c r="FI40" i="1"/>
  <c r="FI4" i="8" s="1"/>
  <c r="FH40" i="1"/>
  <c r="FH4" i="8" s="1"/>
  <c r="FG40" i="1"/>
  <c r="FG4" i="8" s="1"/>
  <c r="FF40" i="1"/>
  <c r="FF4" i="8" s="1"/>
  <c r="FE40" i="1"/>
  <c r="FE4" i="8" s="1"/>
  <c r="FD40" i="1"/>
  <c r="FD4" i="8" s="1"/>
  <c r="FC40" i="1"/>
  <c r="FC4" i="8" s="1"/>
  <c r="FB40" i="1"/>
  <c r="FB4" i="8" s="1"/>
  <c r="FA40" i="1"/>
  <c r="FA4" i="8" s="1"/>
  <c r="EZ40" i="1"/>
  <c r="EZ4" i="8" s="1"/>
  <c r="EY40" i="1"/>
  <c r="EY4" i="8" s="1"/>
  <c r="EX40" i="1"/>
  <c r="EX4" i="8" s="1"/>
  <c r="EW40" i="1"/>
  <c r="EW4" i="8" s="1"/>
  <c r="EV40" i="1"/>
  <c r="EV4" i="8" s="1"/>
  <c r="EU40" i="1"/>
  <c r="EU4" i="8" s="1"/>
  <c r="ET40" i="1"/>
  <c r="ET4" i="8" s="1"/>
  <c r="ES40" i="1"/>
  <c r="ES4" i="8" s="1"/>
  <c r="ER40" i="1"/>
  <c r="ER4" i="8" s="1"/>
  <c r="EQ40" i="1"/>
  <c r="EQ4" i="8" s="1"/>
  <c r="EP40" i="1"/>
  <c r="EP4" i="8" s="1"/>
  <c r="EO40" i="1"/>
  <c r="EO4" i="8" s="1"/>
  <c r="EN40" i="1"/>
  <c r="EN4" i="8" s="1"/>
  <c r="EM40" i="1"/>
  <c r="EM4" i="8" s="1"/>
  <c r="EL40" i="1"/>
  <c r="EL4" i="8" s="1"/>
  <c r="EK40" i="1"/>
  <c r="EK4" i="8" s="1"/>
  <c r="EJ40" i="1"/>
  <c r="EJ4" i="8" s="1"/>
  <c r="EI40" i="1"/>
  <c r="EI4" i="8" s="1"/>
  <c r="EH40" i="1"/>
  <c r="EH4" i="8" s="1"/>
  <c r="EG40" i="1"/>
  <c r="EG4" i="8" s="1"/>
  <c r="EF40" i="1"/>
  <c r="EF4" i="8" s="1"/>
  <c r="EE40" i="1"/>
  <c r="EE4" i="8" s="1"/>
  <c r="ED40" i="1"/>
  <c r="ED4" i="8" s="1"/>
  <c r="EC40" i="1"/>
  <c r="EC4" i="8" s="1"/>
  <c r="EB40" i="1"/>
  <c r="EB4" i="8" s="1"/>
  <c r="EA40" i="1"/>
  <c r="EA4" i="8" s="1"/>
  <c r="DZ40" i="1"/>
  <c r="DZ4" i="8" s="1"/>
  <c r="DY40" i="1"/>
  <c r="DY4" i="8" s="1"/>
  <c r="DX40" i="1"/>
  <c r="DX4" i="8" s="1"/>
  <c r="DW40" i="1"/>
  <c r="DW4" i="8" s="1"/>
  <c r="DV40" i="1"/>
  <c r="DV4" i="8" s="1"/>
  <c r="DU40" i="1"/>
  <c r="DU4" i="8" s="1"/>
  <c r="DT40" i="1"/>
  <c r="DT4" i="8" s="1"/>
  <c r="DR40" i="1"/>
  <c r="DR4" i="8" s="1"/>
  <c r="DQ40" i="1"/>
  <c r="DO40" i="1"/>
  <c r="DO4" i="8" s="1"/>
  <c r="DN40" i="1"/>
  <c r="DN4" i="8" s="1"/>
  <c r="DM40" i="1"/>
  <c r="DM4" i="8" s="1"/>
  <c r="DL40" i="1"/>
  <c r="DL4" i="8" s="1"/>
  <c r="DK40" i="1"/>
  <c r="DK4" i="8" s="1"/>
  <c r="DJ40" i="1"/>
  <c r="DJ4" i="8" s="1"/>
  <c r="DH40" i="1"/>
  <c r="DH4" i="8" s="1"/>
  <c r="DG40" i="1"/>
  <c r="DF40" i="1"/>
  <c r="DF4" i="8" s="1"/>
  <c r="DE40" i="1"/>
  <c r="DE4" i="8" s="1"/>
  <c r="DD40" i="1"/>
  <c r="DD4" i="8" s="1"/>
  <c r="DC40" i="1"/>
  <c r="DC4" i="8" s="1"/>
  <c r="DB40" i="1"/>
  <c r="DB4" i="8" s="1"/>
  <c r="DA40" i="1"/>
  <c r="DA4" i="8" s="1"/>
  <c r="CZ40" i="1"/>
  <c r="CZ4" i="8" s="1"/>
  <c r="CY40" i="1"/>
  <c r="CX40" i="1"/>
  <c r="CX4" i="8" s="1"/>
  <c r="CW40" i="1"/>
  <c r="CW4" i="8" s="1"/>
  <c r="CV40" i="1"/>
  <c r="CV4" i="8" s="1"/>
  <c r="CU40" i="1"/>
  <c r="CU4" i="8" s="1"/>
  <c r="CT40" i="1"/>
  <c r="CT4" i="8" s="1"/>
  <c r="CS40" i="1"/>
  <c r="CS4" i="8" s="1"/>
  <c r="CR40" i="1"/>
  <c r="CR4" i="8" s="1"/>
  <c r="CQ40" i="1"/>
  <c r="CP40" i="1"/>
  <c r="CP4" i="8" s="1"/>
  <c r="CO40" i="1"/>
  <c r="CO4" i="8" s="1"/>
  <c r="CN40" i="1"/>
  <c r="CN4" i="8" s="1"/>
  <c r="CM40" i="1"/>
  <c r="CM4" i="8" s="1"/>
  <c r="CL40" i="1"/>
  <c r="CK40" i="1"/>
  <c r="CK4" i="8" s="1"/>
  <c r="CJ40" i="1"/>
  <c r="CI40" i="1"/>
  <c r="BP38" i="3" s="1"/>
  <c r="CH40" i="1"/>
  <c r="CG40" i="1"/>
  <c r="CH4" i="8" s="1"/>
  <c r="CF40" i="1"/>
  <c r="CG4" i="8" s="1"/>
  <c r="CE40" i="1"/>
  <c r="CF4" i="8" s="1"/>
  <c r="CD40" i="1"/>
  <c r="CE4" i="8" s="1"/>
  <c r="CC40" i="1"/>
  <c r="CD4" i="8" s="1"/>
  <c r="CB40" i="1"/>
  <c r="CA40" i="1"/>
  <c r="BZ40" i="1"/>
  <c r="CA4" i="8" s="1"/>
  <c r="BY40" i="1"/>
  <c r="BZ4" i="8" s="1"/>
  <c r="BX40" i="1"/>
  <c r="BW40" i="1"/>
  <c r="BX4" i="8" s="1"/>
  <c r="BV40" i="1"/>
  <c r="BW4" i="8" s="1"/>
  <c r="BU40" i="1"/>
  <c r="BV4" i="8" s="1"/>
  <c r="BT40" i="1"/>
  <c r="BU4" i="8" s="1"/>
  <c r="BS40" i="1"/>
  <c r="BR40" i="1"/>
  <c r="BS4" i="8" s="1"/>
  <c r="BQ40" i="1"/>
  <c r="BR4" i="8" s="1"/>
  <c r="BP40" i="1"/>
  <c r="BO40" i="1"/>
  <c r="BP4" i="8" s="1"/>
  <c r="BN40" i="1"/>
  <c r="BO4" i="8" s="1"/>
  <c r="BM40" i="1"/>
  <c r="BN4" i="8" s="1"/>
  <c r="BL40" i="1"/>
  <c r="BM4" i="8" s="1"/>
  <c r="BK40" i="1"/>
  <c r="BJ40" i="1"/>
  <c r="BK4" i="8" s="1"/>
  <c r="BI40" i="1"/>
  <c r="BJ4" i="8" s="1"/>
  <c r="BH40" i="1"/>
  <c r="BI4" i="8" s="1"/>
  <c r="BG40" i="1"/>
  <c r="BH4" i="8" s="1"/>
  <c r="BF40" i="1"/>
  <c r="BG4" i="8" s="1"/>
  <c r="BE40" i="1"/>
  <c r="BF4" i="8" s="1"/>
  <c r="BD40" i="1"/>
  <c r="BE4" i="8" s="1"/>
  <c r="BC40" i="1"/>
  <c r="BB40" i="1"/>
  <c r="BA40" i="1"/>
  <c r="BB4" i="8" s="1"/>
  <c r="AZ40" i="1"/>
  <c r="BA4" i="8" s="1"/>
  <c r="AY40" i="1"/>
  <c r="AZ4" i="8" s="1"/>
  <c r="GF38" i="1"/>
  <c r="GE38" i="1"/>
  <c r="GD38" i="1"/>
  <c r="FK36" i="3" s="1"/>
  <c r="GC38" i="1"/>
  <c r="GB38" i="1"/>
  <c r="GA38" i="1"/>
  <c r="FZ38" i="1"/>
  <c r="FY38" i="1"/>
  <c r="FX38" i="1"/>
  <c r="FE36" i="3" s="1"/>
  <c r="FW38" i="1"/>
  <c r="FV38" i="1"/>
  <c r="FU38" i="1"/>
  <c r="FT38" i="1"/>
  <c r="FA36" i="3" s="1"/>
  <c r="FS38" i="1"/>
  <c r="FR38" i="1"/>
  <c r="FQ38" i="1"/>
  <c r="FP38" i="1"/>
  <c r="EW36" i="3" s="1"/>
  <c r="FO38" i="1"/>
  <c r="FN38" i="1"/>
  <c r="FM38" i="1"/>
  <c r="FL38" i="1"/>
  <c r="FK38" i="1"/>
  <c r="FJ38" i="1"/>
  <c r="EQ36" i="3" s="1"/>
  <c r="FI38" i="1"/>
  <c r="FH38" i="1"/>
  <c r="EO36" i="3" s="1"/>
  <c r="FG38" i="1"/>
  <c r="FF38" i="1"/>
  <c r="EM36" i="3" s="1"/>
  <c r="FE38" i="1"/>
  <c r="FD38" i="1"/>
  <c r="FC38" i="1"/>
  <c r="FB38" i="1"/>
  <c r="FA38" i="1"/>
  <c r="EZ38" i="1"/>
  <c r="EG36" i="3" s="1"/>
  <c r="EY38" i="1"/>
  <c r="EX38" i="1"/>
  <c r="EE36" i="3" s="1"/>
  <c r="EW38" i="1"/>
  <c r="EV38" i="1"/>
  <c r="EU38" i="1"/>
  <c r="ET38" i="1"/>
  <c r="ES38" i="1"/>
  <c r="ER38" i="1"/>
  <c r="DY36" i="3" s="1"/>
  <c r="EQ38" i="1"/>
  <c r="EP38" i="1"/>
  <c r="DW36" i="3" s="1"/>
  <c r="EO38" i="1"/>
  <c r="EN38" i="1"/>
  <c r="DU36" i="3" s="1"/>
  <c r="EM38" i="1"/>
  <c r="EL38" i="1"/>
  <c r="EK38" i="1"/>
  <c r="EJ38" i="1"/>
  <c r="DQ36" i="3" s="1"/>
  <c r="EI38" i="1"/>
  <c r="EH38" i="1"/>
  <c r="EG38" i="1"/>
  <c r="EF38" i="1"/>
  <c r="EE38" i="1"/>
  <c r="ED38" i="1"/>
  <c r="EC38" i="1"/>
  <c r="EB38" i="1"/>
  <c r="DI36" i="3" s="1"/>
  <c r="EA38" i="1"/>
  <c r="DZ38" i="1"/>
  <c r="DY38" i="1"/>
  <c r="DX38" i="1"/>
  <c r="DW38" i="1"/>
  <c r="DV38" i="1"/>
  <c r="DC36" i="3" s="1"/>
  <c r="DU38" i="1"/>
  <c r="GF37" i="1"/>
  <c r="GE37" i="1"/>
  <c r="GD37" i="1"/>
  <c r="GC37" i="1"/>
  <c r="GB37" i="1"/>
  <c r="GA37" i="1"/>
  <c r="FH35" i="3" s="1"/>
  <c r="FZ37" i="1"/>
  <c r="FG35" i="3" s="1"/>
  <c r="FY37" i="1"/>
  <c r="FX37" i="1"/>
  <c r="FE35" i="3" s="1"/>
  <c r="FW37" i="1"/>
  <c r="FV37" i="1"/>
  <c r="FC35" i="3" s="1"/>
  <c r="FU37" i="1"/>
  <c r="FT37" i="1"/>
  <c r="FS37" i="1"/>
  <c r="EZ35" i="3" s="1"/>
  <c r="FR37" i="1"/>
  <c r="FQ37" i="1"/>
  <c r="FP37" i="1"/>
  <c r="FO37" i="1"/>
  <c r="FN37" i="1"/>
  <c r="EU35" i="3" s="1"/>
  <c r="FM37" i="1"/>
  <c r="FL37" i="1"/>
  <c r="FK37" i="1"/>
  <c r="ER35" i="3" s="1"/>
  <c r="FJ37" i="1"/>
  <c r="FI37" i="1"/>
  <c r="FH37" i="1"/>
  <c r="FG37" i="1"/>
  <c r="FF37" i="1"/>
  <c r="EM35" i="3" s="1"/>
  <c r="FE37" i="1"/>
  <c r="FD37" i="1"/>
  <c r="FC37" i="1"/>
  <c r="EJ35" i="3" s="1"/>
  <c r="FB37" i="1"/>
  <c r="EI35" i="3" s="1"/>
  <c r="FA37" i="1"/>
  <c r="EZ37" i="1"/>
  <c r="EY37" i="1"/>
  <c r="EX37" i="1"/>
  <c r="EW37" i="1"/>
  <c r="EV37" i="1"/>
  <c r="EU37" i="1"/>
  <c r="EB35" i="3" s="1"/>
  <c r="ET37" i="1"/>
  <c r="EA35" i="3" s="1"/>
  <c r="ES37" i="1"/>
  <c r="ER37" i="1"/>
  <c r="EQ37" i="1"/>
  <c r="EP37" i="1"/>
  <c r="DW35" i="3" s="1"/>
  <c r="EO37" i="1"/>
  <c r="EN37" i="1"/>
  <c r="EM37" i="1"/>
  <c r="DT35" i="3" s="1"/>
  <c r="EL37" i="1"/>
  <c r="EK37" i="1"/>
  <c r="EJ37" i="1"/>
  <c r="EI37" i="1"/>
  <c r="EH37" i="1"/>
  <c r="EG37" i="1"/>
  <c r="EF37" i="1"/>
  <c r="EE37" i="1"/>
  <c r="DL35" i="3" s="1"/>
  <c r="ED37" i="1"/>
  <c r="EC37" i="1"/>
  <c r="EB37" i="1"/>
  <c r="DI35" i="3" s="1"/>
  <c r="EA37" i="1"/>
  <c r="DZ37" i="1"/>
  <c r="DG35" i="3" s="1"/>
  <c r="DY37" i="1"/>
  <c r="DX37" i="1"/>
  <c r="DW37" i="1"/>
  <c r="DD35" i="3" s="1"/>
  <c r="DV37" i="1"/>
  <c r="DU37" i="1"/>
  <c r="DT37" i="1"/>
  <c r="DT14" i="7" s="1"/>
  <c r="GF36" i="1"/>
  <c r="GF16" i="7" s="1"/>
  <c r="GE36" i="1"/>
  <c r="GD36" i="1"/>
  <c r="GD16" i="7" s="1"/>
  <c r="GC36" i="1"/>
  <c r="GC16" i="7" s="1"/>
  <c r="GB36" i="1"/>
  <c r="GB16" i="7" s="1"/>
  <c r="GA36" i="1"/>
  <c r="GA16" i="7" s="1"/>
  <c r="FZ36" i="1"/>
  <c r="FZ16" i="7" s="1"/>
  <c r="FY36" i="1"/>
  <c r="FX36" i="1"/>
  <c r="FX16" i="7" s="1"/>
  <c r="FW36" i="1"/>
  <c r="FV36" i="1"/>
  <c r="FV16" i="7" s="1"/>
  <c r="FU36" i="1"/>
  <c r="FU16" i="7" s="1"/>
  <c r="FT36" i="1"/>
  <c r="FT16" i="7" s="1"/>
  <c r="FS36" i="1"/>
  <c r="FR36" i="1"/>
  <c r="FR16" i="7" s="1"/>
  <c r="FQ36" i="1"/>
  <c r="FQ16" i="7" s="1"/>
  <c r="FP36" i="1"/>
  <c r="FP16" i="7" s="1"/>
  <c r="FO36" i="1"/>
  <c r="FN36" i="1"/>
  <c r="FN16" i="7" s="1"/>
  <c r="FM36" i="1"/>
  <c r="FM16" i="7" s="1"/>
  <c r="FL36" i="1"/>
  <c r="FL16" i="7" s="1"/>
  <c r="FK36" i="1"/>
  <c r="FJ36" i="1"/>
  <c r="FJ16" i="7" s="1"/>
  <c r="FI36" i="1"/>
  <c r="FI16" i="7" s="1"/>
  <c r="FH36" i="1"/>
  <c r="FH16" i="7" s="1"/>
  <c r="FG36" i="1"/>
  <c r="FF36" i="1"/>
  <c r="FF16" i="7" s="1"/>
  <c r="FE36" i="1"/>
  <c r="FE16" i="7" s="1"/>
  <c r="FD36" i="1"/>
  <c r="FD16" i="7" s="1"/>
  <c r="FC36" i="1"/>
  <c r="FC16" i="7" s="1"/>
  <c r="FB36" i="1"/>
  <c r="FB16" i="7" s="1"/>
  <c r="FA36" i="1"/>
  <c r="FA16" i="7" s="1"/>
  <c r="EZ36" i="1"/>
  <c r="EZ16" i="7" s="1"/>
  <c r="EY36" i="1"/>
  <c r="EX36" i="1"/>
  <c r="EX16" i="7" s="1"/>
  <c r="EW36" i="1"/>
  <c r="EW16" i="7" s="1"/>
  <c r="EV36" i="1"/>
  <c r="EV16" i="7" s="1"/>
  <c r="EU36" i="1"/>
  <c r="EU16" i="7" s="1"/>
  <c r="ET36" i="1"/>
  <c r="ET16" i="7" s="1"/>
  <c r="ES36" i="1"/>
  <c r="ES16" i="7" s="1"/>
  <c r="ER36" i="1"/>
  <c r="ER16" i="7" s="1"/>
  <c r="EQ36" i="1"/>
  <c r="EP36" i="1"/>
  <c r="EP16" i="7" s="1"/>
  <c r="EO36" i="1"/>
  <c r="EO16" i="7" s="1"/>
  <c r="EN36" i="1"/>
  <c r="EN16" i="7" s="1"/>
  <c r="EM36" i="1"/>
  <c r="EM16" i="7" s="1"/>
  <c r="EL36" i="1"/>
  <c r="EL16" i="7" s="1"/>
  <c r="EK36" i="1"/>
  <c r="EK16" i="7" s="1"/>
  <c r="EJ36" i="1"/>
  <c r="EJ16" i="7" s="1"/>
  <c r="EI36" i="1"/>
  <c r="EH36" i="1"/>
  <c r="EH16" i="7" s="1"/>
  <c r="EG36" i="1"/>
  <c r="EG16" i="7" s="1"/>
  <c r="EF36" i="1"/>
  <c r="EF16" i="7" s="1"/>
  <c r="EE36" i="1"/>
  <c r="EE16" i="7" s="1"/>
  <c r="ED36" i="1"/>
  <c r="ED16" i="7" s="1"/>
  <c r="EC36" i="1"/>
  <c r="EC16" i="7" s="1"/>
  <c r="EB36" i="1"/>
  <c r="EB16" i="7" s="1"/>
  <c r="EA36" i="1"/>
  <c r="DZ36" i="1"/>
  <c r="DZ16" i="7" s="1"/>
  <c r="DY36" i="1"/>
  <c r="DY16" i="7" s="1"/>
  <c r="DX36" i="1"/>
  <c r="DX16" i="7" s="1"/>
  <c r="DW36" i="1"/>
  <c r="DW16" i="7" s="1"/>
  <c r="DV36" i="1"/>
  <c r="DV16" i="7" s="1"/>
  <c r="DU36" i="1"/>
  <c r="DU16" i="7" s="1"/>
  <c r="GF35" i="1"/>
  <c r="GF17" i="7" s="1"/>
  <c r="GE35" i="1"/>
  <c r="GE17" i="7" s="1"/>
  <c r="GD35" i="1"/>
  <c r="GD17" i="7" s="1"/>
  <c r="GC35" i="1"/>
  <c r="GC17" i="7" s="1"/>
  <c r="GB35" i="1"/>
  <c r="GB17" i="7" s="1"/>
  <c r="GA35" i="1"/>
  <c r="FZ35" i="1"/>
  <c r="FY35" i="1"/>
  <c r="FY17" i="7" s="1"/>
  <c r="FX35" i="1"/>
  <c r="FX17" i="7" s="1"/>
  <c r="FW35" i="1"/>
  <c r="FW17" i="7" s="1"/>
  <c r="FV35" i="1"/>
  <c r="FV17" i="7" s="1"/>
  <c r="FU35" i="1"/>
  <c r="FU17" i="7" s="1"/>
  <c r="FT35" i="1"/>
  <c r="FT17" i="7" s="1"/>
  <c r="FS35" i="1"/>
  <c r="FR35" i="1"/>
  <c r="FQ35" i="1"/>
  <c r="FP35" i="1"/>
  <c r="FP17" i="7" s="1"/>
  <c r="FO35" i="1"/>
  <c r="FO17" i="7" s="1"/>
  <c r="FN35" i="1"/>
  <c r="FN17" i="7" s="1"/>
  <c r="FM35" i="1"/>
  <c r="FM17" i="7" s="1"/>
  <c r="FL35" i="1"/>
  <c r="FL17" i="7" s="1"/>
  <c r="FK35" i="1"/>
  <c r="FK17" i="7" s="1"/>
  <c r="FJ35" i="1"/>
  <c r="FI35" i="1"/>
  <c r="FI17" i="7" s="1"/>
  <c r="FH35" i="1"/>
  <c r="FG35" i="1"/>
  <c r="FF35" i="1"/>
  <c r="FF17" i="7" s="1"/>
  <c r="FE35" i="1"/>
  <c r="FE17" i="7" s="1"/>
  <c r="FD35" i="1"/>
  <c r="FD17" i="7" s="1"/>
  <c r="FC35" i="1"/>
  <c r="FC17" i="7" s="1"/>
  <c r="FB35" i="1"/>
  <c r="FA35" i="1"/>
  <c r="FA17" i="7" s="1"/>
  <c r="EZ35" i="1"/>
  <c r="EZ17" i="7" s="1"/>
  <c r="EY35" i="1"/>
  <c r="EY17" i="7" s="1"/>
  <c r="EX35" i="1"/>
  <c r="EX17" i="7" s="1"/>
  <c r="EW35" i="1"/>
  <c r="EW17" i="7" s="1"/>
  <c r="EV35" i="1"/>
  <c r="EV17" i="7" s="1"/>
  <c r="EU35" i="1"/>
  <c r="EU17" i="7" s="1"/>
  <c r="ET35" i="1"/>
  <c r="ES35" i="1"/>
  <c r="ES17" i="7" s="1"/>
  <c r="ER35" i="1"/>
  <c r="ER17" i="7" s="1"/>
  <c r="EQ35" i="1"/>
  <c r="EQ17" i="7" s="1"/>
  <c r="EP35" i="1"/>
  <c r="EP17" i="7" s="1"/>
  <c r="EO35" i="1"/>
  <c r="EO17" i="7" s="1"/>
  <c r="EN35" i="1"/>
  <c r="EN17" i="7" s="1"/>
  <c r="EM35" i="1"/>
  <c r="EL35" i="1"/>
  <c r="GF34" i="1"/>
  <c r="GE34" i="1"/>
  <c r="GD34" i="1"/>
  <c r="FK33" i="3" s="1"/>
  <c r="GC34" i="1"/>
  <c r="GB34" i="1"/>
  <c r="GA34" i="1"/>
  <c r="FZ34" i="1"/>
  <c r="FY34" i="1"/>
  <c r="FX34" i="1"/>
  <c r="FW34" i="1"/>
  <c r="FV34" i="1"/>
  <c r="FC33" i="3" s="1"/>
  <c r="FU34" i="1"/>
  <c r="FT34" i="1"/>
  <c r="FS34" i="1"/>
  <c r="FR34" i="1"/>
  <c r="EY33" i="3" s="1"/>
  <c r="FQ34" i="1"/>
  <c r="FP34" i="1"/>
  <c r="EW33" i="3" s="1"/>
  <c r="FO34" i="1"/>
  <c r="FN34" i="1"/>
  <c r="EU33" i="3" s="1"/>
  <c r="FM34" i="1"/>
  <c r="FL34" i="1"/>
  <c r="FK34" i="1"/>
  <c r="FJ34" i="1"/>
  <c r="FI34" i="1"/>
  <c r="FH34" i="1"/>
  <c r="FG34" i="1"/>
  <c r="EN33" i="3" s="1"/>
  <c r="FF34" i="1"/>
  <c r="EM33" i="3" s="1"/>
  <c r="FE34" i="1"/>
  <c r="FD34" i="1"/>
  <c r="FC34" i="1"/>
  <c r="FB34" i="1"/>
  <c r="FA34" i="1"/>
  <c r="EZ34" i="1"/>
  <c r="EY34" i="1"/>
  <c r="EX34" i="1"/>
  <c r="EW34" i="1"/>
  <c r="EV34" i="1"/>
  <c r="EU34" i="1"/>
  <c r="ET34" i="1"/>
  <c r="ES34" i="1"/>
  <c r="ER34" i="1"/>
  <c r="EQ34" i="1"/>
  <c r="EP34" i="1"/>
  <c r="EO34" i="1"/>
  <c r="EN34" i="1"/>
  <c r="EM34" i="1"/>
  <c r="DT33" i="3" s="1"/>
  <c r="EL34" i="1"/>
  <c r="DS33" i="3" s="1"/>
  <c r="EK34" i="1"/>
  <c r="EJ34" i="1"/>
  <c r="EI34" i="1"/>
  <c r="EH34" i="1"/>
  <c r="EG34" i="1"/>
  <c r="EF34" i="1"/>
  <c r="EE34" i="1"/>
  <c r="ED34" i="1"/>
  <c r="EC34" i="1"/>
  <c r="EB34" i="1"/>
  <c r="EA34" i="1"/>
  <c r="DH33" i="3" s="1"/>
  <c r="DZ34" i="1"/>
  <c r="DY34" i="1"/>
  <c r="DX34" i="1"/>
  <c r="DW34" i="1"/>
  <c r="DV34" i="1"/>
  <c r="DU34" i="1"/>
  <c r="DT34" i="1"/>
  <c r="DR34" i="1"/>
  <c r="DQ34" i="1"/>
  <c r="DO34" i="1"/>
  <c r="DO12" i="7" s="1"/>
  <c r="DN34" i="1"/>
  <c r="DM34" i="1"/>
  <c r="DM12" i="7" s="1"/>
  <c r="DL34" i="1"/>
  <c r="DL12" i="7" s="1"/>
  <c r="DK34" i="1"/>
  <c r="DK12" i="7" s="1"/>
  <c r="DJ34" i="1"/>
  <c r="GF33" i="1"/>
  <c r="GE33" i="1"/>
  <c r="FL32" i="3" s="1"/>
  <c r="GD33" i="1"/>
  <c r="GC33" i="1"/>
  <c r="GB33" i="1"/>
  <c r="GA33" i="1"/>
  <c r="FZ33" i="1"/>
  <c r="FY33" i="1"/>
  <c r="FX33" i="1"/>
  <c r="FW33" i="1"/>
  <c r="FD32" i="3" s="1"/>
  <c r="FV33" i="1"/>
  <c r="FU33" i="1"/>
  <c r="FT33" i="1"/>
  <c r="FS33" i="1"/>
  <c r="FR33" i="1"/>
  <c r="FQ33" i="1"/>
  <c r="FP33" i="1"/>
  <c r="FO33" i="1"/>
  <c r="EV32" i="3" s="1"/>
  <c r="FN33" i="1"/>
  <c r="FM33" i="1"/>
  <c r="FL33" i="1"/>
  <c r="FK33" i="1"/>
  <c r="FJ33" i="1"/>
  <c r="FI33" i="1"/>
  <c r="FH33" i="1"/>
  <c r="FG33" i="1"/>
  <c r="EN32" i="3" s="1"/>
  <c r="FF33" i="1"/>
  <c r="FE33" i="1"/>
  <c r="FD33" i="1"/>
  <c r="FC33" i="1"/>
  <c r="FB33" i="1"/>
  <c r="FA33" i="1"/>
  <c r="EZ33" i="1"/>
  <c r="EY33" i="1"/>
  <c r="EF32" i="3" s="1"/>
  <c r="EX33" i="1"/>
  <c r="EW33" i="1"/>
  <c r="EV33" i="1"/>
  <c r="EU33" i="1"/>
  <c r="ET33" i="1"/>
  <c r="ES33" i="1"/>
  <c r="ER33" i="1"/>
  <c r="EQ33" i="1"/>
  <c r="DX32" i="3" s="1"/>
  <c r="EP33" i="1"/>
  <c r="EO33" i="1"/>
  <c r="EN33" i="1"/>
  <c r="EM33" i="1"/>
  <c r="EL33" i="1"/>
  <c r="EK33" i="1"/>
  <c r="EJ33" i="1"/>
  <c r="EI33" i="1"/>
  <c r="DP32" i="3" s="1"/>
  <c r="EH33" i="1"/>
  <c r="EG33" i="1"/>
  <c r="EF33" i="1"/>
  <c r="EE33" i="1"/>
  <c r="ED33" i="1"/>
  <c r="EC33" i="1"/>
  <c r="EB33" i="1"/>
  <c r="EA33" i="1"/>
  <c r="DH32" i="3" s="1"/>
  <c r="DZ33" i="1"/>
  <c r="DY33" i="1"/>
  <c r="DX33" i="1"/>
  <c r="DW33" i="1"/>
  <c r="DV33" i="1"/>
  <c r="DU33" i="1"/>
  <c r="DT33" i="1"/>
  <c r="DT11" i="7" s="1"/>
  <c r="DR33" i="1"/>
  <c r="DQ33" i="1"/>
  <c r="DQ11" i="7" s="1"/>
  <c r="DO33" i="1"/>
  <c r="DO11" i="7" s="1"/>
  <c r="DN33" i="1"/>
  <c r="DN11" i="7" s="1"/>
  <c r="DM33" i="1"/>
  <c r="DM11" i="7" s="1"/>
  <c r="DL33" i="1"/>
  <c r="DL11" i="7" s="1"/>
  <c r="DK33" i="1"/>
  <c r="DK11" i="7" s="1"/>
  <c r="DJ33" i="1"/>
  <c r="GF32" i="1"/>
  <c r="GE32" i="1"/>
  <c r="GE13" i="7" s="1"/>
  <c r="GD32" i="1"/>
  <c r="GD13" i="7" s="1"/>
  <c r="GC32" i="1"/>
  <c r="GC13" i="7" s="1"/>
  <c r="GB32" i="1"/>
  <c r="GA32" i="1"/>
  <c r="GA13" i="7" s="1"/>
  <c r="FZ32" i="1"/>
  <c r="FZ13" i="7" s="1"/>
  <c r="FY32" i="1"/>
  <c r="FY13" i="7" s="1"/>
  <c r="FX32" i="1"/>
  <c r="FX13" i="7" s="1"/>
  <c r="FW32" i="1"/>
  <c r="FW13" i="7" s="1"/>
  <c r="FV32" i="1"/>
  <c r="FV13" i="7" s="1"/>
  <c r="FU32" i="1"/>
  <c r="FU13" i="7" s="1"/>
  <c r="FT32" i="1"/>
  <c r="FS32" i="1"/>
  <c r="FS13" i="7" s="1"/>
  <c r="FR32" i="1"/>
  <c r="FR13" i="7" s="1"/>
  <c r="FQ32" i="1"/>
  <c r="FQ13" i="7" s="1"/>
  <c r="FP32" i="1"/>
  <c r="FP13" i="7" s="1"/>
  <c r="FO32" i="1"/>
  <c r="FO13" i="7" s="1"/>
  <c r="FN32" i="1"/>
  <c r="FN13" i="7" s="1"/>
  <c r="FM32" i="1"/>
  <c r="FM13" i="7" s="1"/>
  <c r="FL32" i="1"/>
  <c r="FK32" i="1"/>
  <c r="FK13" i="7" s="1"/>
  <c r="FJ32" i="1"/>
  <c r="FI32" i="1"/>
  <c r="FH32" i="1"/>
  <c r="FH13" i="7" s="1"/>
  <c r="FG32" i="1"/>
  <c r="FG13" i="7" s="1"/>
  <c r="FF32" i="1"/>
  <c r="FF13" i="7" s="1"/>
  <c r="FE32" i="1"/>
  <c r="FE13" i="7" s="1"/>
  <c r="FD32" i="1"/>
  <c r="FC32" i="1"/>
  <c r="FC13" i="7" s="1"/>
  <c r="FB32" i="1"/>
  <c r="FB13" i="7" s="1"/>
  <c r="FA32" i="1"/>
  <c r="FA13" i="7" s="1"/>
  <c r="EZ32" i="1"/>
  <c r="EY32" i="1"/>
  <c r="EY13" i="7" s="1"/>
  <c r="EX32" i="1"/>
  <c r="EX13" i="7" s="1"/>
  <c r="EW32" i="1"/>
  <c r="EW13" i="7" s="1"/>
  <c r="EV32" i="1"/>
  <c r="EU32" i="1"/>
  <c r="EU13" i="7" s="1"/>
  <c r="ET32" i="1"/>
  <c r="ET13" i="7" s="1"/>
  <c r="ES32" i="1"/>
  <c r="ES13" i="7" s="1"/>
  <c r="ER32" i="1"/>
  <c r="ER13" i="7" s="1"/>
  <c r="EQ32" i="1"/>
  <c r="EQ13" i="7" s="1"/>
  <c r="EP32" i="1"/>
  <c r="EP13" i="7" s="1"/>
  <c r="EO32" i="1"/>
  <c r="EO13" i="7" s="1"/>
  <c r="EN32" i="1"/>
  <c r="EM32" i="1"/>
  <c r="EM13" i="7" s="1"/>
  <c r="EL32" i="1"/>
  <c r="EL13" i="7" s="1"/>
  <c r="EK32" i="1"/>
  <c r="EK13" i="7" s="1"/>
  <c r="EJ32" i="1"/>
  <c r="EJ13" i="7" s="1"/>
  <c r="EI32" i="1"/>
  <c r="EI13" i="7" s="1"/>
  <c r="EH32" i="1"/>
  <c r="EH13" i="7" s="1"/>
  <c r="EG32" i="1"/>
  <c r="EG13" i="7" s="1"/>
  <c r="EF32" i="1"/>
  <c r="EE32" i="1"/>
  <c r="EE13" i="7" s="1"/>
  <c r="ED32" i="1"/>
  <c r="ED13" i="7" s="1"/>
  <c r="EC32" i="1"/>
  <c r="EB32" i="1"/>
  <c r="EB13" i="7" s="1"/>
  <c r="EA32" i="1"/>
  <c r="EA13" i="7" s="1"/>
  <c r="DZ32" i="1"/>
  <c r="DZ13" i="7" s="1"/>
  <c r="DY32" i="1"/>
  <c r="DY13" i="7" s="1"/>
  <c r="DX32" i="1"/>
  <c r="DW32" i="1"/>
  <c r="DW13" i="7" s="1"/>
  <c r="DV32" i="1"/>
  <c r="DV13" i="7" s="1"/>
  <c r="DU32" i="1"/>
  <c r="DU13" i="7" s="1"/>
  <c r="DU31" i="1"/>
  <c r="DU10" i="7" s="1"/>
  <c r="DT31" i="1"/>
  <c r="DT10" i="7" s="1"/>
  <c r="DR31" i="1"/>
  <c r="DR10" i="7" s="1"/>
  <c r="DQ31" i="1"/>
  <c r="DQ10" i="7" s="1"/>
  <c r="DO31" i="1"/>
  <c r="DN31" i="1"/>
  <c r="DN10" i="7" s="1"/>
  <c r="DM31" i="1"/>
  <c r="DM10" i="7" s="1"/>
  <c r="DL31" i="1"/>
  <c r="DK31" i="1"/>
  <c r="DK10" i="7" s="1"/>
  <c r="DJ31" i="1"/>
  <c r="DJ10" i="7" s="1"/>
  <c r="DH31" i="1"/>
  <c r="DH10" i="7" s="1"/>
  <c r="DG31" i="1"/>
  <c r="DG10" i="7" s="1"/>
  <c r="DF31" i="1"/>
  <c r="DE31" i="1"/>
  <c r="DE10" i="7" s="1"/>
  <c r="DD31" i="1"/>
  <c r="DD10" i="7" s="1"/>
  <c r="DC31" i="1"/>
  <c r="DB31" i="1"/>
  <c r="DB10" i="7" s="1"/>
  <c r="DA31" i="1"/>
  <c r="DA10" i="7" s="1"/>
  <c r="CZ31" i="1"/>
  <c r="CZ10" i="7" s="1"/>
  <c r="CY31" i="1"/>
  <c r="CY10" i="7" s="1"/>
  <c r="CX31" i="1"/>
  <c r="CW31" i="1"/>
  <c r="CW10" i="7" s="1"/>
  <c r="CV31" i="1"/>
  <c r="CV10" i="7" s="1"/>
  <c r="CU31" i="1"/>
  <c r="CU10" i="7" s="1"/>
  <c r="CT31" i="1"/>
  <c r="CT10" i="7" s="1"/>
  <c r="CS31" i="1"/>
  <c r="CS10" i="7" s="1"/>
  <c r="CR31" i="1"/>
  <c r="CR10" i="7" s="1"/>
  <c r="CQ31" i="1"/>
  <c r="CQ10" i="7" s="1"/>
  <c r="CP31" i="1"/>
  <c r="CO31" i="1"/>
  <c r="CO10" i="7" s="1"/>
  <c r="CN31" i="1"/>
  <c r="CN10" i="7" s="1"/>
  <c r="CM31" i="1"/>
  <c r="CM10" i="7" s="1"/>
  <c r="CL31" i="1"/>
  <c r="CK31" i="1"/>
  <c r="CK10" i="7" s="1"/>
  <c r="CJ31" i="1"/>
  <c r="CJ10" i="7" s="1"/>
  <c r="CI31" i="1"/>
  <c r="CH31" i="1"/>
  <c r="CG31" i="1"/>
  <c r="CH10" i="7" s="1"/>
  <c r="CF31" i="1"/>
  <c r="CG10" i="7" s="1"/>
  <c r="CE31" i="1"/>
  <c r="CF10" i="7" s="1"/>
  <c r="CD31" i="1"/>
  <c r="CE10" i="7" s="1"/>
  <c r="CC31" i="1"/>
  <c r="CD10" i="7" s="1"/>
  <c r="CB31" i="1"/>
  <c r="CC10" i="7" s="1"/>
  <c r="CA31" i="1"/>
  <c r="CB10" i="7" s="1"/>
  <c r="BZ31" i="1"/>
  <c r="BY31" i="1"/>
  <c r="BZ10" i="7" s="1"/>
  <c r="BX31" i="1"/>
  <c r="BY10" i="7" s="1"/>
  <c r="BW31" i="1"/>
  <c r="BV31" i="1"/>
  <c r="BW10" i="7" s="1"/>
  <c r="BU31" i="1"/>
  <c r="BV10" i="7" s="1"/>
  <c r="BT31" i="1"/>
  <c r="BU10" i="7" s="1"/>
  <c r="BS31" i="1"/>
  <c r="BT10" i="7" s="1"/>
  <c r="BR31" i="1"/>
  <c r="BQ31" i="1"/>
  <c r="BR10" i="7" s="1"/>
  <c r="BP31" i="1"/>
  <c r="BQ10" i="7" s="1"/>
  <c r="BO31" i="1"/>
  <c r="BP10" i="7" s="1"/>
  <c r="BN31" i="1"/>
  <c r="BO10" i="7" s="1"/>
  <c r="BM31" i="1"/>
  <c r="BN10" i="7" s="1"/>
  <c r="BL31" i="1"/>
  <c r="BM10" i="7" s="1"/>
  <c r="BK31" i="1"/>
  <c r="BL10" i="7" s="1"/>
  <c r="BJ31" i="1"/>
  <c r="BI31" i="1"/>
  <c r="BJ10" i="7" s="1"/>
  <c r="BH31" i="1"/>
  <c r="BI10" i="7" s="1"/>
  <c r="BG31" i="1"/>
  <c r="BH10" i="7" s="1"/>
  <c r="GI30" i="1"/>
  <c r="GC30" i="1"/>
  <c r="GC9" i="7" s="1"/>
  <c r="GB30" i="1"/>
  <c r="GB9" i="7" s="1"/>
  <c r="GA30" i="1"/>
  <c r="FZ30" i="1"/>
  <c r="FZ9" i="7" s="1"/>
  <c r="FY30" i="1"/>
  <c r="FY9" i="7" s="1"/>
  <c r="FX30" i="1"/>
  <c r="FX9" i="7" s="1"/>
  <c r="FW30" i="1"/>
  <c r="FW9" i="7" s="1"/>
  <c r="FV30" i="1"/>
  <c r="FV9" i="7" s="1"/>
  <c r="FU30" i="1"/>
  <c r="FU9" i="7" s="1"/>
  <c r="FT30" i="1"/>
  <c r="FT9" i="7" s="1"/>
  <c r="FS30" i="1"/>
  <c r="FR30" i="1"/>
  <c r="FR9" i="7" s="1"/>
  <c r="FQ30" i="1"/>
  <c r="FQ9" i="7" s="1"/>
  <c r="FP30" i="1"/>
  <c r="FP9" i="7" s="1"/>
  <c r="FO30" i="1"/>
  <c r="FN30" i="1"/>
  <c r="FN9" i="7" s="1"/>
  <c r="FM30" i="1"/>
  <c r="FM9" i="7" s="1"/>
  <c r="FL30" i="1"/>
  <c r="FL9" i="7" s="1"/>
  <c r="FK30" i="1"/>
  <c r="FJ30" i="1"/>
  <c r="FI30" i="1"/>
  <c r="FI9" i="7" s="1"/>
  <c r="FH30" i="1"/>
  <c r="FH9" i="7" s="1"/>
  <c r="FG30" i="1"/>
  <c r="FG9" i="7" s="1"/>
  <c r="FF30" i="1"/>
  <c r="FF9" i="7" s="1"/>
  <c r="FE30" i="1"/>
  <c r="FE9" i="7" s="1"/>
  <c r="FD30" i="1"/>
  <c r="FD9" i="7" s="1"/>
  <c r="FC30" i="1"/>
  <c r="FB30" i="1"/>
  <c r="FB9" i="7" s="1"/>
  <c r="FA30" i="1"/>
  <c r="FA9" i="7" s="1"/>
  <c r="EZ30" i="1"/>
  <c r="EZ9" i="7" s="1"/>
  <c r="EY30" i="1"/>
  <c r="EY9" i="7" s="1"/>
  <c r="EX30" i="1"/>
  <c r="EX9" i="7" s="1"/>
  <c r="EW30" i="1"/>
  <c r="EW9" i="7" s="1"/>
  <c r="EV30" i="1"/>
  <c r="EV9" i="7" s="1"/>
  <c r="EU30" i="1"/>
  <c r="ET30" i="1"/>
  <c r="ET9" i="7" s="1"/>
  <c r="ES30" i="1"/>
  <c r="ES9" i="7" s="1"/>
  <c r="ER30" i="1"/>
  <c r="ER9" i="7" s="1"/>
  <c r="EQ30" i="1"/>
  <c r="EQ9" i="7" s="1"/>
  <c r="EP30" i="1"/>
  <c r="EP9" i="7" s="1"/>
  <c r="EO30" i="1"/>
  <c r="EO9" i="7" s="1"/>
  <c r="EN30" i="1"/>
  <c r="EN9" i="7" s="1"/>
  <c r="EM30" i="1"/>
  <c r="EL30" i="1"/>
  <c r="EL9" i="7" s="1"/>
  <c r="EK30" i="1"/>
  <c r="EK9" i="7" s="1"/>
  <c r="EJ30" i="1"/>
  <c r="EJ9" i="7" s="1"/>
  <c r="EI30" i="1"/>
  <c r="EI9" i="7" s="1"/>
  <c r="GF29" i="1"/>
  <c r="FM27" i="3" s="1"/>
  <c r="GE29" i="1"/>
  <c r="GE8" i="7" s="1"/>
  <c r="GD29" i="1"/>
  <c r="GD8" i="7" s="1"/>
  <c r="GC29" i="1"/>
  <c r="GC8" i="7" s="1"/>
  <c r="GB29" i="1"/>
  <c r="GB8" i="7" s="1"/>
  <c r="GA29" i="1"/>
  <c r="GA8" i="7" s="1"/>
  <c r="FZ29" i="1"/>
  <c r="FZ8" i="7" s="1"/>
  <c r="FY29" i="1"/>
  <c r="FY8" i="7" s="1"/>
  <c r="FX29" i="1"/>
  <c r="FX8" i="7" s="1"/>
  <c r="FW29" i="1"/>
  <c r="FW8" i="7" s="1"/>
  <c r="FV29" i="1"/>
  <c r="FV8" i="7" s="1"/>
  <c r="FU29" i="1"/>
  <c r="FU8" i="7" s="1"/>
  <c r="FT29" i="1"/>
  <c r="FT8" i="7" s="1"/>
  <c r="FS29" i="1"/>
  <c r="FS8" i="7" s="1"/>
  <c r="FR29" i="1"/>
  <c r="FR8" i="7" s="1"/>
  <c r="FQ29" i="1"/>
  <c r="FQ8" i="7" s="1"/>
  <c r="FP29" i="1"/>
  <c r="FP8" i="7" s="1"/>
  <c r="FO29" i="1"/>
  <c r="FO8" i="7" s="1"/>
  <c r="FN29" i="1"/>
  <c r="FN8" i="7" s="1"/>
  <c r="FM29" i="1"/>
  <c r="FM8" i="7" s="1"/>
  <c r="FL29" i="1"/>
  <c r="FK29" i="1"/>
  <c r="FK8" i="7" s="1"/>
  <c r="FJ29" i="1"/>
  <c r="FJ8" i="7" s="1"/>
  <c r="FI29" i="1"/>
  <c r="FI8" i="7" s="1"/>
  <c r="FH29" i="1"/>
  <c r="FH8" i="7" s="1"/>
  <c r="FG29" i="1"/>
  <c r="FG8" i="7" s="1"/>
  <c r="FF29" i="1"/>
  <c r="FF8" i="7" s="1"/>
  <c r="FE29" i="1"/>
  <c r="FE8" i="7" s="1"/>
  <c r="FD29" i="1"/>
  <c r="FC29" i="1"/>
  <c r="FC8" i="7" s="1"/>
  <c r="FB29" i="1"/>
  <c r="FB8" i="7" s="1"/>
  <c r="FA29" i="1"/>
  <c r="FA8" i="7" s="1"/>
  <c r="EZ29" i="1"/>
  <c r="EZ8" i="7" s="1"/>
  <c r="EY29" i="1"/>
  <c r="EY8" i="7" s="1"/>
  <c r="EX29" i="1"/>
  <c r="EX8" i="7" s="1"/>
  <c r="EW29" i="1"/>
  <c r="EW8" i="7" s="1"/>
  <c r="EV29" i="1"/>
  <c r="EV8" i="7" s="1"/>
  <c r="EU29" i="1"/>
  <c r="EU8" i="7" s="1"/>
  <c r="ET29" i="1"/>
  <c r="ET8" i="7" s="1"/>
  <c r="ES29" i="1"/>
  <c r="ES8" i="7" s="1"/>
  <c r="ER29" i="1"/>
  <c r="ER8" i="7" s="1"/>
  <c r="EQ29" i="1"/>
  <c r="EQ8" i="7" s="1"/>
  <c r="EP29" i="1"/>
  <c r="EP8" i="7" s="1"/>
  <c r="EO29" i="1"/>
  <c r="EO8" i="7" s="1"/>
  <c r="EN29" i="1"/>
  <c r="EN8" i="7" s="1"/>
  <c r="EM29" i="1"/>
  <c r="EM8" i="7" s="1"/>
  <c r="EL29" i="1"/>
  <c r="EL8" i="7" s="1"/>
  <c r="EK29" i="1"/>
  <c r="EK8" i="7" s="1"/>
  <c r="EJ29" i="1"/>
  <c r="EI29" i="1"/>
  <c r="EI8" i="7" s="1"/>
  <c r="EH29" i="1"/>
  <c r="EH8" i="7" s="1"/>
  <c r="EG29" i="1"/>
  <c r="EG8" i="7" s="1"/>
  <c r="EF29" i="1"/>
  <c r="EF8" i="7" s="1"/>
  <c r="EE29" i="1"/>
  <c r="EE8" i="7" s="1"/>
  <c r="ED29" i="1"/>
  <c r="ED8" i="7" s="1"/>
  <c r="EC29" i="1"/>
  <c r="EC8" i="7" s="1"/>
  <c r="EB29" i="1"/>
  <c r="EB8" i="7" s="1"/>
  <c r="EA29" i="1"/>
  <c r="EA8" i="7" s="1"/>
  <c r="DZ29" i="1"/>
  <c r="DZ8" i="7" s="1"/>
  <c r="DY29" i="1"/>
  <c r="DY8" i="7" s="1"/>
  <c r="DX29" i="1"/>
  <c r="DX8" i="7" s="1"/>
  <c r="DW29" i="1"/>
  <c r="DW8" i="7" s="1"/>
  <c r="DV29" i="1"/>
  <c r="DV8" i="7" s="1"/>
  <c r="DU29" i="1"/>
  <c r="DU8" i="7" s="1"/>
  <c r="DT29" i="1"/>
  <c r="DT8" i="7" s="1"/>
  <c r="DR29" i="1"/>
  <c r="DR8" i="7" s="1"/>
  <c r="DQ29" i="1"/>
  <c r="DQ8" i="7" s="1"/>
  <c r="DO29" i="1"/>
  <c r="DO8" i="7" s="1"/>
  <c r="DN29" i="1"/>
  <c r="DN8" i="7" s="1"/>
  <c r="DM29" i="1"/>
  <c r="DM8" i="7" s="1"/>
  <c r="DL29" i="1"/>
  <c r="DL8" i="7" s="1"/>
  <c r="DK29" i="1"/>
  <c r="DJ29" i="1"/>
  <c r="DH29" i="1"/>
  <c r="DH8" i="7" s="1"/>
  <c r="DG29" i="1"/>
  <c r="DG8" i="7" s="1"/>
  <c r="DF29" i="1"/>
  <c r="DF8" i="7" s="1"/>
  <c r="DE29" i="1"/>
  <c r="DE8" i="7" s="1"/>
  <c r="DD29" i="1"/>
  <c r="DD8" i="7" s="1"/>
  <c r="DC29" i="1"/>
  <c r="DC8" i="7" s="1"/>
  <c r="DB29" i="1"/>
  <c r="DA29" i="1"/>
  <c r="CZ29" i="1"/>
  <c r="CZ8" i="7" s="1"/>
  <c r="CY29" i="1"/>
  <c r="CY8" i="7" s="1"/>
  <c r="CX29" i="1"/>
  <c r="CX8" i="7" s="1"/>
  <c r="CW29" i="1"/>
  <c r="CV29" i="1"/>
  <c r="CV8" i="7" s="1"/>
  <c r="CU29" i="1"/>
  <c r="CU8" i="7" s="1"/>
  <c r="CT29" i="1"/>
  <c r="CT8" i="7" s="1"/>
  <c r="CS29" i="1"/>
  <c r="CR29" i="1"/>
  <c r="CR8" i="7" s="1"/>
  <c r="CQ29" i="1"/>
  <c r="CQ8" i="7" s="1"/>
  <c r="CP29" i="1"/>
  <c r="CP8" i="7" s="1"/>
  <c r="CO29" i="1"/>
  <c r="CN29" i="1"/>
  <c r="CN8" i="7" s="1"/>
  <c r="CM29" i="1"/>
  <c r="CM8" i="7" s="1"/>
  <c r="CL29" i="1"/>
  <c r="CL8" i="7" s="1"/>
  <c r="CK29" i="1"/>
  <c r="CJ29" i="1"/>
  <c r="CJ8" i="7" s="1"/>
  <c r="CI29" i="1"/>
  <c r="CH29" i="1"/>
  <c r="CI8" i="7" s="1"/>
  <c r="CG29" i="1"/>
  <c r="CH8" i="7" s="1"/>
  <c r="CF29" i="1"/>
  <c r="CG8" i="7" s="1"/>
  <c r="CE29" i="1"/>
  <c r="CD29" i="1"/>
  <c r="CE8" i="7" s="1"/>
  <c r="CC29" i="1"/>
  <c r="CB29" i="1"/>
  <c r="CC8" i="7" s="1"/>
  <c r="CA29" i="1"/>
  <c r="CB8" i="7" s="1"/>
  <c r="BZ29" i="1"/>
  <c r="CA8" i="7" s="1"/>
  <c r="BY29" i="1"/>
  <c r="BZ8" i="7" s="1"/>
  <c r="BX29" i="1"/>
  <c r="BY8" i="7" s="1"/>
  <c r="BW29" i="1"/>
  <c r="BX8" i="7" s="1"/>
  <c r="BV29" i="1"/>
  <c r="BU29" i="1"/>
  <c r="BT29" i="1"/>
  <c r="BU8" i="7" s="1"/>
  <c r="BS29" i="1"/>
  <c r="BT8" i="7" s="1"/>
  <c r="BR29" i="1"/>
  <c r="BS8" i="7" s="1"/>
  <c r="BQ29" i="1"/>
  <c r="BR8" i="7" s="1"/>
  <c r="BP29" i="1"/>
  <c r="BQ8" i="7" s="1"/>
  <c r="BO29" i="1"/>
  <c r="BP8" i="7" s="1"/>
  <c r="BN29" i="1"/>
  <c r="BO8" i="7" s="1"/>
  <c r="BM29" i="1"/>
  <c r="BL29" i="1"/>
  <c r="BM8" i="7" s="1"/>
  <c r="BK29" i="1"/>
  <c r="BL8" i="7" s="1"/>
  <c r="BJ29" i="1"/>
  <c r="BK8" i="7" s="1"/>
  <c r="BI29" i="1"/>
  <c r="BJ8" i="7" s="1"/>
  <c r="BH29" i="1"/>
  <c r="BI8" i="7" s="1"/>
  <c r="BG29" i="1"/>
  <c r="BH8" i="7" s="1"/>
  <c r="BF29" i="1"/>
  <c r="BG8" i="7" s="1"/>
  <c r="BE29" i="1"/>
  <c r="BD29" i="1"/>
  <c r="BE8" i="7" s="1"/>
  <c r="BC29" i="1"/>
  <c r="BD8" i="7" s="1"/>
  <c r="GC28" i="1"/>
  <c r="GC7" i="7" s="1"/>
  <c r="GB28" i="1"/>
  <c r="GA28" i="1"/>
  <c r="GA7" i="7" s="1"/>
  <c r="FZ28" i="1"/>
  <c r="FY28" i="1"/>
  <c r="FX28" i="1"/>
  <c r="FX7" i="7" s="1"/>
  <c r="FW28" i="1"/>
  <c r="FW7" i="7" s="1"/>
  <c r="FV28" i="1"/>
  <c r="FV7" i="7" s="1"/>
  <c r="FU28" i="1"/>
  <c r="FU7" i="7" s="1"/>
  <c r="FT28" i="1"/>
  <c r="FT7" i="7" s="1"/>
  <c r="FS28" i="1"/>
  <c r="FS7" i="7" s="1"/>
  <c r="FR28" i="1"/>
  <c r="FQ28" i="1"/>
  <c r="FQ7" i="7" s="1"/>
  <c r="FP28" i="1"/>
  <c r="FP7" i="7" s="1"/>
  <c r="FO28" i="1"/>
  <c r="FO7" i="7" s="1"/>
  <c r="FN28" i="1"/>
  <c r="FN7" i="7" s="1"/>
  <c r="FM28" i="1"/>
  <c r="FM7" i="7" s="1"/>
  <c r="FL28" i="1"/>
  <c r="FL7" i="7" s="1"/>
  <c r="FK28" i="1"/>
  <c r="FK7" i="7" s="1"/>
  <c r="FJ28" i="1"/>
  <c r="FI28" i="1"/>
  <c r="FI7" i="7" s="1"/>
  <c r="FH28" i="1"/>
  <c r="FH7" i="7" s="1"/>
  <c r="FG28" i="1"/>
  <c r="FG7" i="7" s="1"/>
  <c r="FF28" i="1"/>
  <c r="FF7" i="7" s="1"/>
  <c r="FE28" i="1"/>
  <c r="FE7" i="7" s="1"/>
  <c r="FD28" i="1"/>
  <c r="FD7" i="7" s="1"/>
  <c r="FC28" i="1"/>
  <c r="FC7" i="7" s="1"/>
  <c r="FB28" i="1"/>
  <c r="FA28" i="1"/>
  <c r="FA7" i="7" s="1"/>
  <c r="EZ28" i="1"/>
  <c r="EY28" i="1"/>
  <c r="EY7" i="7" s="1"/>
  <c r="EX28" i="1"/>
  <c r="EX7" i="7" s="1"/>
  <c r="EW28" i="1"/>
  <c r="EW7" i="7" s="1"/>
  <c r="EV28" i="1"/>
  <c r="EU28" i="1"/>
  <c r="EU7" i="7" s="1"/>
  <c r="ET28" i="1"/>
  <c r="ES28" i="1"/>
  <c r="ER28" i="1"/>
  <c r="ER7" i="7" s="1"/>
  <c r="EQ28" i="1"/>
  <c r="EQ7" i="7" s="1"/>
  <c r="EP28" i="1"/>
  <c r="EP7" i="7" s="1"/>
  <c r="EO28" i="1"/>
  <c r="EO7" i="7" s="1"/>
  <c r="EN28" i="1"/>
  <c r="EN7" i="7" s="1"/>
  <c r="EM28" i="1"/>
  <c r="EM7" i="7" s="1"/>
  <c r="EL28" i="1"/>
  <c r="EK28" i="1"/>
  <c r="EK7" i="7" s="1"/>
  <c r="EJ28" i="1"/>
  <c r="EJ7" i="7" s="1"/>
  <c r="EI28" i="1"/>
  <c r="EI7" i="7" s="1"/>
  <c r="EH28" i="1"/>
  <c r="EH7" i="7" s="1"/>
  <c r="EG28" i="1"/>
  <c r="EG7" i="7" s="1"/>
  <c r="EF28" i="1"/>
  <c r="EF7" i="7" s="1"/>
  <c r="EE28" i="1"/>
  <c r="EE7" i="7" s="1"/>
  <c r="ED28" i="1"/>
  <c r="EC28" i="1"/>
  <c r="EC7" i="7" s="1"/>
  <c r="EB28" i="1"/>
  <c r="EB7" i="7" s="1"/>
  <c r="EA28" i="1"/>
  <c r="EA7" i="7" s="1"/>
  <c r="DZ28" i="1"/>
  <c r="DZ7" i="7" s="1"/>
  <c r="DY28" i="1"/>
  <c r="DY7" i="7" s="1"/>
  <c r="DX28" i="1"/>
  <c r="DX7" i="7" s="1"/>
  <c r="DW28" i="1"/>
  <c r="DW7" i="7" s="1"/>
  <c r="DV28" i="1"/>
  <c r="DU28" i="1"/>
  <c r="DU7" i="7" s="1"/>
  <c r="DT28" i="1"/>
  <c r="DT7" i="7" s="1"/>
  <c r="DR28" i="1"/>
  <c r="DR7" i="7" s="1"/>
  <c r="DQ28" i="1"/>
  <c r="DQ7" i="7" s="1"/>
  <c r="DO28" i="1"/>
  <c r="DO7" i="7" s="1"/>
  <c r="DN28" i="1"/>
  <c r="DN7" i="7" s="1"/>
  <c r="DM28" i="1"/>
  <c r="DM7" i="7" s="1"/>
  <c r="DL28" i="1"/>
  <c r="DK28" i="1"/>
  <c r="DK7" i="7" s="1"/>
  <c r="DJ28" i="1"/>
  <c r="DJ7" i="7" s="1"/>
  <c r="DH28" i="1"/>
  <c r="DH7" i="7" s="1"/>
  <c r="DG28" i="1"/>
  <c r="DG7" i="7" s="1"/>
  <c r="DF28" i="1"/>
  <c r="DF7" i="7" s="1"/>
  <c r="DE28" i="1"/>
  <c r="DE7" i="7" s="1"/>
  <c r="DD28" i="1"/>
  <c r="DD7" i="7" s="1"/>
  <c r="DC28" i="1"/>
  <c r="DB28" i="1"/>
  <c r="DB7" i="7" s="1"/>
  <c r="DA28" i="1"/>
  <c r="DA7" i="7" s="1"/>
  <c r="CZ28" i="1"/>
  <c r="CZ7" i="7" s="1"/>
  <c r="CY28" i="1"/>
  <c r="CY7" i="7" s="1"/>
  <c r="CX28" i="1"/>
  <c r="CX7" i="7" s="1"/>
  <c r="CW28" i="1"/>
  <c r="CV28" i="1"/>
  <c r="CV7" i="7" s="1"/>
  <c r="CU28" i="1"/>
  <c r="CT28" i="1"/>
  <c r="CT7" i="7" s="1"/>
  <c r="CS28" i="1"/>
  <c r="CS7" i="7" s="1"/>
  <c r="CR28" i="1"/>
  <c r="CR7" i="7" s="1"/>
  <c r="CQ28" i="1"/>
  <c r="CQ7" i="7" s="1"/>
  <c r="CP28" i="1"/>
  <c r="CP7" i="7" s="1"/>
  <c r="CO28" i="1"/>
  <c r="CO7" i="7" s="1"/>
  <c r="CN28" i="1"/>
  <c r="CN7" i="7" s="1"/>
  <c r="CM28" i="1"/>
  <c r="CL28" i="1"/>
  <c r="CK28" i="1"/>
  <c r="CJ28" i="1"/>
  <c r="CJ7" i="7" s="1"/>
  <c r="CI28" i="1"/>
  <c r="CH28" i="1"/>
  <c r="CI7" i="7" s="1"/>
  <c r="CG28" i="1"/>
  <c r="CH7" i="7" s="1"/>
  <c r="CF28" i="1"/>
  <c r="CG7" i="7" s="1"/>
  <c r="CE28" i="1"/>
  <c r="CD28" i="1"/>
  <c r="CE7" i="7" s="1"/>
  <c r="CC28" i="1"/>
  <c r="CB28" i="1"/>
  <c r="CC7" i="7" s="1"/>
  <c r="CA28" i="1"/>
  <c r="CB7" i="7" s="1"/>
  <c r="BZ28" i="1"/>
  <c r="CA7" i="7" s="1"/>
  <c r="BY28" i="1"/>
  <c r="BX28" i="1"/>
  <c r="BY7" i="7" s="1"/>
  <c r="BW28" i="1"/>
  <c r="BV28" i="1"/>
  <c r="BW7" i="7" s="1"/>
  <c r="BU28" i="1"/>
  <c r="BV7" i="7" s="1"/>
  <c r="BT28" i="1"/>
  <c r="BU7" i="7" s="1"/>
  <c r="BS28" i="1"/>
  <c r="BT7" i="7" s="1"/>
  <c r="BR28" i="1"/>
  <c r="BS7" i="7" s="1"/>
  <c r="BQ28" i="1"/>
  <c r="BR7" i="7" s="1"/>
  <c r="BP28" i="1"/>
  <c r="BQ7" i="7" s="1"/>
  <c r="BO28" i="1"/>
  <c r="BN28" i="1"/>
  <c r="BO7" i="7" s="1"/>
  <c r="BM28" i="1"/>
  <c r="BL28" i="1"/>
  <c r="BM7" i="7" s="1"/>
  <c r="BK28" i="1"/>
  <c r="BL7" i="7" s="1"/>
  <c r="BJ28" i="1"/>
  <c r="BK7" i="7" s="1"/>
  <c r="BI28" i="1"/>
  <c r="BJ7" i="7" s="1"/>
  <c r="BH28" i="1"/>
  <c r="BI7" i="7" s="1"/>
  <c r="BG28" i="1"/>
  <c r="BF28" i="1"/>
  <c r="BE28" i="1"/>
  <c r="BF7" i="7" s="1"/>
  <c r="BD28" i="1"/>
  <c r="BE7" i="7" s="1"/>
  <c r="BC28" i="1"/>
  <c r="BD7" i="7" s="1"/>
  <c r="BB28" i="1"/>
  <c r="BC7" i="7" s="1"/>
  <c r="BA28" i="1"/>
  <c r="BB7" i="7" s="1"/>
  <c r="AZ28" i="1"/>
  <c r="BA7" i="7" s="1"/>
  <c r="AY28" i="1"/>
  <c r="EH27" i="1"/>
  <c r="EH6" i="7" s="1"/>
  <c r="EG27" i="1"/>
  <c r="EG6" i="7" s="1"/>
  <c r="EF27" i="1"/>
  <c r="EF6" i="7" s="1"/>
  <c r="EE27" i="1"/>
  <c r="EE6" i="7" s="1"/>
  <c r="ED27" i="1"/>
  <c r="EC27" i="1"/>
  <c r="EB27" i="1"/>
  <c r="EB6" i="7" s="1"/>
  <c r="EA27" i="1"/>
  <c r="DZ27" i="1"/>
  <c r="DY27" i="1"/>
  <c r="DY6" i="7" s="1"/>
  <c r="DX27" i="1"/>
  <c r="DX6" i="7" s="1"/>
  <c r="DW27" i="1"/>
  <c r="DW6" i="7" s="1"/>
  <c r="DV27" i="1"/>
  <c r="DV6" i="7" s="1"/>
  <c r="DU27" i="1"/>
  <c r="DU6" i="7" s="1"/>
  <c r="DT27" i="1"/>
  <c r="DT6" i="7" s="1"/>
  <c r="DR27" i="1"/>
  <c r="DQ27" i="1"/>
  <c r="DO27" i="1"/>
  <c r="DO6" i="7" s="1"/>
  <c r="DN27" i="1"/>
  <c r="DN6" i="7" s="1"/>
  <c r="DM27" i="1"/>
  <c r="DM6" i="7" s="1"/>
  <c r="DL27" i="1"/>
  <c r="DL6" i="7" s="1"/>
  <c r="DK27" i="1"/>
  <c r="DK6" i="7" s="1"/>
  <c r="DJ27" i="1"/>
  <c r="DJ6" i="7" s="1"/>
  <c r="DH27" i="1"/>
  <c r="DG27" i="1"/>
  <c r="DG6" i="7" s="1"/>
  <c r="DF27" i="1"/>
  <c r="DE27" i="1"/>
  <c r="DE6" i="7" s="1"/>
  <c r="DD27" i="1"/>
  <c r="DD6" i="7" s="1"/>
  <c r="DC27" i="1"/>
  <c r="DC6" i="7" s="1"/>
  <c r="DB27" i="1"/>
  <c r="DB6" i="7" s="1"/>
  <c r="DA27" i="1"/>
  <c r="DA6" i="7" s="1"/>
  <c r="CZ27" i="1"/>
  <c r="CY27" i="1"/>
  <c r="CX27" i="1"/>
  <c r="CX6" i="7" s="1"/>
  <c r="CW27" i="1"/>
  <c r="CW6" i="7" s="1"/>
  <c r="CV27" i="1"/>
  <c r="CV6" i="7" s="1"/>
  <c r="CU27" i="1"/>
  <c r="CU6" i="7" s="1"/>
  <c r="CT27" i="1"/>
  <c r="CS27" i="1"/>
  <c r="CS6" i="7" s="1"/>
  <c r="CR27" i="1"/>
  <c r="CQ27" i="1"/>
  <c r="CQ6" i="7" s="1"/>
  <c r="CP27" i="1"/>
  <c r="CO27" i="1"/>
  <c r="CO6" i="7" s="1"/>
  <c r="CN27" i="1"/>
  <c r="CN6" i="7" s="1"/>
  <c r="CM27" i="1"/>
  <c r="CM6" i="7" s="1"/>
  <c r="CL27" i="1"/>
  <c r="CL6" i="7" s="1"/>
  <c r="CK27" i="1"/>
  <c r="CK6" i="7" s="1"/>
  <c r="CJ27" i="1"/>
  <c r="CI27" i="1"/>
  <c r="CH27" i="1"/>
  <c r="CI6" i="7" s="1"/>
  <c r="CG27" i="1"/>
  <c r="CH6" i="7" s="1"/>
  <c r="CF27" i="1"/>
  <c r="CG6" i="7" s="1"/>
  <c r="CE27" i="1"/>
  <c r="CF6" i="7" s="1"/>
  <c r="CD27" i="1"/>
  <c r="CE6" i="7" s="1"/>
  <c r="CC27" i="1"/>
  <c r="CD6" i="7" s="1"/>
  <c r="CB27" i="1"/>
  <c r="CA27" i="1"/>
  <c r="CB6" i="7" s="1"/>
  <c r="BZ27" i="1"/>
  <c r="BY27" i="1"/>
  <c r="BZ6" i="7" s="1"/>
  <c r="BX27" i="1"/>
  <c r="BY6" i="7" s="1"/>
  <c r="BW27" i="1"/>
  <c r="BX6" i="7" s="1"/>
  <c r="BV27" i="1"/>
  <c r="BW6" i="7" s="1"/>
  <c r="BU27" i="1"/>
  <c r="BV6" i="7" s="1"/>
  <c r="BT27" i="1"/>
  <c r="BS27" i="1"/>
  <c r="BR27" i="1"/>
  <c r="BS6" i="7" s="1"/>
  <c r="BQ27" i="1"/>
  <c r="BR6" i="7" s="1"/>
  <c r="BP27" i="1"/>
  <c r="BQ6" i="7" s="1"/>
  <c r="BO27" i="1"/>
  <c r="BP6" i="7" s="1"/>
  <c r="BN27" i="1"/>
  <c r="BM27" i="1"/>
  <c r="BN6" i="7" s="1"/>
  <c r="BL27" i="1"/>
  <c r="BK27" i="1"/>
  <c r="BL6" i="7" s="1"/>
  <c r="BJ27" i="1"/>
  <c r="BK6" i="7" s="1"/>
  <c r="BI27" i="1"/>
  <c r="BJ6" i="7" s="1"/>
  <c r="BH27" i="1"/>
  <c r="BI6" i="7" s="1"/>
  <c r="BG27" i="1"/>
  <c r="BH6" i="7" s="1"/>
  <c r="BF27" i="1"/>
  <c r="BG6" i="7" s="1"/>
  <c r="BE27" i="1"/>
  <c r="BF6" i="7" s="1"/>
  <c r="BD27" i="1"/>
  <c r="BC27" i="1"/>
  <c r="BD6" i="7" s="1"/>
  <c r="BB27" i="1"/>
  <c r="BC6" i="7" s="1"/>
  <c r="BA27" i="1"/>
  <c r="BB6" i="7" s="1"/>
  <c r="AZ27" i="1"/>
  <c r="BA6" i="7" s="1"/>
  <c r="AY27" i="1"/>
  <c r="AZ6" i="7" s="1"/>
  <c r="EH26" i="1"/>
  <c r="EH5" i="7" s="1"/>
  <c r="EG26" i="1"/>
  <c r="EG5" i="7" s="1"/>
  <c r="EF26" i="1"/>
  <c r="EE26" i="1"/>
  <c r="EE5" i="7" s="1"/>
  <c r="ED26" i="1"/>
  <c r="ED5" i="7" s="1"/>
  <c r="EC26" i="1"/>
  <c r="EC5" i="7" s="1"/>
  <c r="EB26" i="1"/>
  <c r="EB5" i="7" s="1"/>
  <c r="EA26" i="1"/>
  <c r="EA5" i="7" s="1"/>
  <c r="DZ26" i="1"/>
  <c r="DZ5" i="7" s="1"/>
  <c r="DY26" i="1"/>
  <c r="DY5" i="7" s="1"/>
  <c r="DX26" i="1"/>
  <c r="DW26" i="1"/>
  <c r="DW5" i="7" s="1"/>
  <c r="DV26" i="1"/>
  <c r="DU26" i="1"/>
  <c r="DU5" i="7" s="1"/>
  <c r="DT26" i="1"/>
  <c r="DT5" i="7" s="1"/>
  <c r="DR26" i="1"/>
  <c r="DR5" i="7" s="1"/>
  <c r="DQ26" i="1"/>
  <c r="DQ5" i="7" s="1"/>
  <c r="DO26" i="1"/>
  <c r="DO5" i="7" s="1"/>
  <c r="DN26" i="1"/>
  <c r="DM26" i="1"/>
  <c r="DM5" i="7" s="1"/>
  <c r="DL26" i="1"/>
  <c r="DL5" i="7" s="1"/>
  <c r="DK26" i="1"/>
  <c r="DK5" i="7" s="1"/>
  <c r="DJ26" i="1"/>
  <c r="DJ5" i="7" s="1"/>
  <c r="DH26" i="1"/>
  <c r="DH5" i="7" s="1"/>
  <c r="DG26" i="1"/>
  <c r="DG5" i="7" s="1"/>
  <c r="DF26" i="1"/>
  <c r="DF5" i="7" s="1"/>
  <c r="DE26" i="1"/>
  <c r="DD26" i="1"/>
  <c r="DD5" i="7" s="1"/>
  <c r="DC26" i="1"/>
  <c r="DB26" i="1"/>
  <c r="DB5" i="7" s="1"/>
  <c r="DA26" i="1"/>
  <c r="DA5" i="7" s="1"/>
  <c r="CZ26" i="1"/>
  <c r="CZ5" i="7" s="1"/>
  <c r="CY26" i="1"/>
  <c r="CY5" i="7" s="1"/>
  <c r="CX26" i="1"/>
  <c r="CX5" i="7" s="1"/>
  <c r="CW26" i="1"/>
  <c r="CV26" i="1"/>
  <c r="CV5" i="7" s="1"/>
  <c r="CU26" i="1"/>
  <c r="CT26" i="1"/>
  <c r="CT5" i="7" s="1"/>
  <c r="CS26" i="1"/>
  <c r="CS5" i="7" s="1"/>
  <c r="CR26" i="1"/>
  <c r="CR5" i="7" s="1"/>
  <c r="CQ26" i="1"/>
  <c r="CQ5" i="7" s="1"/>
  <c r="CP26" i="1"/>
  <c r="CP5" i="7" s="1"/>
  <c r="CO26" i="1"/>
  <c r="CN26" i="1"/>
  <c r="CN5" i="7" s="1"/>
  <c r="CM26" i="1"/>
  <c r="CM5" i="7" s="1"/>
  <c r="CL26" i="1"/>
  <c r="CL5" i="7" s="1"/>
  <c r="CK26" i="1"/>
  <c r="CK5" i="7" s="1"/>
  <c r="CJ26" i="1"/>
  <c r="CJ5" i="7" s="1"/>
  <c r="CI26" i="1"/>
  <c r="BP24" i="3" s="1"/>
  <c r="CH26" i="1"/>
  <c r="CI5" i="7" s="1"/>
  <c r="CG26" i="1"/>
  <c r="CF26" i="1"/>
  <c r="CE26" i="1"/>
  <c r="CF5" i="7" s="1"/>
  <c r="CD26" i="1"/>
  <c r="CE5" i="7" s="1"/>
  <c r="CC26" i="1"/>
  <c r="CD5" i="7" s="1"/>
  <c r="CB26" i="1"/>
  <c r="CC5" i="7" s="1"/>
  <c r="CA26" i="1"/>
  <c r="CB5" i="7" s="1"/>
  <c r="BZ26" i="1"/>
  <c r="CA5" i="7" s="1"/>
  <c r="BY26" i="1"/>
  <c r="BX26" i="1"/>
  <c r="BY5" i="7" s="1"/>
  <c r="BW26" i="1"/>
  <c r="BV26" i="1"/>
  <c r="BW5" i="7" s="1"/>
  <c r="BU26" i="1"/>
  <c r="BV5" i="7" s="1"/>
  <c r="BT26" i="1"/>
  <c r="BU5" i="7" s="1"/>
  <c r="BS26" i="1"/>
  <c r="BT5" i="7" s="1"/>
  <c r="BR26" i="1"/>
  <c r="BS5" i="7" s="1"/>
  <c r="BQ26" i="1"/>
  <c r="BP26" i="1"/>
  <c r="BQ5" i="7" s="1"/>
  <c r="BO26" i="1"/>
  <c r="BP5" i="7" s="1"/>
  <c r="BN26" i="1"/>
  <c r="BO5" i="7" s="1"/>
  <c r="BM26" i="1"/>
  <c r="BN5" i="7" s="1"/>
  <c r="BL26" i="1"/>
  <c r="BK26" i="1"/>
  <c r="BJ26" i="1"/>
  <c r="BK5" i="7" s="1"/>
  <c r="BI26" i="1"/>
  <c r="BH26" i="1"/>
  <c r="BI5" i="7" s="1"/>
  <c r="BG26" i="1"/>
  <c r="BH5" i="7" s="1"/>
  <c r="BF26" i="1"/>
  <c r="BG5" i="7" s="1"/>
  <c r="BE26" i="1"/>
  <c r="BF5" i="7" s="1"/>
  <c r="BD26" i="1"/>
  <c r="BE5" i="7" s="1"/>
  <c r="BC26" i="1"/>
  <c r="BD5" i="7" s="1"/>
  <c r="BB26" i="1"/>
  <c r="BC5" i="7" s="1"/>
  <c r="BA26" i="1"/>
  <c r="AZ26" i="1"/>
  <c r="AY26" i="1"/>
  <c r="AZ5" i="7" s="1"/>
  <c r="EH25" i="1"/>
  <c r="EH4" i="7" s="1"/>
  <c r="EG25" i="1"/>
  <c r="EG4" i="7" s="1"/>
  <c r="EF25" i="1"/>
  <c r="EF4" i="7" s="1"/>
  <c r="EE25" i="1"/>
  <c r="EE4" i="7" s="1"/>
  <c r="ED25" i="1"/>
  <c r="ED4" i="7" s="1"/>
  <c r="EC25" i="1"/>
  <c r="EC4" i="7" s="1"/>
  <c r="EB25" i="1"/>
  <c r="EB4" i="7" s="1"/>
  <c r="EA25" i="1"/>
  <c r="EA4" i="7" s="1"/>
  <c r="DZ25" i="1"/>
  <c r="DZ4" i="7" s="1"/>
  <c r="DY25" i="1"/>
  <c r="DY4" i="7" s="1"/>
  <c r="DX25" i="1"/>
  <c r="DX4" i="7" s="1"/>
  <c r="DW25" i="1"/>
  <c r="DW4" i="7" s="1"/>
  <c r="DV25" i="1"/>
  <c r="DV4" i="7" s="1"/>
  <c r="DU25" i="1"/>
  <c r="DU4" i="7" s="1"/>
  <c r="DT25" i="1"/>
  <c r="DT4" i="7" s="1"/>
  <c r="DR25" i="1"/>
  <c r="DR4" i="7" s="1"/>
  <c r="DQ25" i="1"/>
  <c r="DQ4" i="7" s="1"/>
  <c r="DO25" i="1"/>
  <c r="DO4" i="7" s="1"/>
  <c r="DN25" i="1"/>
  <c r="DN4" i="7" s="1"/>
  <c r="DM25" i="1"/>
  <c r="DL25" i="1"/>
  <c r="DL4" i="7" s="1"/>
  <c r="DK25" i="1"/>
  <c r="DJ25" i="1"/>
  <c r="DJ4" i="7" s="1"/>
  <c r="DH25" i="1"/>
  <c r="DH4" i="7" s="1"/>
  <c r="DG25" i="1"/>
  <c r="DG4" i="7" s="1"/>
  <c r="DF25" i="1"/>
  <c r="DF4" i="7" s="1"/>
  <c r="DE25" i="1"/>
  <c r="DE4" i="7" s="1"/>
  <c r="DD25" i="1"/>
  <c r="DD4" i="7" s="1"/>
  <c r="DC25" i="1"/>
  <c r="DC4" i="7" s="1"/>
  <c r="DB25" i="1"/>
  <c r="DA25" i="1"/>
  <c r="DA4" i="7" s="1"/>
  <c r="CZ25" i="1"/>
  <c r="CZ4" i="7" s="1"/>
  <c r="CY25" i="1"/>
  <c r="CY4" i="7" s="1"/>
  <c r="CX25" i="1"/>
  <c r="CX4" i="7" s="1"/>
  <c r="CW25" i="1"/>
  <c r="CV25" i="1"/>
  <c r="CV4" i="7" s="1"/>
  <c r="CU25" i="1"/>
  <c r="CU4" i="7" s="1"/>
  <c r="CT25" i="1"/>
  <c r="CS25" i="1"/>
  <c r="CS4" i="7" s="1"/>
  <c r="CR25" i="1"/>
  <c r="CQ25" i="1"/>
  <c r="CQ4" i="7" s="1"/>
  <c r="CP25" i="1"/>
  <c r="CP4" i="7" s="1"/>
  <c r="CO25" i="1"/>
  <c r="CO4" i="7" s="1"/>
  <c r="CN25" i="1"/>
  <c r="CN4" i="7" s="1"/>
  <c r="CM25" i="1"/>
  <c r="CM4" i="7" s="1"/>
  <c r="CL25" i="1"/>
  <c r="CK25" i="1"/>
  <c r="CK4" i="7" s="1"/>
  <c r="CJ25" i="1"/>
  <c r="CJ4" i="7" s="1"/>
  <c r="CI25" i="1"/>
  <c r="CH25" i="1"/>
  <c r="CI4" i="7" s="1"/>
  <c r="CG25" i="1"/>
  <c r="CH4" i="7" s="1"/>
  <c r="CF25" i="1"/>
  <c r="CE25" i="1"/>
  <c r="CF4" i="7" s="1"/>
  <c r="CD25" i="1"/>
  <c r="CC25" i="1"/>
  <c r="CB25" i="1"/>
  <c r="CC4" i="7" s="1"/>
  <c r="CA25" i="1"/>
  <c r="CB4" i="7" s="1"/>
  <c r="BZ25" i="1"/>
  <c r="CA4" i="7" s="1"/>
  <c r="BY25" i="1"/>
  <c r="BZ4" i="7" s="1"/>
  <c r="BX25" i="1"/>
  <c r="BY4" i="7" s="1"/>
  <c r="BW25" i="1"/>
  <c r="BX4" i="7" s="1"/>
  <c r="BV25" i="1"/>
  <c r="BU25" i="1"/>
  <c r="BV4" i="7" s="1"/>
  <c r="BT25" i="1"/>
  <c r="BU4" i="7" s="1"/>
  <c r="BS25" i="1"/>
  <c r="BT4" i="7" s="1"/>
  <c r="BR25" i="1"/>
  <c r="BS4" i="7" s="1"/>
  <c r="BQ25" i="1"/>
  <c r="BR4" i="7" s="1"/>
  <c r="BP25" i="1"/>
  <c r="BO25" i="1"/>
  <c r="BP4" i="7" s="1"/>
  <c r="BN25" i="1"/>
  <c r="BM25" i="1"/>
  <c r="BN4" i="7" s="1"/>
  <c r="BL25" i="1"/>
  <c r="BM4" i="7" s="1"/>
  <c r="BK25" i="1"/>
  <c r="BL4" i="7" s="1"/>
  <c r="BJ25" i="1"/>
  <c r="BK4" i="7" s="1"/>
  <c r="BI25" i="1"/>
  <c r="BJ4" i="7" s="1"/>
  <c r="BH25" i="1"/>
  <c r="BI4" i="7" s="1"/>
  <c r="BG25" i="1"/>
  <c r="BH4" i="7" s="1"/>
  <c r="BF25" i="1"/>
  <c r="BE25" i="1"/>
  <c r="BF4" i="7" s="1"/>
  <c r="BD25" i="1"/>
  <c r="BE4" i="7" s="1"/>
  <c r="BC25" i="1"/>
  <c r="BD4" i="7" s="1"/>
  <c r="BB25" i="1"/>
  <c r="BC4" i="7" s="1"/>
  <c r="BA25" i="1"/>
  <c r="AZ25" i="1"/>
  <c r="BA4" i="7" s="1"/>
  <c r="AY25" i="1"/>
  <c r="AZ4" i="7" s="1"/>
  <c r="GF23" i="1"/>
  <c r="GF8" i="6" s="1"/>
  <c r="GE23" i="1"/>
  <c r="GE8" i="6" s="1"/>
  <c r="GD23" i="1"/>
  <c r="GD8" i="6" s="1"/>
  <c r="GC23" i="1"/>
  <c r="GC8" i="6" s="1"/>
  <c r="GB23" i="1"/>
  <c r="GB8" i="6" s="1"/>
  <c r="GA23" i="1"/>
  <c r="FZ23" i="1"/>
  <c r="FZ8" i="6" s="1"/>
  <c r="FY23" i="1"/>
  <c r="FY8" i="6" s="1"/>
  <c r="FX23" i="1"/>
  <c r="FX8" i="6" s="1"/>
  <c r="FW23" i="1"/>
  <c r="FW8" i="6" s="1"/>
  <c r="FV23" i="1"/>
  <c r="FU23" i="1"/>
  <c r="FU8" i="6" s="1"/>
  <c r="FT23" i="1"/>
  <c r="FT8" i="6" s="1"/>
  <c r="FS23" i="1"/>
  <c r="FR23" i="1"/>
  <c r="FR8" i="6" s="1"/>
  <c r="FQ23" i="1"/>
  <c r="FQ8" i="6" s="1"/>
  <c r="FP23" i="1"/>
  <c r="FP8" i="6" s="1"/>
  <c r="FO23" i="1"/>
  <c r="FO8" i="6" s="1"/>
  <c r="FN23" i="1"/>
  <c r="FM23" i="1"/>
  <c r="FM8" i="6" s="1"/>
  <c r="FL23" i="1"/>
  <c r="FK23" i="1"/>
  <c r="FJ23" i="1"/>
  <c r="FJ8" i="6" s="1"/>
  <c r="FI23" i="1"/>
  <c r="FI8" i="6" s="1"/>
  <c r="FH23" i="1"/>
  <c r="FH8" i="6" s="1"/>
  <c r="FG23" i="1"/>
  <c r="FG8" i="6" s="1"/>
  <c r="FF23" i="1"/>
  <c r="FF8" i="6" s="1"/>
  <c r="FE23" i="1"/>
  <c r="FE8" i="6" s="1"/>
  <c r="FD23" i="1"/>
  <c r="FD8" i="6" s="1"/>
  <c r="FC23" i="1"/>
  <c r="FB23" i="1"/>
  <c r="FA23" i="1"/>
  <c r="FA8" i="6" s="1"/>
  <c r="EZ23" i="1"/>
  <c r="EZ8" i="6" s="1"/>
  <c r="EY23" i="1"/>
  <c r="EY8" i="6" s="1"/>
  <c r="EX23" i="1"/>
  <c r="EX8" i="6" s="1"/>
  <c r="EW23" i="1"/>
  <c r="EW8" i="6" s="1"/>
  <c r="EV23" i="1"/>
  <c r="EV8" i="6" s="1"/>
  <c r="EU23" i="1"/>
  <c r="EB21" i="3" s="1"/>
  <c r="ET23" i="1"/>
  <c r="ET8" i="6" s="1"/>
  <c r="ES23" i="1"/>
  <c r="ER23" i="1"/>
  <c r="ER8" i="6" s="1"/>
  <c r="EQ23" i="1"/>
  <c r="EQ8" i="6" s="1"/>
  <c r="EP23" i="1"/>
  <c r="EO23" i="1"/>
  <c r="EO8" i="6" s="1"/>
  <c r="EN23" i="1"/>
  <c r="EN8" i="6" s="1"/>
  <c r="EM23" i="1"/>
  <c r="EL23" i="1"/>
  <c r="EL8" i="6" s="1"/>
  <c r="EK23" i="1"/>
  <c r="EJ23" i="1"/>
  <c r="EJ8" i="6" s="1"/>
  <c r="EI23" i="1"/>
  <c r="EH23" i="1"/>
  <c r="EH8" i="6" s="1"/>
  <c r="EG23" i="1"/>
  <c r="EG8" i="6" s="1"/>
  <c r="EF23" i="1"/>
  <c r="EF8" i="6" s="1"/>
  <c r="EE23" i="1"/>
  <c r="ED23" i="1"/>
  <c r="ED8" i="6" s="1"/>
  <c r="EC23" i="1"/>
  <c r="EC8" i="6" s="1"/>
  <c r="EB23" i="1"/>
  <c r="EA23" i="1"/>
  <c r="EA8" i="6" s="1"/>
  <c r="DZ23" i="1"/>
  <c r="DZ8" i="6" s="1"/>
  <c r="DY23" i="1"/>
  <c r="DY8" i="6" s="1"/>
  <c r="DX23" i="1"/>
  <c r="DX8" i="6" s="1"/>
  <c r="DW23" i="1"/>
  <c r="DV23" i="1"/>
  <c r="DV8" i="6" s="1"/>
  <c r="DU23" i="1"/>
  <c r="DU8" i="6" s="1"/>
  <c r="DT23" i="1"/>
  <c r="DT8" i="6" s="1"/>
  <c r="DR23" i="1"/>
  <c r="DR8" i="6" s="1"/>
  <c r="DQ23" i="1"/>
  <c r="DQ8" i="6" s="1"/>
  <c r="DO23" i="1"/>
  <c r="DO8" i="6" s="1"/>
  <c r="DN23" i="1"/>
  <c r="DN8" i="6" s="1"/>
  <c r="DM23" i="1"/>
  <c r="DL23" i="1"/>
  <c r="DL8" i="6" s="1"/>
  <c r="DK23" i="1"/>
  <c r="DK8" i="6" s="1"/>
  <c r="DJ23" i="1"/>
  <c r="DH23" i="1"/>
  <c r="DH8" i="6" s="1"/>
  <c r="DG23" i="1"/>
  <c r="DF23" i="1"/>
  <c r="DF8" i="6" s="1"/>
  <c r="DE23" i="1"/>
  <c r="DE8" i="6" s="1"/>
  <c r="DD23" i="1"/>
  <c r="DD8" i="6" s="1"/>
  <c r="DC23" i="1"/>
  <c r="DC8" i="6" s="1"/>
  <c r="DB23" i="1"/>
  <c r="DA23" i="1"/>
  <c r="DA8" i="6" s="1"/>
  <c r="CZ23" i="1"/>
  <c r="CZ8" i="6" s="1"/>
  <c r="CY23" i="1"/>
  <c r="CY8" i="6" s="1"/>
  <c r="CX23" i="1"/>
  <c r="CX8" i="6" s="1"/>
  <c r="CW23" i="1"/>
  <c r="CV23" i="1"/>
  <c r="CV8" i="6" s="1"/>
  <c r="CU23" i="1"/>
  <c r="CU8" i="6" s="1"/>
  <c r="CT23" i="1"/>
  <c r="CS23" i="1"/>
  <c r="CS8" i="6" s="1"/>
  <c r="CR23" i="1"/>
  <c r="CR8" i="6" s="1"/>
  <c r="CQ23" i="1"/>
  <c r="CQ8" i="6" s="1"/>
  <c r="CP23" i="1"/>
  <c r="CP8" i="6" s="1"/>
  <c r="CO23" i="1"/>
  <c r="CO8" i="6" s="1"/>
  <c r="CN23" i="1"/>
  <c r="CN8" i="6" s="1"/>
  <c r="CM23" i="1"/>
  <c r="CL23" i="1"/>
  <c r="CK23" i="1"/>
  <c r="CK8" i="6" s="1"/>
  <c r="CJ23" i="1"/>
  <c r="CJ8" i="6" s="1"/>
  <c r="CI23" i="1"/>
  <c r="GF22" i="1"/>
  <c r="GF7" i="6" s="1"/>
  <c r="GE22" i="1"/>
  <c r="GE7" i="6" s="1"/>
  <c r="GD22" i="1"/>
  <c r="GD7" i="6" s="1"/>
  <c r="GC22" i="1"/>
  <c r="GB22" i="1"/>
  <c r="GA22" i="1"/>
  <c r="GA7" i="6" s="1"/>
  <c r="FZ22" i="1"/>
  <c r="FZ7" i="6" s="1"/>
  <c r="FY22" i="1"/>
  <c r="FY7" i="6" s="1"/>
  <c r="FX22" i="1"/>
  <c r="FX7" i="6" s="1"/>
  <c r="FW22" i="1"/>
  <c r="FW7" i="6" s="1"/>
  <c r="FV22" i="1"/>
  <c r="FV7" i="6" s="1"/>
  <c r="FU22" i="1"/>
  <c r="FT22" i="1"/>
  <c r="FT7" i="6" s="1"/>
  <c r="FS22" i="1"/>
  <c r="FS7" i="6" s="1"/>
  <c r="FR22" i="1"/>
  <c r="FR7" i="6" s="1"/>
  <c r="FQ22" i="1"/>
  <c r="FQ7" i="6" s="1"/>
  <c r="FP22" i="1"/>
  <c r="FP7" i="6" s="1"/>
  <c r="FO22" i="1"/>
  <c r="FO7" i="6" s="1"/>
  <c r="FN22" i="1"/>
  <c r="FN7" i="6" s="1"/>
  <c r="FM22" i="1"/>
  <c r="FL22" i="1"/>
  <c r="FL7" i="6" s="1"/>
  <c r="FK22" i="1"/>
  <c r="FK7" i="6" s="1"/>
  <c r="FJ22" i="1"/>
  <c r="FI22" i="1"/>
  <c r="FH22" i="1"/>
  <c r="FH7" i="6" s="1"/>
  <c r="FG22" i="1"/>
  <c r="FG7" i="6" s="1"/>
  <c r="FF22" i="1"/>
  <c r="FF7" i="6" s="1"/>
  <c r="FE22" i="1"/>
  <c r="FD22" i="1"/>
  <c r="FD7" i="6" s="1"/>
  <c r="FC22" i="1"/>
  <c r="FC7" i="6" s="1"/>
  <c r="FB22" i="1"/>
  <c r="FB7" i="6" s="1"/>
  <c r="FA22" i="1"/>
  <c r="FA7" i="6" s="1"/>
  <c r="EZ22" i="1"/>
  <c r="EZ7" i="6" s="1"/>
  <c r="EY22" i="1"/>
  <c r="EY7" i="6" s="1"/>
  <c r="EX22" i="1"/>
  <c r="EX7" i="6" s="1"/>
  <c r="EW22" i="1"/>
  <c r="EV22" i="1"/>
  <c r="EV7" i="6" s="1"/>
  <c r="EU22" i="1"/>
  <c r="EU7" i="6" s="1"/>
  <c r="ET22" i="1"/>
  <c r="ET7" i="6" s="1"/>
  <c r="ES22" i="1"/>
  <c r="ES7" i="6" s="1"/>
  <c r="ER22" i="1"/>
  <c r="ER7" i="6" s="1"/>
  <c r="EQ22" i="1"/>
  <c r="EQ7" i="6" s="1"/>
  <c r="EP22" i="1"/>
  <c r="EP7" i="6" s="1"/>
  <c r="EO22" i="1"/>
  <c r="EN22" i="1"/>
  <c r="EN7" i="6" s="1"/>
  <c r="EM22" i="1"/>
  <c r="EM7" i="6" s="1"/>
  <c r="EL22" i="1"/>
  <c r="EL7" i="6" s="1"/>
  <c r="EK22" i="1"/>
  <c r="EK7" i="6" s="1"/>
  <c r="EJ22" i="1"/>
  <c r="EJ7" i="6" s="1"/>
  <c r="EI22" i="1"/>
  <c r="EH22" i="1"/>
  <c r="EH7" i="6" s="1"/>
  <c r="EG22" i="1"/>
  <c r="EF22" i="1"/>
  <c r="EF7" i="6" s="1"/>
  <c r="EE22" i="1"/>
  <c r="EE7" i="6" s="1"/>
  <c r="ED22" i="1"/>
  <c r="ED7" i="6" s="1"/>
  <c r="EC22" i="1"/>
  <c r="EB22" i="1"/>
  <c r="EB7" i="6" s="1"/>
  <c r="EA22" i="1"/>
  <c r="EA7" i="6" s="1"/>
  <c r="DZ22" i="1"/>
  <c r="DZ7" i="6" s="1"/>
  <c r="DY22" i="1"/>
  <c r="DX22" i="1"/>
  <c r="DX7" i="6" s="1"/>
  <c r="DW22" i="1"/>
  <c r="DW7" i="6" s="1"/>
  <c r="DV22" i="1"/>
  <c r="DV7" i="6" s="1"/>
  <c r="DU22" i="1"/>
  <c r="DU7" i="6" s="1"/>
  <c r="DT22" i="1"/>
  <c r="DT7" i="6" s="1"/>
  <c r="DR22" i="1"/>
  <c r="DR7" i="6" s="1"/>
  <c r="DQ22" i="1"/>
  <c r="DQ7" i="6" s="1"/>
  <c r="DO22" i="1"/>
  <c r="DO7" i="6" s="1"/>
  <c r="DN22" i="1"/>
  <c r="DN7" i="6" s="1"/>
  <c r="DM22" i="1"/>
  <c r="DM7" i="6" s="1"/>
  <c r="DL22" i="1"/>
  <c r="DL7" i="6" s="1"/>
  <c r="DK22" i="1"/>
  <c r="DJ22" i="1"/>
  <c r="DJ7" i="6" s="1"/>
  <c r="DH22" i="1"/>
  <c r="DG22" i="1"/>
  <c r="DG7" i="6" s="1"/>
  <c r="DF22" i="1"/>
  <c r="DE22" i="1"/>
  <c r="DE7" i="6" s="1"/>
  <c r="DD22" i="1"/>
  <c r="DD7" i="6" s="1"/>
  <c r="DC22" i="1"/>
  <c r="DC7" i="6" s="1"/>
  <c r="DB22" i="1"/>
  <c r="DA22" i="1"/>
  <c r="DA7" i="6" s="1"/>
  <c r="CZ22" i="1"/>
  <c r="CZ7" i="6" s="1"/>
  <c r="CY22" i="1"/>
  <c r="CY7" i="6" s="1"/>
  <c r="CX22" i="1"/>
  <c r="CX7" i="6" s="1"/>
  <c r="CW22" i="1"/>
  <c r="CW7" i="6" s="1"/>
  <c r="CV22" i="1"/>
  <c r="CV7" i="6" s="1"/>
  <c r="CU22" i="1"/>
  <c r="CU7" i="6" s="1"/>
  <c r="CT22" i="1"/>
  <c r="CS22" i="1"/>
  <c r="CS7" i="6" s="1"/>
  <c r="CR22" i="1"/>
  <c r="CR7" i="6" s="1"/>
  <c r="CQ22" i="1"/>
  <c r="CQ7" i="6" s="1"/>
  <c r="CP22" i="1"/>
  <c r="CO22" i="1"/>
  <c r="CN22" i="1"/>
  <c r="CN7" i="6" s="1"/>
  <c r="CM22" i="1"/>
  <c r="CM7" i="6" s="1"/>
  <c r="CL22" i="1"/>
  <c r="CK22" i="1"/>
  <c r="CK7" i="6" s="1"/>
  <c r="CJ22" i="1"/>
  <c r="CJ7" i="6" s="1"/>
  <c r="CI22" i="1"/>
  <c r="CH22" i="1"/>
  <c r="CG22" i="1"/>
  <c r="CF22" i="1"/>
  <c r="CG7" i="6" s="1"/>
  <c r="CE22" i="1"/>
  <c r="CD22" i="1"/>
  <c r="CC22" i="1"/>
  <c r="CD7" i="6" s="1"/>
  <c r="CB22" i="1"/>
  <c r="CC7" i="6" s="1"/>
  <c r="CA22" i="1"/>
  <c r="CB7" i="6" s="1"/>
  <c r="BZ22" i="1"/>
  <c r="CA7" i="6" s="1"/>
  <c r="BY22" i="1"/>
  <c r="BZ7" i="6" s="1"/>
  <c r="BX22" i="1"/>
  <c r="BY7" i="6" s="1"/>
  <c r="BW22" i="1"/>
  <c r="BX7" i="6" s="1"/>
  <c r="BV22" i="1"/>
  <c r="BU22" i="1"/>
  <c r="BV7" i="6" s="1"/>
  <c r="GF21" i="1"/>
  <c r="GF6" i="6" s="1"/>
  <c r="GE21" i="1"/>
  <c r="GD21" i="1"/>
  <c r="GD6" i="6" s="1"/>
  <c r="GC21" i="1"/>
  <c r="GB21" i="1"/>
  <c r="GB6" i="6" s="1"/>
  <c r="GA21" i="1"/>
  <c r="GA6" i="6" s="1"/>
  <c r="FZ21" i="1"/>
  <c r="FZ6" i="6" s="1"/>
  <c r="FY21" i="1"/>
  <c r="FY6" i="6" s="1"/>
  <c r="FX21" i="1"/>
  <c r="FW21" i="1"/>
  <c r="FW6" i="6" s="1"/>
  <c r="FV21" i="1"/>
  <c r="FU21" i="1"/>
  <c r="FT21" i="1"/>
  <c r="FT6" i="6" s="1"/>
  <c r="FS21" i="1"/>
  <c r="FS6" i="6" s="1"/>
  <c r="FR21" i="1"/>
  <c r="FR6" i="6" s="1"/>
  <c r="FQ21" i="1"/>
  <c r="FQ6" i="6" s="1"/>
  <c r="FP21" i="1"/>
  <c r="FP6" i="6" s="1"/>
  <c r="FO21" i="1"/>
  <c r="FO6" i="6" s="1"/>
  <c r="FN21" i="1"/>
  <c r="FN6" i="6" s="1"/>
  <c r="FM21" i="1"/>
  <c r="FL21" i="1"/>
  <c r="FL6" i="6" s="1"/>
  <c r="FK21" i="1"/>
  <c r="FK6" i="6" s="1"/>
  <c r="FJ21" i="1"/>
  <c r="FI21" i="1"/>
  <c r="FI6" i="6" s="1"/>
  <c r="FH21" i="1"/>
  <c r="FH6" i="6" s="1"/>
  <c r="FG21" i="1"/>
  <c r="FG6" i="6" s="1"/>
  <c r="FF21" i="1"/>
  <c r="FF6" i="6" s="1"/>
  <c r="FE21" i="1"/>
  <c r="FD21" i="1"/>
  <c r="FD6" i="6" s="1"/>
  <c r="FC21" i="1"/>
  <c r="FC6" i="6" s="1"/>
  <c r="FB21" i="1"/>
  <c r="FB6" i="6" s="1"/>
  <c r="FA21" i="1"/>
  <c r="FA6" i="6" s="1"/>
  <c r="EZ21" i="1"/>
  <c r="EZ6" i="6" s="1"/>
  <c r="EY21" i="1"/>
  <c r="EY6" i="6" s="1"/>
  <c r="EX21" i="1"/>
  <c r="EX6" i="6" s="1"/>
  <c r="EW21" i="1"/>
  <c r="EV21" i="1"/>
  <c r="EV6" i="6" s="1"/>
  <c r="EU21" i="1"/>
  <c r="EU6" i="6" s="1"/>
  <c r="ET21" i="1"/>
  <c r="ET6" i="6" s="1"/>
  <c r="ES21" i="1"/>
  <c r="ES6" i="6" s="1"/>
  <c r="ER21" i="1"/>
  <c r="ER6" i="6" s="1"/>
  <c r="EQ21" i="1"/>
  <c r="EP21" i="1"/>
  <c r="EO21" i="1"/>
  <c r="EN21" i="1"/>
  <c r="EN6" i="6" s="1"/>
  <c r="EM21" i="1"/>
  <c r="EM6" i="6" s="1"/>
  <c r="EL21" i="1"/>
  <c r="EL6" i="6" s="1"/>
  <c r="EK21" i="1"/>
  <c r="EK6" i="6" s="1"/>
  <c r="EJ21" i="1"/>
  <c r="EJ6" i="6" s="1"/>
  <c r="EI21" i="1"/>
  <c r="EI6" i="6" s="1"/>
  <c r="EH21" i="1"/>
  <c r="EG21" i="1"/>
  <c r="EF21" i="1"/>
  <c r="EF6" i="6" s="1"/>
  <c r="EE21" i="1"/>
  <c r="EE6" i="6" s="1"/>
  <c r="ED21" i="1"/>
  <c r="ED6" i="6" s="1"/>
  <c r="EC21" i="1"/>
  <c r="EC6" i="6" s="1"/>
  <c r="EB21" i="1"/>
  <c r="EA21" i="1"/>
  <c r="EA6" i="6" s="1"/>
  <c r="DZ21" i="1"/>
  <c r="DY21" i="1"/>
  <c r="DX21" i="1"/>
  <c r="DX6" i="6" s="1"/>
  <c r="DW21" i="1"/>
  <c r="DW6" i="6" s="1"/>
  <c r="DV21" i="1"/>
  <c r="DV6" i="6" s="1"/>
  <c r="DU21" i="1"/>
  <c r="DU6" i="6" s="1"/>
  <c r="DT21" i="1"/>
  <c r="DT6" i="6" s="1"/>
  <c r="DR21" i="1"/>
  <c r="DR6" i="6" s="1"/>
  <c r="DQ21" i="1"/>
  <c r="DO21" i="1"/>
  <c r="DN21" i="1"/>
  <c r="DN6" i="6" s="1"/>
  <c r="DM21" i="1"/>
  <c r="DM6" i="6" s="1"/>
  <c r="DL21" i="1"/>
  <c r="DL6" i="6" s="1"/>
  <c r="DK21" i="1"/>
  <c r="DK6" i="6" s="1"/>
  <c r="DJ21" i="1"/>
  <c r="DH21" i="1"/>
  <c r="DH6" i="6" s="1"/>
  <c r="DG21" i="1"/>
  <c r="DF21" i="1"/>
  <c r="DE21" i="1"/>
  <c r="DE6" i="6" s="1"/>
  <c r="DD21" i="1"/>
  <c r="DD6" i="6" s="1"/>
  <c r="DC21" i="1"/>
  <c r="DC6" i="6" s="1"/>
  <c r="DB21" i="1"/>
  <c r="DB6" i="6" s="1"/>
  <c r="DA21" i="1"/>
  <c r="DA6" i="6" s="1"/>
  <c r="CZ21" i="1"/>
  <c r="CZ6" i="6" s="1"/>
  <c r="CY21" i="1"/>
  <c r="CY6" i="6" s="1"/>
  <c r="CX21" i="1"/>
  <c r="CW21" i="1"/>
  <c r="CW6" i="6" s="1"/>
  <c r="CV21" i="1"/>
  <c r="CV6" i="6" s="1"/>
  <c r="CU21" i="1"/>
  <c r="CT21" i="1"/>
  <c r="CT6" i="6" s="1"/>
  <c r="CS21" i="1"/>
  <c r="CS6" i="6" s="1"/>
  <c r="CR21" i="1"/>
  <c r="CR6" i="6" s="1"/>
  <c r="CQ21" i="1"/>
  <c r="CQ6" i="6" s="1"/>
  <c r="CP21" i="1"/>
  <c r="CO21" i="1"/>
  <c r="CO6" i="6" s="1"/>
  <c r="CN21" i="1"/>
  <c r="CN6" i="6" s="1"/>
  <c r="CM21" i="1"/>
  <c r="CM6" i="6" s="1"/>
  <c r="CL21" i="1"/>
  <c r="CL6" i="6" s="1"/>
  <c r="CK21" i="1"/>
  <c r="CJ21" i="1"/>
  <c r="CJ6" i="6" s="1"/>
  <c r="CI21" i="1"/>
  <c r="BP19" i="3" s="1"/>
  <c r="CH21" i="1"/>
  <c r="CG21" i="1"/>
  <c r="CH6" i="6" s="1"/>
  <c r="CF21" i="1"/>
  <c r="CG6" i="6" s="1"/>
  <c r="CE21" i="1"/>
  <c r="CF6" i="6" s="1"/>
  <c r="CD21" i="1"/>
  <c r="CE6" i="6" s="1"/>
  <c r="CC21" i="1"/>
  <c r="CB21" i="1"/>
  <c r="CC6" i="6" s="1"/>
  <c r="CA21" i="1"/>
  <c r="CB6" i="6" s="1"/>
  <c r="BZ21" i="1"/>
  <c r="BY21" i="1"/>
  <c r="BZ6" i="6" s="1"/>
  <c r="BX21" i="1"/>
  <c r="BW21" i="1"/>
  <c r="BV21" i="1"/>
  <c r="BW6" i="6" s="1"/>
  <c r="BU21" i="1"/>
  <c r="BT21" i="1"/>
  <c r="BU6" i="6" s="1"/>
  <c r="BS21" i="1"/>
  <c r="BT6" i="6" s="1"/>
  <c r="BR21" i="1"/>
  <c r="BQ21" i="1"/>
  <c r="BR6" i="6" s="1"/>
  <c r="BP21" i="1"/>
  <c r="BQ6" i="6" s="1"/>
  <c r="BO21" i="1"/>
  <c r="BP6" i="6" s="1"/>
  <c r="BN21" i="1"/>
  <c r="BO6" i="6" s="1"/>
  <c r="BM21" i="1"/>
  <c r="BN6" i="6" s="1"/>
  <c r="BL21" i="1"/>
  <c r="BM6" i="6" s="1"/>
  <c r="BK21" i="1"/>
  <c r="BJ21" i="1"/>
  <c r="BI21" i="1"/>
  <c r="BJ6" i="6" s="1"/>
  <c r="BH21" i="1"/>
  <c r="BI6" i="6" s="1"/>
  <c r="BG21" i="1"/>
  <c r="BH6" i="6" s="1"/>
  <c r="BF21" i="1"/>
  <c r="BG6" i="6" s="1"/>
  <c r="BE21" i="1"/>
  <c r="BD21" i="1"/>
  <c r="BC21" i="1"/>
  <c r="BD6" i="6" s="1"/>
  <c r="BB21" i="1"/>
  <c r="BA21" i="1"/>
  <c r="BB6" i="6" s="1"/>
  <c r="AZ21" i="1"/>
  <c r="BA6" i="6" s="1"/>
  <c r="AY21" i="1"/>
  <c r="AZ6" i="6" s="1"/>
  <c r="DV20" i="1"/>
  <c r="DV5" i="6" s="1"/>
  <c r="DU20" i="1"/>
  <c r="DT20" i="1"/>
  <c r="DT5" i="6" s="1"/>
  <c r="DR20" i="1"/>
  <c r="DR5" i="6" s="1"/>
  <c r="DQ20" i="1"/>
  <c r="DO20" i="1"/>
  <c r="DO5" i="6" s="1"/>
  <c r="DN20" i="1"/>
  <c r="DN5" i="6" s="1"/>
  <c r="DM20" i="1"/>
  <c r="DL20" i="1"/>
  <c r="CS18" i="3" s="1"/>
  <c r="DK20" i="1"/>
  <c r="DJ20" i="1"/>
  <c r="DJ5" i="6" s="1"/>
  <c r="DH20" i="1"/>
  <c r="DH5" i="6" s="1"/>
  <c r="DG20" i="1"/>
  <c r="DF20" i="1"/>
  <c r="DF5" i="6" s="1"/>
  <c r="DE20" i="1"/>
  <c r="DE5" i="6" s="1"/>
  <c r="DD20" i="1"/>
  <c r="DD5" i="6" s="1"/>
  <c r="DC20" i="1"/>
  <c r="DC5" i="6" s="1"/>
  <c r="DB20" i="1"/>
  <c r="DB5" i="6" s="1"/>
  <c r="DA20" i="1"/>
  <c r="DA5" i="6" s="1"/>
  <c r="CZ20" i="1"/>
  <c r="CY20" i="1"/>
  <c r="CX20" i="1"/>
  <c r="CX5" i="6" s="1"/>
  <c r="CW20" i="1"/>
  <c r="CW5" i="6" s="1"/>
  <c r="CV20" i="1"/>
  <c r="CV5" i="6" s="1"/>
  <c r="CU20" i="1"/>
  <c r="CU5" i="6" s="1"/>
  <c r="CT20" i="1"/>
  <c r="CS20" i="1"/>
  <c r="CS5" i="6" s="1"/>
  <c r="CR20" i="1"/>
  <c r="CR5" i="6" s="1"/>
  <c r="CQ20" i="1"/>
  <c r="CP20" i="1"/>
  <c r="CP5" i="6" s="1"/>
  <c r="CO20" i="1"/>
  <c r="CO5" i="6" s="1"/>
  <c r="CN20" i="1"/>
  <c r="CM20" i="1"/>
  <c r="CM5" i="6" s="1"/>
  <c r="CL20" i="1"/>
  <c r="CK20" i="1"/>
  <c r="CJ20" i="1"/>
  <c r="CJ5" i="6" s="1"/>
  <c r="CI20" i="1"/>
  <c r="BP18" i="3" s="1"/>
  <c r="CH20" i="1"/>
  <c r="CI5" i="6" s="1"/>
  <c r="CG20" i="1"/>
  <c r="CF20" i="1"/>
  <c r="CG5" i="6" s="1"/>
  <c r="CE20" i="1"/>
  <c r="CF5" i="6" s="1"/>
  <c r="CD20" i="1"/>
  <c r="CE5" i="6" s="1"/>
  <c r="CC20" i="1"/>
  <c r="CD5" i="6" s="1"/>
  <c r="CB20" i="1"/>
  <c r="CA20" i="1"/>
  <c r="BZ20" i="1"/>
  <c r="CA5" i="6" s="1"/>
  <c r="BY20" i="1"/>
  <c r="BZ5" i="6" s="1"/>
  <c r="BX20" i="1"/>
  <c r="BY5" i="6" s="1"/>
  <c r="BW20" i="1"/>
  <c r="BX5" i="6" s="1"/>
  <c r="BV20" i="1"/>
  <c r="BU20" i="1"/>
  <c r="BV5" i="6" s="1"/>
  <c r="BT20" i="1"/>
  <c r="BU5" i="6" s="1"/>
  <c r="BS20" i="1"/>
  <c r="BR20" i="1"/>
  <c r="BS5" i="6" s="1"/>
  <c r="BQ20" i="1"/>
  <c r="BR5" i="6" s="1"/>
  <c r="BP20" i="1"/>
  <c r="BO20" i="1"/>
  <c r="BP5" i="6" s="1"/>
  <c r="BN20" i="1"/>
  <c r="BM20" i="1"/>
  <c r="BN5" i="6" s="1"/>
  <c r="BL20" i="1"/>
  <c r="BM5" i="6" s="1"/>
  <c r="BK20" i="1"/>
  <c r="BJ20" i="1"/>
  <c r="BK5" i="6" s="1"/>
  <c r="BI20" i="1"/>
  <c r="BJ5" i="6" s="1"/>
  <c r="BH20" i="1"/>
  <c r="BI5" i="6" s="1"/>
  <c r="BG20" i="1"/>
  <c r="BH5" i="6" s="1"/>
  <c r="BF20" i="1"/>
  <c r="BE20" i="1"/>
  <c r="BF5" i="6" s="1"/>
  <c r="BD20" i="1"/>
  <c r="BC20" i="1"/>
  <c r="BB20" i="1"/>
  <c r="BC5" i="6" s="1"/>
  <c r="BA20" i="1"/>
  <c r="BB5" i="6" s="1"/>
  <c r="AZ20" i="1"/>
  <c r="BA5" i="6" s="1"/>
  <c r="AY20" i="1"/>
  <c r="AZ5" i="6" s="1"/>
  <c r="DV19" i="1"/>
  <c r="DU19" i="1"/>
  <c r="DU4" i="6" s="1"/>
  <c r="DT19" i="1"/>
  <c r="DR19" i="1"/>
  <c r="DQ19" i="1"/>
  <c r="DQ4" i="6" s="1"/>
  <c r="DO19" i="1"/>
  <c r="DO4" i="6" s="1"/>
  <c r="DN19" i="1"/>
  <c r="DN4" i="6" s="1"/>
  <c r="DM19" i="1"/>
  <c r="DM4" i="6" s="1"/>
  <c r="DL19" i="1"/>
  <c r="DK19" i="1"/>
  <c r="DK4" i="6" s="1"/>
  <c r="DJ19" i="1"/>
  <c r="DJ4" i="6" s="1"/>
  <c r="DH19" i="1"/>
  <c r="DH4" i="6" s="1"/>
  <c r="DG19" i="1"/>
  <c r="DG4" i="6" s="1"/>
  <c r="DF19" i="1"/>
  <c r="DF4" i="6" s="1"/>
  <c r="DE19" i="1"/>
  <c r="DE4" i="6" s="1"/>
  <c r="DD19" i="1"/>
  <c r="DD4" i="6" s="1"/>
  <c r="DC19" i="1"/>
  <c r="DB19" i="1"/>
  <c r="DB4" i="6" s="1"/>
  <c r="DA19" i="1"/>
  <c r="DA4" i="6" s="1"/>
  <c r="CZ19" i="1"/>
  <c r="CZ4" i="6" s="1"/>
  <c r="CY19" i="1"/>
  <c r="CY4" i="6" s="1"/>
  <c r="CX19" i="1"/>
  <c r="CX4" i="6" s="1"/>
  <c r="CW19" i="1"/>
  <c r="CV19" i="1"/>
  <c r="CV4" i="6" s="1"/>
  <c r="CU19" i="1"/>
  <c r="CT19" i="1"/>
  <c r="CT4" i="6" s="1"/>
  <c r="CS19" i="1"/>
  <c r="CS4" i="6" s="1"/>
  <c r="CR19" i="1"/>
  <c r="CR4" i="6" s="1"/>
  <c r="CQ19" i="1"/>
  <c r="CQ4" i="6" s="1"/>
  <c r="CP19" i="1"/>
  <c r="CP4" i="6" s="1"/>
  <c r="CO19" i="1"/>
  <c r="CO4" i="6" s="1"/>
  <c r="CN19" i="1"/>
  <c r="CN4" i="6" s="1"/>
  <c r="CM19" i="1"/>
  <c r="CL19" i="1"/>
  <c r="CL4" i="6" s="1"/>
  <c r="CK19" i="1"/>
  <c r="CJ19" i="1"/>
  <c r="CJ4" i="6" s="1"/>
  <c r="CI19" i="1"/>
  <c r="CH19" i="1"/>
  <c r="CI4" i="6" s="1"/>
  <c r="CG19" i="1"/>
  <c r="CH4" i="6" s="1"/>
  <c r="CF19" i="1"/>
  <c r="CG4" i="6" s="1"/>
  <c r="CE19" i="1"/>
  <c r="CF4" i="6" s="1"/>
  <c r="CD19" i="1"/>
  <c r="CE4" i="6" s="1"/>
  <c r="CC19" i="1"/>
  <c r="CD4" i="6" s="1"/>
  <c r="CB19" i="1"/>
  <c r="CC4" i="6" s="1"/>
  <c r="CA19" i="1"/>
  <c r="CB4" i="6" s="1"/>
  <c r="BZ19" i="1"/>
  <c r="CA4" i="6" s="1"/>
  <c r="BY19" i="1"/>
  <c r="BX19" i="1"/>
  <c r="BW19" i="1"/>
  <c r="BV19" i="1"/>
  <c r="BW4" i="6" s="1"/>
  <c r="BU19" i="1"/>
  <c r="BV4" i="6" s="1"/>
  <c r="BT19" i="1"/>
  <c r="BU4" i="6" s="1"/>
  <c r="BS19" i="1"/>
  <c r="BT4" i="6" s="1"/>
  <c r="BR19" i="1"/>
  <c r="BQ19" i="1"/>
  <c r="BR4" i="6" s="1"/>
  <c r="BP19" i="1"/>
  <c r="BQ4" i="6" s="1"/>
  <c r="BO19" i="1"/>
  <c r="BN19" i="1"/>
  <c r="BO4" i="6" s="1"/>
  <c r="BM19" i="1"/>
  <c r="BL19" i="1"/>
  <c r="BM4" i="6" s="1"/>
  <c r="BK19" i="1"/>
  <c r="BL4" i="6" s="1"/>
  <c r="BJ19" i="1"/>
  <c r="BK4" i="6" s="1"/>
  <c r="BI19" i="1"/>
  <c r="BJ4" i="6" s="1"/>
  <c r="BH19" i="1"/>
  <c r="BI4" i="6" s="1"/>
  <c r="BG19" i="1"/>
  <c r="BF19" i="1"/>
  <c r="BE19" i="1"/>
  <c r="BF4" i="6" s="1"/>
  <c r="BD19" i="1"/>
  <c r="BE4" i="6" s="1"/>
  <c r="BC19" i="1"/>
  <c r="BD4" i="6" s="1"/>
  <c r="BB19" i="1"/>
  <c r="BC4" i="6" s="1"/>
  <c r="BA19" i="1"/>
  <c r="BB4" i="6" s="1"/>
  <c r="AZ19" i="1"/>
  <c r="BA4" i="6" s="1"/>
  <c r="AY19" i="1"/>
  <c r="GF17" i="1"/>
  <c r="GF9" i="5" s="1"/>
  <c r="GE17" i="1"/>
  <c r="GE9" i="5" s="1"/>
  <c r="GD17" i="1"/>
  <c r="GD9" i="5" s="1"/>
  <c r="GC17" i="1"/>
  <c r="GC9" i="5" s="1"/>
  <c r="GB17" i="1"/>
  <c r="GB9" i="5" s="1"/>
  <c r="GA17" i="1"/>
  <c r="GA9" i="5" s="1"/>
  <c r="FZ17" i="1"/>
  <c r="FZ9" i="5" s="1"/>
  <c r="FY17" i="1"/>
  <c r="FX17" i="1"/>
  <c r="FW17" i="1"/>
  <c r="FV17" i="1"/>
  <c r="FV9" i="5" s="1"/>
  <c r="FU17" i="1"/>
  <c r="FU9" i="5" s="1"/>
  <c r="FT17" i="1"/>
  <c r="FT9" i="5" s="1"/>
  <c r="FS17" i="1"/>
  <c r="FS9" i="5" s="1"/>
  <c r="FR17" i="1"/>
  <c r="FR9" i="5" s="1"/>
  <c r="FQ17" i="1"/>
  <c r="FP17" i="1"/>
  <c r="FP9" i="5" s="1"/>
  <c r="FO17" i="1"/>
  <c r="FN17" i="1"/>
  <c r="FN9" i="5" s="1"/>
  <c r="FM17" i="1"/>
  <c r="FM9" i="5" s="1"/>
  <c r="FL17" i="1"/>
  <c r="FL9" i="5" s="1"/>
  <c r="FK17" i="1"/>
  <c r="FK9" i="5" s="1"/>
  <c r="FJ17" i="1"/>
  <c r="FJ9" i="5" s="1"/>
  <c r="FI17" i="1"/>
  <c r="FH17" i="1"/>
  <c r="FH9" i="5" s="1"/>
  <c r="FG17" i="1"/>
  <c r="FG9" i="5" s="1"/>
  <c r="FF17" i="1"/>
  <c r="FF9" i="5" s="1"/>
  <c r="FE17" i="1"/>
  <c r="FE9" i="5" s="1"/>
  <c r="FD17" i="1"/>
  <c r="FD9" i="5" s="1"/>
  <c r="FC17" i="1"/>
  <c r="FB17" i="1"/>
  <c r="FB9" i="5" s="1"/>
  <c r="FA17" i="1"/>
  <c r="EZ17" i="1"/>
  <c r="EZ9" i="5" s="1"/>
  <c r="EY17" i="1"/>
  <c r="EY9" i="5" s="1"/>
  <c r="EX17" i="1"/>
  <c r="EW17" i="1"/>
  <c r="EW9" i="5" s="1"/>
  <c r="EV17" i="1"/>
  <c r="EV9" i="5" s="1"/>
  <c r="EU17" i="1"/>
  <c r="EU9" i="5" s="1"/>
  <c r="ET17" i="1"/>
  <c r="ET9" i="5" s="1"/>
  <c r="ES17" i="1"/>
  <c r="ER17" i="1"/>
  <c r="ER9" i="5" s="1"/>
  <c r="EQ17" i="1"/>
  <c r="EP17" i="1"/>
  <c r="EP9" i="5" s="1"/>
  <c r="EO17" i="1"/>
  <c r="EO9" i="5" s="1"/>
  <c r="EN17" i="1"/>
  <c r="EN9" i="5" s="1"/>
  <c r="EM17" i="1"/>
  <c r="EM9" i="5" s="1"/>
  <c r="EL17" i="1"/>
  <c r="EL9" i="5" s="1"/>
  <c r="EK17" i="1"/>
  <c r="EJ17" i="1"/>
  <c r="EJ9" i="5" s="1"/>
  <c r="EI17" i="1"/>
  <c r="EI9" i="5" s="1"/>
  <c r="EH17" i="1"/>
  <c r="EH9" i="5" s="1"/>
  <c r="EG17" i="1"/>
  <c r="EG9" i="5" s="1"/>
  <c r="EF17" i="1"/>
  <c r="EF9" i="5" s="1"/>
  <c r="EE17" i="1"/>
  <c r="ED17" i="1"/>
  <c r="ED9" i="5" s="1"/>
  <c r="EC17" i="1"/>
  <c r="EB17" i="1"/>
  <c r="EB9" i="5" s="1"/>
  <c r="EA17" i="1"/>
  <c r="EA9" i="5" s="1"/>
  <c r="DZ17" i="1"/>
  <c r="DZ9" i="5" s="1"/>
  <c r="DY17" i="1"/>
  <c r="DY9" i="5" s="1"/>
  <c r="DX17" i="1"/>
  <c r="DX9" i="5" s="1"/>
  <c r="DW17" i="1"/>
  <c r="DW9" i="5" s="1"/>
  <c r="DV17" i="1"/>
  <c r="DV9" i="5" s="1"/>
  <c r="DU17" i="1"/>
  <c r="DT17" i="1"/>
  <c r="DT9" i="5" s="1"/>
  <c r="DR17" i="1"/>
  <c r="DR9" i="5" s="1"/>
  <c r="DQ17" i="1"/>
  <c r="DQ9" i="5" s="1"/>
  <c r="DO17" i="1"/>
  <c r="DO9" i="5" s="1"/>
  <c r="DN17" i="1"/>
  <c r="DN9" i="5" s="1"/>
  <c r="DM17" i="1"/>
  <c r="DL17" i="1"/>
  <c r="DL9" i="5" s="1"/>
  <c r="DK17" i="1"/>
  <c r="DJ17" i="1"/>
  <c r="DJ9" i="5" s="1"/>
  <c r="DH17" i="1"/>
  <c r="DH9" i="5" s="1"/>
  <c r="DG17" i="1"/>
  <c r="DG9" i="5" s="1"/>
  <c r="DF17" i="1"/>
  <c r="DF9" i="5" s="1"/>
  <c r="DE17" i="1"/>
  <c r="DE9" i="5" s="1"/>
  <c r="DD17" i="1"/>
  <c r="DC17" i="1"/>
  <c r="DC9" i="5" s="1"/>
  <c r="DB17" i="1"/>
  <c r="DA17" i="1"/>
  <c r="DA9" i="5" s="1"/>
  <c r="CZ17" i="1"/>
  <c r="CZ9" i="5" s="1"/>
  <c r="CY17" i="1"/>
  <c r="CY9" i="5" s="1"/>
  <c r="CX17" i="1"/>
  <c r="CX9" i="5" s="1"/>
  <c r="CW17" i="1"/>
  <c r="CW9" i="5" s="1"/>
  <c r="CV17" i="1"/>
  <c r="CV9" i="5" s="1"/>
  <c r="CU17" i="1"/>
  <c r="CU9" i="5" s="1"/>
  <c r="CT17" i="1"/>
  <c r="CS17" i="1"/>
  <c r="CS9" i="5" s="1"/>
  <c r="CR17" i="1"/>
  <c r="CR9" i="5" s="1"/>
  <c r="CQ17" i="1"/>
  <c r="CP17" i="1"/>
  <c r="CP9" i="5" s="1"/>
  <c r="CO17" i="1"/>
  <c r="CO9" i="5" s="1"/>
  <c r="CN17" i="1"/>
  <c r="CM17" i="1"/>
  <c r="CM9" i="5" s="1"/>
  <c r="CL17" i="1"/>
  <c r="CK17" i="1"/>
  <c r="CJ17" i="1"/>
  <c r="CJ9" i="5" s="1"/>
  <c r="CI17" i="1"/>
  <c r="BP15" i="3" s="1"/>
  <c r="GF16" i="1"/>
  <c r="GF8" i="5" s="1"/>
  <c r="GE16" i="1"/>
  <c r="GD16" i="1"/>
  <c r="GD8" i="5" s="1"/>
  <c r="GC16" i="1"/>
  <c r="GC8" i="5" s="1"/>
  <c r="GB16" i="1"/>
  <c r="GB8" i="5" s="1"/>
  <c r="GA16" i="1"/>
  <c r="GA8" i="5" s="1"/>
  <c r="FZ16" i="1"/>
  <c r="FY16" i="1"/>
  <c r="FY8" i="5" s="1"/>
  <c r="FX16" i="1"/>
  <c r="FX8" i="5" s="1"/>
  <c r="FW16" i="1"/>
  <c r="FV16" i="1"/>
  <c r="FV8" i="5" s="1"/>
  <c r="FU16" i="1"/>
  <c r="FU8" i="5" s="1"/>
  <c r="FT16" i="1"/>
  <c r="FS16" i="1"/>
  <c r="FS8" i="5" s="1"/>
  <c r="FR16" i="1"/>
  <c r="FR8" i="5" s="1"/>
  <c r="FQ16" i="1"/>
  <c r="FQ8" i="5" s="1"/>
  <c r="FP16" i="1"/>
  <c r="FP8" i="5" s="1"/>
  <c r="FO16" i="1"/>
  <c r="EV14" i="3" s="1"/>
  <c r="FN16" i="1"/>
  <c r="FN8" i="5" s="1"/>
  <c r="FM16" i="1"/>
  <c r="FM8" i="5" s="1"/>
  <c r="FL16" i="1"/>
  <c r="FK16" i="1"/>
  <c r="FK8" i="5" s="1"/>
  <c r="FJ16" i="1"/>
  <c r="FJ8" i="5" s="1"/>
  <c r="FI16" i="1"/>
  <c r="FI8" i="5" s="1"/>
  <c r="FH16" i="1"/>
  <c r="FH8" i="5" s="1"/>
  <c r="FG16" i="1"/>
  <c r="FF16" i="1"/>
  <c r="FE16" i="1"/>
  <c r="FE8" i="5" s="1"/>
  <c r="FD16" i="1"/>
  <c r="FC16" i="1"/>
  <c r="FC8" i="5" s="1"/>
  <c r="FB16" i="1"/>
  <c r="FB8" i="5" s="1"/>
  <c r="FA16" i="1"/>
  <c r="FA8" i="5" s="1"/>
  <c r="EZ16" i="1"/>
  <c r="EZ8" i="5" s="1"/>
  <c r="EY16" i="1"/>
  <c r="EX16" i="1"/>
  <c r="EW16" i="1"/>
  <c r="EW8" i="5" s="1"/>
  <c r="EV16" i="1"/>
  <c r="EU16" i="1"/>
  <c r="EU8" i="5" s="1"/>
  <c r="ET16" i="1"/>
  <c r="ES16" i="1"/>
  <c r="ES8" i="5" s="1"/>
  <c r="ER16" i="1"/>
  <c r="ER8" i="5" s="1"/>
  <c r="EQ16" i="1"/>
  <c r="EP16" i="1"/>
  <c r="EP8" i="5" s="1"/>
  <c r="EO16" i="1"/>
  <c r="EO8" i="5" s="1"/>
  <c r="EN16" i="1"/>
  <c r="EN8" i="5" s="1"/>
  <c r="EM16" i="1"/>
  <c r="EM8" i="5" s="1"/>
  <c r="EL16" i="1"/>
  <c r="EL8" i="5" s="1"/>
  <c r="EK16" i="1"/>
  <c r="EK8" i="5" s="1"/>
  <c r="EJ16" i="1"/>
  <c r="EJ8" i="5" s="1"/>
  <c r="EI16" i="1"/>
  <c r="EH16" i="1"/>
  <c r="EH8" i="5" s="1"/>
  <c r="EG16" i="1"/>
  <c r="EG8" i="5" s="1"/>
  <c r="EF16" i="1"/>
  <c r="EE16" i="1"/>
  <c r="EE8" i="5" s="1"/>
  <c r="ED16" i="1"/>
  <c r="ED8" i="5" s="1"/>
  <c r="EC16" i="1"/>
  <c r="EC8" i="5" s="1"/>
  <c r="EB16" i="1"/>
  <c r="EB8" i="5" s="1"/>
  <c r="EA16" i="1"/>
  <c r="DH14" i="3" s="1"/>
  <c r="DZ16" i="1"/>
  <c r="DZ8" i="5" s="1"/>
  <c r="DY16" i="1"/>
  <c r="DY8" i="5" s="1"/>
  <c r="DX16" i="1"/>
  <c r="DW16" i="1"/>
  <c r="DV16" i="1"/>
  <c r="DU16" i="1"/>
  <c r="DU8" i="5" s="1"/>
  <c r="DT16" i="1"/>
  <c r="DT8" i="5" s="1"/>
  <c r="DR16" i="1"/>
  <c r="DQ16" i="1"/>
  <c r="DQ8" i="5" s="1"/>
  <c r="DO16" i="1"/>
  <c r="DO8" i="5" s="1"/>
  <c r="DN16" i="1"/>
  <c r="DM16" i="1"/>
  <c r="DM8" i="5" s="1"/>
  <c r="DL16" i="1"/>
  <c r="DK16" i="1"/>
  <c r="DK8" i="5" s="1"/>
  <c r="DJ16" i="1"/>
  <c r="DJ8" i="5" s="1"/>
  <c r="DH16" i="1"/>
  <c r="DH8" i="5" s="1"/>
  <c r="DG16" i="1"/>
  <c r="DG8" i="5" s="1"/>
  <c r="DF16" i="1"/>
  <c r="DF8" i="5" s="1"/>
  <c r="DE16" i="1"/>
  <c r="DD16" i="1"/>
  <c r="DD8" i="5" s="1"/>
  <c r="DC16" i="1"/>
  <c r="DB16" i="1"/>
  <c r="DA16" i="1"/>
  <c r="DA8" i="5" s="1"/>
  <c r="CZ16" i="1"/>
  <c r="CZ8" i="5" s="1"/>
  <c r="CY16" i="1"/>
  <c r="CY8" i="5" s="1"/>
  <c r="CX16" i="1"/>
  <c r="CX8" i="5" s="1"/>
  <c r="CW16" i="1"/>
  <c r="CW8" i="5" s="1"/>
  <c r="CV16" i="1"/>
  <c r="CU16" i="1"/>
  <c r="CU8" i="5" s="1"/>
  <c r="CT16" i="1"/>
  <c r="CT8" i="5" s="1"/>
  <c r="CS16" i="1"/>
  <c r="CS8" i="5" s="1"/>
  <c r="CR16" i="1"/>
  <c r="CR8" i="5" s="1"/>
  <c r="CQ16" i="1"/>
  <c r="CP16" i="1"/>
  <c r="CP8" i="5" s="1"/>
  <c r="CO16" i="1"/>
  <c r="CN16" i="1"/>
  <c r="CN8" i="5" s="1"/>
  <c r="CM16" i="1"/>
  <c r="CL16" i="1"/>
  <c r="CL8" i="5" s="1"/>
  <c r="CK16" i="1"/>
  <c r="CK8" i="5" s="1"/>
  <c r="CJ16" i="1"/>
  <c r="CJ8" i="5" s="1"/>
  <c r="CI16" i="1"/>
  <c r="CH16" i="1"/>
  <c r="CI8" i="5" s="1"/>
  <c r="CG16" i="1"/>
  <c r="CF16" i="1"/>
  <c r="CG8" i="5" s="1"/>
  <c r="CE16" i="1"/>
  <c r="CF8" i="5" s="1"/>
  <c r="CD16" i="1"/>
  <c r="CE8" i="5" s="1"/>
  <c r="CC16" i="1"/>
  <c r="CD8" i="5" s="1"/>
  <c r="CB16" i="1"/>
  <c r="CC8" i="5" s="1"/>
  <c r="CA16" i="1"/>
  <c r="CB8" i="5" s="1"/>
  <c r="BZ16" i="1"/>
  <c r="CA8" i="5" s="1"/>
  <c r="BY16" i="1"/>
  <c r="BX16" i="1"/>
  <c r="BY8" i="5" s="1"/>
  <c r="BW16" i="1"/>
  <c r="BX8" i="5" s="1"/>
  <c r="BV16" i="1"/>
  <c r="BW8" i="5" s="1"/>
  <c r="BU16" i="1"/>
  <c r="BV8" i="5" s="1"/>
  <c r="BT16" i="1"/>
  <c r="BU8" i="5" s="1"/>
  <c r="BS16" i="1"/>
  <c r="BR16" i="1"/>
  <c r="BS8" i="5" s="1"/>
  <c r="BQ16" i="1"/>
  <c r="BR8" i="5" s="1"/>
  <c r="BP16" i="1"/>
  <c r="BQ8" i="5" s="1"/>
  <c r="BO16" i="1"/>
  <c r="BP8" i="5" s="1"/>
  <c r="BN16" i="1"/>
  <c r="BM16" i="1"/>
  <c r="BN8" i="5" s="1"/>
  <c r="BL16" i="1"/>
  <c r="BM8" i="5" s="1"/>
  <c r="BK16" i="1"/>
  <c r="BJ16" i="1"/>
  <c r="BK8" i="5" s="1"/>
  <c r="BI16" i="1"/>
  <c r="BJ8" i="5" s="1"/>
  <c r="BH16" i="1"/>
  <c r="BI8" i="5" s="1"/>
  <c r="BG16" i="1"/>
  <c r="BF16" i="1"/>
  <c r="BG8" i="5" s="1"/>
  <c r="BE16" i="1"/>
  <c r="BF8" i="5" s="1"/>
  <c r="BD16" i="1"/>
  <c r="BE8" i="5" s="1"/>
  <c r="BC16" i="1"/>
  <c r="BD8" i="5" s="1"/>
  <c r="BB16" i="1"/>
  <c r="BC8" i="5" s="1"/>
  <c r="BA16" i="1"/>
  <c r="AZ16" i="1"/>
  <c r="BA8" i="5" s="1"/>
  <c r="AY16" i="1"/>
  <c r="AZ8" i="5" s="1"/>
  <c r="GF15" i="1"/>
  <c r="GF7" i="5" s="1"/>
  <c r="GE15" i="1"/>
  <c r="GE7" i="5" s="1"/>
  <c r="GD15" i="1"/>
  <c r="GC15" i="1"/>
  <c r="GC7" i="5" s="1"/>
  <c r="GB15" i="1"/>
  <c r="GB7" i="5" s="1"/>
  <c r="GA15" i="1"/>
  <c r="GA7" i="5" s="1"/>
  <c r="FZ15" i="1"/>
  <c r="FZ7" i="5" s="1"/>
  <c r="FY15" i="1"/>
  <c r="FX15" i="1"/>
  <c r="FX7" i="5" s="1"/>
  <c r="FW15" i="1"/>
  <c r="FW7" i="5" s="1"/>
  <c r="FV15" i="1"/>
  <c r="FV7" i="5" s="1"/>
  <c r="FU15" i="1"/>
  <c r="FT15" i="1"/>
  <c r="FT7" i="5" s="1"/>
  <c r="FS15" i="1"/>
  <c r="FR15" i="1"/>
  <c r="FR7" i="5" s="1"/>
  <c r="FQ15" i="1"/>
  <c r="FP15" i="1"/>
  <c r="FP7" i="5" s="1"/>
  <c r="FO15" i="1"/>
  <c r="FO7" i="5" s="1"/>
  <c r="FN15" i="1"/>
  <c r="FN7" i="5" s="1"/>
  <c r="FM15" i="1"/>
  <c r="FM7" i="5" s="1"/>
  <c r="FL15" i="1"/>
  <c r="ES13" i="3" s="1"/>
  <c r="FK15" i="1"/>
  <c r="FK7" i="5" s="1"/>
  <c r="FJ15" i="1"/>
  <c r="FJ7" i="5" s="1"/>
  <c r="FI15" i="1"/>
  <c r="FH15" i="1"/>
  <c r="FG15" i="1"/>
  <c r="FG7" i="5" s="1"/>
  <c r="FF15" i="1"/>
  <c r="FE15" i="1"/>
  <c r="FD15" i="1"/>
  <c r="FD7" i="5" s="1"/>
  <c r="FC15" i="1"/>
  <c r="FB15" i="1"/>
  <c r="FB7" i="5" s="1"/>
  <c r="FA15" i="1"/>
  <c r="EZ15" i="1"/>
  <c r="EZ7" i="5" s="1"/>
  <c r="EY15" i="1"/>
  <c r="EY7" i="5" s="1"/>
  <c r="EX15" i="1"/>
  <c r="EW15" i="1"/>
  <c r="EW7" i="5" s="1"/>
  <c r="EV15" i="1"/>
  <c r="EV7" i="5" s="1"/>
  <c r="EU15" i="1"/>
  <c r="EU7" i="5" s="1"/>
  <c r="ET15" i="1"/>
  <c r="ES15" i="1"/>
  <c r="ER15" i="1"/>
  <c r="ER7" i="5" s="1"/>
  <c r="EQ15" i="1"/>
  <c r="EQ7" i="5" s="1"/>
  <c r="EP15" i="1"/>
  <c r="EO15" i="1"/>
  <c r="EO7" i="5" s="1"/>
  <c r="EN15" i="1"/>
  <c r="EN7" i="5" s="1"/>
  <c r="EM15" i="1"/>
  <c r="EL15" i="1"/>
  <c r="EL7" i="5" s="1"/>
  <c r="EK15" i="1"/>
  <c r="EJ15" i="1"/>
  <c r="EJ7" i="5" s="1"/>
  <c r="EI15" i="1"/>
  <c r="EI7" i="5" s="1"/>
  <c r="EH15" i="1"/>
  <c r="EH7" i="5" s="1"/>
  <c r="EG15" i="1"/>
  <c r="EF15" i="1"/>
  <c r="EF7" i="5" s="1"/>
  <c r="EE15" i="1"/>
  <c r="EE7" i="5" s="1"/>
  <c r="ED15" i="1"/>
  <c r="ED7" i="5" s="1"/>
  <c r="EC15" i="1"/>
  <c r="EB15" i="1"/>
  <c r="EB7" i="5" s="1"/>
  <c r="EA15" i="1"/>
  <c r="EA7" i="5" s="1"/>
  <c r="DZ15" i="1"/>
  <c r="DY15" i="1"/>
  <c r="DY7" i="5" s="1"/>
  <c r="DX15" i="1"/>
  <c r="DX7" i="5" s="1"/>
  <c r="DW15" i="1"/>
  <c r="DV15" i="1"/>
  <c r="DV7" i="5" s="1"/>
  <c r="DU15" i="1"/>
  <c r="DT15" i="1"/>
  <c r="DT7" i="5" s="1"/>
  <c r="DR15" i="1"/>
  <c r="DR7" i="5" s="1"/>
  <c r="DQ15" i="1"/>
  <c r="DO15" i="1"/>
  <c r="DO7" i="5" s="1"/>
  <c r="DN15" i="1"/>
  <c r="DN7" i="5" s="1"/>
  <c r="DM15" i="1"/>
  <c r="DL15" i="1"/>
  <c r="DL7" i="5" s="1"/>
  <c r="DK15" i="1"/>
  <c r="DJ15" i="1"/>
  <c r="DJ7" i="5" s="1"/>
  <c r="DH15" i="1"/>
  <c r="DH7" i="5" s="1"/>
  <c r="DG15" i="1"/>
  <c r="DG7" i="5" s="1"/>
  <c r="DF15" i="1"/>
  <c r="DF7" i="5" s="1"/>
  <c r="DE15" i="1"/>
  <c r="DE7" i="5" s="1"/>
  <c r="DD15" i="1"/>
  <c r="DC15" i="1"/>
  <c r="DC7" i="5" s="1"/>
  <c r="DB15" i="1"/>
  <c r="DA15" i="1"/>
  <c r="DA7" i="5" s="1"/>
  <c r="CZ15" i="1"/>
  <c r="CZ7" i="5" s="1"/>
  <c r="CY15" i="1"/>
  <c r="CX15" i="1"/>
  <c r="CW15" i="1"/>
  <c r="CW7" i="5" s="1"/>
  <c r="CV15" i="1"/>
  <c r="CV7" i="5" s="1"/>
  <c r="CU15" i="1"/>
  <c r="CU7" i="5" s="1"/>
  <c r="CT15" i="1"/>
  <c r="CS15" i="1"/>
  <c r="CS7" i="5" s="1"/>
  <c r="CR15" i="1"/>
  <c r="CR7" i="5" s="1"/>
  <c r="CQ15" i="1"/>
  <c r="CP15" i="1"/>
  <c r="CP7" i="5" s="1"/>
  <c r="CO15" i="1"/>
  <c r="CO7" i="5" s="1"/>
  <c r="CN15" i="1"/>
  <c r="CN7" i="5" s="1"/>
  <c r="CM15" i="1"/>
  <c r="CM7" i="5" s="1"/>
  <c r="CL15" i="1"/>
  <c r="CK15" i="1"/>
  <c r="CJ15" i="1"/>
  <c r="CJ7" i="5" s="1"/>
  <c r="CI15" i="1"/>
  <c r="BP13" i="3" s="1"/>
  <c r="CH15" i="1"/>
  <c r="CG15" i="1"/>
  <c r="CH7" i="5" s="1"/>
  <c r="CF15" i="1"/>
  <c r="CG7" i="5" s="1"/>
  <c r="CE15" i="1"/>
  <c r="CF7" i="5" s="1"/>
  <c r="CD15" i="1"/>
  <c r="CC15" i="1"/>
  <c r="CD7" i="5" s="1"/>
  <c r="CB15" i="1"/>
  <c r="CC7" i="5" s="1"/>
  <c r="CA15" i="1"/>
  <c r="BZ15" i="1"/>
  <c r="CA7" i="5" s="1"/>
  <c r="BY15" i="1"/>
  <c r="BX15" i="1"/>
  <c r="BW15" i="1"/>
  <c r="BX7" i="5" s="1"/>
  <c r="BV15" i="1"/>
  <c r="BU15" i="1"/>
  <c r="BV7" i="5" s="1"/>
  <c r="BT15" i="1"/>
  <c r="BU7" i="5" s="1"/>
  <c r="BS15" i="1"/>
  <c r="BT7" i="5" s="1"/>
  <c r="BR15" i="1"/>
  <c r="BS7" i="5" s="1"/>
  <c r="BQ15" i="1"/>
  <c r="BR7" i="5" s="1"/>
  <c r="BP15" i="1"/>
  <c r="BO15" i="1"/>
  <c r="BP7" i="5" s="1"/>
  <c r="BN15" i="1"/>
  <c r="BM15" i="1"/>
  <c r="BL15" i="1"/>
  <c r="BM7" i="5" s="1"/>
  <c r="BK15" i="1"/>
  <c r="BJ15" i="1"/>
  <c r="BK7" i="5" s="1"/>
  <c r="BI15" i="1"/>
  <c r="BJ7" i="5" s="1"/>
  <c r="BH15" i="1"/>
  <c r="BI7" i="5" s="1"/>
  <c r="BG15" i="1"/>
  <c r="BF15" i="1"/>
  <c r="BE15" i="1"/>
  <c r="BF7" i="5" s="1"/>
  <c r="BD15" i="1"/>
  <c r="BE7" i="5" s="1"/>
  <c r="BC15" i="1"/>
  <c r="BD7" i="5" s="1"/>
  <c r="BB15" i="1"/>
  <c r="BC7" i="5" s="1"/>
  <c r="BA15" i="1"/>
  <c r="BB7" i="5" s="1"/>
  <c r="AZ15" i="1"/>
  <c r="AY15" i="1"/>
  <c r="AZ7" i="5" s="1"/>
  <c r="DH13" i="1"/>
  <c r="DG13" i="1"/>
  <c r="DG5" i="5" s="1"/>
  <c r="DF13" i="1"/>
  <c r="DF5" i="5" s="1"/>
  <c r="DE13" i="1"/>
  <c r="DE5" i="5" s="1"/>
  <c r="DD13" i="1"/>
  <c r="DD5" i="5" s="1"/>
  <c r="DC13" i="1"/>
  <c r="DB13" i="1"/>
  <c r="DB5" i="5" s="1"/>
  <c r="DA13" i="1"/>
  <c r="DA5" i="5" s="1"/>
  <c r="CZ13" i="1"/>
  <c r="CZ5" i="5" s="1"/>
  <c r="CY13" i="1"/>
  <c r="CY5" i="5" s="1"/>
  <c r="CX13" i="1"/>
  <c r="CX5" i="5" s="1"/>
  <c r="CW13" i="1"/>
  <c r="CV13" i="1"/>
  <c r="CU13" i="1"/>
  <c r="CT13" i="1"/>
  <c r="CS13" i="1"/>
  <c r="CS5" i="5" s="1"/>
  <c r="CR13" i="1"/>
  <c r="CQ13" i="1"/>
  <c r="CQ5" i="5" s="1"/>
  <c r="CP13" i="1"/>
  <c r="CP5" i="5" s="1"/>
  <c r="CO13" i="1"/>
  <c r="CN13" i="1"/>
  <c r="CN5" i="5" s="1"/>
  <c r="CM13" i="1"/>
  <c r="CL13" i="1"/>
  <c r="CK13" i="1"/>
  <c r="CK5" i="5" s="1"/>
  <c r="CJ13" i="1"/>
  <c r="CJ5" i="5" s="1"/>
  <c r="CI13" i="1"/>
  <c r="BP12" i="3" s="1"/>
  <c r="CH13" i="1"/>
  <c r="CI5" i="5" s="1"/>
  <c r="CG13" i="1"/>
  <c r="CH5" i="5" s="1"/>
  <c r="CF13" i="1"/>
  <c r="CE13" i="1"/>
  <c r="CD13" i="1"/>
  <c r="CC13" i="1"/>
  <c r="CD5" i="5" s="1"/>
  <c r="CB13" i="1"/>
  <c r="CC5" i="5" s="1"/>
  <c r="CA13" i="1"/>
  <c r="CB5" i="5" s="1"/>
  <c r="BZ13" i="1"/>
  <c r="CA5" i="5" s="1"/>
  <c r="BY13" i="1"/>
  <c r="BX13" i="1"/>
  <c r="BY5" i="5" s="1"/>
  <c r="BW13" i="1"/>
  <c r="BV13" i="1"/>
  <c r="BW5" i="5" s="1"/>
  <c r="BU13" i="1"/>
  <c r="BV5" i="5" s="1"/>
  <c r="BT13" i="1"/>
  <c r="BS13" i="1"/>
  <c r="BT5" i="5" s="1"/>
  <c r="BR13" i="1"/>
  <c r="BS5" i="5" s="1"/>
  <c r="BQ13" i="1"/>
  <c r="BP13" i="1"/>
  <c r="BQ5" i="5" s="1"/>
  <c r="BO13" i="1"/>
  <c r="BN13" i="1"/>
  <c r="BO5" i="5" s="1"/>
  <c r="BM13" i="1"/>
  <c r="BN5" i="5" s="1"/>
  <c r="BL13" i="1"/>
  <c r="BM5" i="5" s="1"/>
  <c r="BK13" i="1"/>
  <c r="BL5" i="5" s="1"/>
  <c r="BJ13" i="1"/>
  <c r="BK5" i="5" s="1"/>
  <c r="BI13" i="1"/>
  <c r="BH13" i="1"/>
  <c r="BG13" i="1"/>
  <c r="BH5" i="5" s="1"/>
  <c r="BF13" i="1"/>
  <c r="BG5" i="5" s="1"/>
  <c r="BE13" i="1"/>
  <c r="BF5" i="5" s="1"/>
  <c r="BD13" i="1"/>
  <c r="BE5" i="5" s="1"/>
  <c r="BC13" i="1"/>
  <c r="BD5" i="5" s="1"/>
  <c r="BB13" i="1"/>
  <c r="BC5" i="5" s="1"/>
  <c r="BA13" i="1"/>
  <c r="AZ13" i="1"/>
  <c r="BA5" i="5" s="1"/>
  <c r="AY13" i="1"/>
  <c r="AZ5" i="5" s="1"/>
  <c r="DH12" i="1"/>
  <c r="DG12" i="1"/>
  <c r="DG4" i="5" s="1"/>
  <c r="DF12" i="1"/>
  <c r="DE12" i="1"/>
  <c r="DD12" i="1"/>
  <c r="DD4" i="5" s="1"/>
  <c r="DC12" i="1"/>
  <c r="DB12" i="1"/>
  <c r="DB4" i="5" s="1"/>
  <c r="DA12" i="1"/>
  <c r="DA4" i="5" s="1"/>
  <c r="CZ12" i="1"/>
  <c r="CY12" i="1"/>
  <c r="CY4" i="5" s="1"/>
  <c r="CX12" i="1"/>
  <c r="CW12" i="1"/>
  <c r="CW4" i="5" s="1"/>
  <c r="CV12" i="1"/>
  <c r="CV4" i="5" s="1"/>
  <c r="CU12" i="1"/>
  <c r="CT12" i="1"/>
  <c r="CS12" i="1"/>
  <c r="CS4" i="5" s="1"/>
  <c r="CR12" i="1"/>
  <c r="CR4" i="5" s="1"/>
  <c r="CQ12" i="1"/>
  <c r="CQ4" i="5" s="1"/>
  <c r="CP12" i="1"/>
  <c r="CO12" i="1"/>
  <c r="CO4" i="5" s="1"/>
  <c r="CN12" i="1"/>
  <c r="CN4" i="5" s="1"/>
  <c r="CM12" i="1"/>
  <c r="CL12" i="1"/>
  <c r="CL4" i="5" s="1"/>
  <c r="CK12" i="1"/>
  <c r="CK4" i="5" s="1"/>
  <c r="CJ12" i="1"/>
  <c r="CJ4" i="5" s="1"/>
  <c r="CI12" i="1"/>
  <c r="BP11" i="3" s="1"/>
  <c r="CH12" i="1"/>
  <c r="CG12" i="1"/>
  <c r="CH4" i="5" s="1"/>
  <c r="CF12" i="1"/>
  <c r="CG4" i="5" s="1"/>
  <c r="CE12" i="1"/>
  <c r="CF4" i="5" s="1"/>
  <c r="CD12" i="1"/>
  <c r="CE4" i="5" s="1"/>
  <c r="CC12" i="1"/>
  <c r="CD4" i="5" s="1"/>
  <c r="CB12" i="1"/>
  <c r="CA12" i="1"/>
  <c r="CB4" i="5" s="1"/>
  <c r="BZ12" i="1"/>
  <c r="BY12" i="1"/>
  <c r="BZ4" i="5" s="1"/>
  <c r="BX12" i="1"/>
  <c r="BY4" i="5" s="1"/>
  <c r="BW12" i="1"/>
  <c r="BV12" i="1"/>
  <c r="BW4" i="5" s="1"/>
  <c r="BU12" i="1"/>
  <c r="BV4" i="5" s="1"/>
  <c r="BT12" i="1"/>
  <c r="BS12" i="1"/>
  <c r="BT4" i="5" s="1"/>
  <c r="BR12" i="1"/>
  <c r="AY11" i="3" s="1"/>
  <c r="BQ12" i="1"/>
  <c r="BR4" i="5" s="1"/>
  <c r="BP12" i="1"/>
  <c r="BQ4" i="5" s="1"/>
  <c r="BO12" i="1"/>
  <c r="BN12" i="1"/>
  <c r="BO4" i="5" s="1"/>
  <c r="BM12" i="1"/>
  <c r="BN4" i="5" s="1"/>
  <c r="BL12" i="1"/>
  <c r="BM4" i="5" s="1"/>
  <c r="BK12" i="1"/>
  <c r="BL4" i="5" s="1"/>
  <c r="BJ12" i="1"/>
  <c r="BI12" i="1"/>
  <c r="BJ4" i="5" s="1"/>
  <c r="BH12" i="1"/>
  <c r="BI4" i="5" s="1"/>
  <c r="BG12" i="1"/>
  <c r="BF12" i="1"/>
  <c r="BE12" i="1"/>
  <c r="BF4" i="5" s="1"/>
  <c r="BD12" i="1"/>
  <c r="BC12" i="1"/>
  <c r="BD4" i="5" s="1"/>
  <c r="BB12" i="1"/>
  <c r="BA12" i="1"/>
  <c r="BB4" i="5" s="1"/>
  <c r="AZ12" i="1"/>
  <c r="BA4" i="5" s="1"/>
  <c r="AY12" i="1"/>
  <c r="FH10" i="1"/>
  <c r="FH6" i="4" s="1"/>
  <c r="FG10" i="1"/>
  <c r="FG6" i="4" s="1"/>
  <c r="FF10" i="1"/>
  <c r="FF6" i="4" s="1"/>
  <c r="FE10" i="1"/>
  <c r="FE6" i="4" s="1"/>
  <c r="FD10" i="1"/>
  <c r="FD6" i="4" s="1"/>
  <c r="FC10" i="1"/>
  <c r="FC6" i="4" s="1"/>
  <c r="FB10" i="1"/>
  <c r="FB6" i="4" s="1"/>
  <c r="FA10" i="1"/>
  <c r="FA6" i="4" s="1"/>
  <c r="EZ10" i="1"/>
  <c r="EZ6" i="4" s="1"/>
  <c r="EY10" i="1"/>
  <c r="EY6" i="4" s="1"/>
  <c r="EX10" i="1"/>
  <c r="EX6" i="4" s="1"/>
  <c r="EW10" i="1"/>
  <c r="EV10" i="1"/>
  <c r="EV6" i="4" s="1"/>
  <c r="EU10" i="1"/>
  <c r="EU6" i="4" s="1"/>
  <c r="ET10" i="1"/>
  <c r="ET6" i="4" s="1"/>
  <c r="ES10" i="1"/>
  <c r="ES6" i="4" s="1"/>
  <c r="ER10" i="1"/>
  <c r="ER6" i="4" s="1"/>
  <c r="EQ10" i="1"/>
  <c r="EQ6" i="4" s="1"/>
  <c r="EP10" i="1"/>
  <c r="EP6" i="4" s="1"/>
  <c r="EO10" i="1"/>
  <c r="EO6" i="4" s="1"/>
  <c r="EN10" i="1"/>
  <c r="EN6" i="4" s="1"/>
  <c r="EM10" i="1"/>
  <c r="EM6" i="4" s="1"/>
  <c r="EL10" i="1"/>
  <c r="EL6" i="4" s="1"/>
  <c r="EK10" i="1"/>
  <c r="EK6" i="4" s="1"/>
  <c r="EJ10" i="1"/>
  <c r="EJ6" i="4" s="1"/>
  <c r="EI10" i="1"/>
  <c r="EI6" i="4" s="1"/>
  <c r="EH10" i="1"/>
  <c r="EH6" i="4" s="1"/>
  <c r="EG10" i="1"/>
  <c r="EG6" i="4" s="1"/>
  <c r="EF10" i="1"/>
  <c r="EF6" i="4" s="1"/>
  <c r="EE10" i="1"/>
  <c r="EE6" i="4" s="1"/>
  <c r="ED10" i="1"/>
  <c r="ED6" i="4" s="1"/>
  <c r="EC10" i="1"/>
  <c r="EC6" i="4" s="1"/>
  <c r="EB10" i="1"/>
  <c r="EB6" i="4" s="1"/>
  <c r="EA10" i="1"/>
  <c r="EA6" i="4" s="1"/>
  <c r="DZ10" i="1"/>
  <c r="DZ6" i="4" s="1"/>
  <c r="DY10" i="1"/>
  <c r="DY6" i="4" s="1"/>
  <c r="DX10" i="1"/>
  <c r="DX6" i="4" s="1"/>
  <c r="DW10" i="1"/>
  <c r="DW6" i="4" s="1"/>
  <c r="DV10" i="1"/>
  <c r="DV6" i="4" s="1"/>
  <c r="DU10" i="1"/>
  <c r="DU6" i="4" s="1"/>
  <c r="DT10" i="1"/>
  <c r="DT6" i="4" s="1"/>
  <c r="DR10" i="1"/>
  <c r="DR6" i="4" s="1"/>
  <c r="DQ10" i="1"/>
  <c r="DQ6" i="4" s="1"/>
  <c r="DO10" i="1"/>
  <c r="DO6" i="4" s="1"/>
  <c r="DN10" i="1"/>
  <c r="DN6" i="4" s="1"/>
  <c r="DM10" i="1"/>
  <c r="DM6" i="4" s="1"/>
  <c r="DL10" i="1"/>
  <c r="DL6" i="4" s="1"/>
  <c r="DK10" i="1"/>
  <c r="DK6" i="4" s="1"/>
  <c r="DJ10" i="1"/>
  <c r="DJ6" i="4" s="1"/>
  <c r="DH10" i="1"/>
  <c r="DH6" i="4" s="1"/>
  <c r="DG10" i="1"/>
  <c r="DG6" i="4" s="1"/>
  <c r="DF10" i="1"/>
  <c r="DF6" i="4" s="1"/>
  <c r="DE10" i="1"/>
  <c r="DE6" i="4" s="1"/>
  <c r="DD10" i="1"/>
  <c r="DD6" i="4" s="1"/>
  <c r="DC10" i="1"/>
  <c r="DC6" i="4" s="1"/>
  <c r="DB10" i="1"/>
  <c r="DB6" i="4" s="1"/>
  <c r="DA10" i="1"/>
  <c r="DA6" i="4" s="1"/>
  <c r="CZ10" i="1"/>
  <c r="CZ6" i="4" s="1"/>
  <c r="CY10" i="1"/>
  <c r="CY6" i="4" s="1"/>
  <c r="CX10" i="1"/>
  <c r="CX6" i="4" s="1"/>
  <c r="CW10" i="1"/>
  <c r="CW6" i="4" s="1"/>
  <c r="CV10" i="1"/>
  <c r="CV6" i="4" s="1"/>
  <c r="CU10" i="1"/>
  <c r="CU6" i="4" s="1"/>
  <c r="CT10" i="1"/>
  <c r="CT6" i="4" s="1"/>
  <c r="CS10" i="1"/>
  <c r="CS6" i="4" s="1"/>
  <c r="CR10" i="1"/>
  <c r="CR6" i="4" s="1"/>
  <c r="CQ10" i="1"/>
  <c r="CQ6" i="4" s="1"/>
  <c r="CP10" i="1"/>
  <c r="CP6" i="4" s="1"/>
  <c r="CO10" i="1"/>
  <c r="CO6" i="4" s="1"/>
  <c r="CN10" i="1"/>
  <c r="CN6" i="4" s="1"/>
  <c r="CM10" i="1"/>
  <c r="CM6" i="4" s="1"/>
  <c r="CL10" i="1"/>
  <c r="CL6" i="4" s="1"/>
  <c r="CK10" i="1"/>
  <c r="CK6" i="4" s="1"/>
  <c r="CJ10" i="1"/>
  <c r="CJ6" i="4" s="1"/>
  <c r="CI10" i="1"/>
  <c r="CH10" i="1"/>
  <c r="CI6" i="4" s="1"/>
  <c r="CG10" i="1"/>
  <c r="CH6" i="4" s="1"/>
  <c r="CF10" i="1"/>
  <c r="CG6" i="4" s="1"/>
  <c r="CE10" i="1"/>
  <c r="CF6" i="4" s="1"/>
  <c r="CD10" i="1"/>
  <c r="CE6" i="4" s="1"/>
  <c r="CC10" i="1"/>
  <c r="CD6" i="4" s="1"/>
  <c r="CB10" i="1"/>
  <c r="CC6" i="4" s="1"/>
  <c r="CA10" i="1"/>
  <c r="CB6" i="4" s="1"/>
  <c r="BZ10" i="1"/>
  <c r="CA6" i="4" s="1"/>
  <c r="BY10" i="1"/>
  <c r="BZ6" i="4" s="1"/>
  <c r="BX10" i="1"/>
  <c r="BY6" i="4" s="1"/>
  <c r="BW10" i="1"/>
  <c r="BX6" i="4" s="1"/>
  <c r="BV10" i="1"/>
  <c r="BW6" i="4" s="1"/>
  <c r="BU10" i="1"/>
  <c r="BV6" i="4" s="1"/>
  <c r="BT10" i="1"/>
  <c r="BU6" i="4" s="1"/>
  <c r="BS10" i="1"/>
  <c r="BT6" i="4" s="1"/>
  <c r="BR10" i="1"/>
  <c r="BS6" i="4" s="1"/>
  <c r="BQ10" i="1"/>
  <c r="BR6" i="4" s="1"/>
  <c r="BP10" i="1"/>
  <c r="BQ6" i="4" s="1"/>
  <c r="BO10" i="1"/>
  <c r="BP6" i="4" s="1"/>
  <c r="BN10" i="1"/>
  <c r="BO6" i="4" s="1"/>
  <c r="BM10" i="1"/>
  <c r="BN6" i="4" s="1"/>
  <c r="BL10" i="1"/>
  <c r="BM6" i="4" s="1"/>
  <c r="BK10" i="1"/>
  <c r="BL6" i="4" s="1"/>
  <c r="BJ10" i="1"/>
  <c r="BK6" i="4" s="1"/>
  <c r="BI10" i="1"/>
  <c r="BJ6" i="4" s="1"/>
  <c r="BH10" i="1"/>
  <c r="BI6" i="4" s="1"/>
  <c r="BG10" i="1"/>
  <c r="BH6" i="4" s="1"/>
  <c r="BF10" i="1"/>
  <c r="BG6" i="4" s="1"/>
  <c r="BE10" i="1"/>
  <c r="BF6" i="4" s="1"/>
  <c r="BD10" i="1"/>
  <c r="BE6" i="4" s="1"/>
  <c r="BC10" i="1"/>
  <c r="BD6" i="4" s="1"/>
  <c r="BB10" i="1"/>
  <c r="BC6" i="4" s="1"/>
  <c r="BA10" i="1"/>
  <c r="BB6" i="4" s="1"/>
  <c r="AZ10" i="1"/>
  <c r="BA6" i="4" s="1"/>
  <c r="AY10" i="1"/>
  <c r="AZ6" i="4" s="1"/>
  <c r="GF9" i="1"/>
  <c r="GE9" i="1"/>
  <c r="GD9" i="1"/>
  <c r="GD8" i="4" s="1"/>
  <c r="GC9" i="1"/>
  <c r="GC8" i="4" s="1"/>
  <c r="GB9" i="1"/>
  <c r="GB8" i="4" s="1"/>
  <c r="GA9" i="1"/>
  <c r="FZ9" i="1"/>
  <c r="FZ8" i="4" s="1"/>
  <c r="FY9" i="1"/>
  <c r="FX9" i="1"/>
  <c r="FW9" i="1"/>
  <c r="FV9" i="1"/>
  <c r="FV8" i="4" s="1"/>
  <c r="FU9" i="1"/>
  <c r="FT9" i="1"/>
  <c r="FT8" i="4" s="1"/>
  <c r="FS9" i="1"/>
  <c r="FS8" i="4" s="1"/>
  <c r="FR9" i="1"/>
  <c r="FR8" i="4" s="1"/>
  <c r="FQ9" i="1"/>
  <c r="FQ8" i="4" s="1"/>
  <c r="FP9" i="1"/>
  <c r="FO9" i="1"/>
  <c r="FN9" i="1"/>
  <c r="FN8" i="4" s="1"/>
  <c r="FM9" i="1"/>
  <c r="FL9" i="1"/>
  <c r="FL8" i="4" s="1"/>
  <c r="FK9" i="1"/>
  <c r="FK8" i="4" s="1"/>
  <c r="FJ9" i="1"/>
  <c r="FJ8" i="4" s="1"/>
  <c r="FI9" i="1"/>
  <c r="FI8" i="4" s="1"/>
  <c r="FH9" i="1"/>
  <c r="FG9" i="1"/>
  <c r="FF9" i="1"/>
  <c r="FF8" i="4" s="1"/>
  <c r="FE9" i="1"/>
  <c r="FD9" i="1"/>
  <c r="FD8" i="4" s="1"/>
  <c r="FC9" i="1"/>
  <c r="FB9" i="1"/>
  <c r="FB8" i="4" s="1"/>
  <c r="FA9" i="1"/>
  <c r="FA8" i="4" s="1"/>
  <c r="EZ9" i="1"/>
  <c r="EY9" i="1"/>
  <c r="EX9" i="1"/>
  <c r="EX8" i="4" s="1"/>
  <c r="EW9" i="1"/>
  <c r="EW8" i="4" s="1"/>
  <c r="EV9" i="1"/>
  <c r="EV8" i="4" s="1"/>
  <c r="EU9" i="1"/>
  <c r="EU8" i="4" s="1"/>
  <c r="ET9" i="1"/>
  <c r="ET8" i="4" s="1"/>
  <c r="ES9" i="1"/>
  <c r="ES8" i="4" s="1"/>
  <c r="ER9" i="1"/>
  <c r="EQ9" i="1"/>
  <c r="EP9" i="1"/>
  <c r="EP8" i="4" s="1"/>
  <c r="EO9" i="1"/>
  <c r="EO8" i="4" s="1"/>
  <c r="EN9" i="1"/>
  <c r="EN8" i="4" s="1"/>
  <c r="EM9" i="1"/>
  <c r="EL9" i="1"/>
  <c r="EL8" i="4" s="1"/>
  <c r="EK9" i="1"/>
  <c r="EK8" i="4" s="1"/>
  <c r="EJ9" i="1"/>
  <c r="EI9" i="1"/>
  <c r="EH9" i="1"/>
  <c r="EH8" i="4" s="1"/>
  <c r="EG9" i="1"/>
  <c r="EG8" i="4" s="1"/>
  <c r="EF9" i="1"/>
  <c r="EF8" i="4" s="1"/>
  <c r="EE9" i="1"/>
  <c r="EE8" i="4" s="1"/>
  <c r="ED9" i="1"/>
  <c r="ED8" i="4" s="1"/>
  <c r="EC9" i="1"/>
  <c r="EC8" i="4" s="1"/>
  <c r="EB9" i="1"/>
  <c r="EA9" i="1"/>
  <c r="DZ9" i="1"/>
  <c r="DZ8" i="4" s="1"/>
  <c r="DY9" i="1"/>
  <c r="DY8" i="4" s="1"/>
  <c r="DX9" i="1"/>
  <c r="DX8" i="4" s="1"/>
  <c r="DW9" i="1"/>
  <c r="DV9" i="1"/>
  <c r="DV8" i="4" s="1"/>
  <c r="DU9" i="1"/>
  <c r="DU8" i="4" s="1"/>
  <c r="DT9" i="1"/>
  <c r="DT8" i="4" s="1"/>
  <c r="DR9" i="1"/>
  <c r="DQ9" i="1"/>
  <c r="DQ8" i="4" s="1"/>
  <c r="DO9" i="1"/>
  <c r="DN9" i="1"/>
  <c r="DN8" i="4" s="1"/>
  <c r="DM9" i="1"/>
  <c r="DM8" i="4" s="1"/>
  <c r="DL9" i="1"/>
  <c r="DL8" i="4" s="1"/>
  <c r="DK9" i="1"/>
  <c r="DK8" i="4" s="1"/>
  <c r="DJ9" i="1"/>
  <c r="DJ8" i="4" s="1"/>
  <c r="DH9" i="1"/>
  <c r="DG9" i="1"/>
  <c r="DG8" i="4" s="1"/>
  <c r="DF9" i="1"/>
  <c r="DE9" i="1"/>
  <c r="DE8" i="4" s="1"/>
  <c r="DD9" i="1"/>
  <c r="DD8" i="4" s="1"/>
  <c r="DC9" i="1"/>
  <c r="DC8" i="4" s="1"/>
  <c r="DB9" i="1"/>
  <c r="DB8" i="4" s="1"/>
  <c r="DA9" i="1"/>
  <c r="CZ9" i="1"/>
  <c r="CZ8" i="4" s="1"/>
  <c r="CY9" i="1"/>
  <c r="CY8" i="4" s="1"/>
  <c r="CX9" i="1"/>
  <c r="CW9" i="1"/>
  <c r="CW8" i="4" s="1"/>
  <c r="CV9" i="1"/>
  <c r="CU9" i="1"/>
  <c r="CU8" i="4" s="1"/>
  <c r="CT9" i="1"/>
  <c r="CT8" i="4" s="1"/>
  <c r="CS9" i="1"/>
  <c r="CR9" i="1"/>
  <c r="CR8" i="4" s="1"/>
  <c r="CQ9" i="1"/>
  <c r="CQ8" i="4" s="1"/>
  <c r="CP9" i="1"/>
  <c r="CP8" i="4" s="1"/>
  <c r="CO9" i="1"/>
  <c r="CO8" i="4" s="1"/>
  <c r="CN9" i="1"/>
  <c r="CN8" i="4" s="1"/>
  <c r="CM9" i="1"/>
  <c r="CM8" i="4" s="1"/>
  <c r="CL9" i="1"/>
  <c r="CL8" i="4" s="1"/>
  <c r="CK9" i="1"/>
  <c r="CJ9" i="1"/>
  <c r="CI9" i="1"/>
  <c r="CH9" i="1"/>
  <c r="CI8" i="4" s="1"/>
  <c r="CG9" i="1"/>
  <c r="CH8" i="4" s="1"/>
  <c r="CF9" i="1"/>
  <c r="CG8" i="4" s="1"/>
  <c r="CE9" i="1"/>
  <c r="CF8" i="4" s="1"/>
  <c r="CD9" i="1"/>
  <c r="CE8" i="4" s="1"/>
  <c r="CC9" i="1"/>
  <c r="CB9" i="1"/>
  <c r="CC8" i="4" s="1"/>
  <c r="CA9" i="1"/>
  <c r="BZ9" i="1"/>
  <c r="BY9" i="1"/>
  <c r="BZ8" i="4" s="1"/>
  <c r="BX9" i="1"/>
  <c r="BW9" i="1"/>
  <c r="BX8" i="4" s="1"/>
  <c r="BV9" i="1"/>
  <c r="BW8" i="4" s="1"/>
  <c r="BU9" i="1"/>
  <c r="BT9" i="1"/>
  <c r="BU8" i="4" s="1"/>
  <c r="BS9" i="1"/>
  <c r="BT8" i="4" s="1"/>
  <c r="BR9" i="1"/>
  <c r="BQ9" i="1"/>
  <c r="BR8" i="4" s="1"/>
  <c r="BP9" i="1"/>
  <c r="BQ8" i="4" s="1"/>
  <c r="BO9" i="1"/>
  <c r="BP8" i="4" s="1"/>
  <c r="BN9" i="1"/>
  <c r="BO8" i="4" s="1"/>
  <c r="BM9" i="1"/>
  <c r="BL9" i="1"/>
  <c r="BK9" i="1"/>
  <c r="BL8" i="4" s="1"/>
  <c r="BJ9" i="1"/>
  <c r="BK8" i="4" s="1"/>
  <c r="BI9" i="1"/>
  <c r="BJ8" i="4" s="1"/>
  <c r="BH9" i="1"/>
  <c r="BI8" i="4" s="1"/>
  <c r="BG9" i="1"/>
  <c r="BH8" i="4" s="1"/>
  <c r="BF9" i="1"/>
  <c r="BG8" i="4" s="1"/>
  <c r="BE9" i="1"/>
  <c r="BD9" i="1"/>
  <c r="BE8" i="4" s="1"/>
  <c r="BC9" i="1"/>
  <c r="BD8" i="4" s="1"/>
  <c r="BB9" i="1"/>
  <c r="BC8" i="4" s="1"/>
  <c r="BA9" i="1"/>
  <c r="BB8" i="4" s="1"/>
  <c r="AZ9" i="1"/>
  <c r="AY9" i="1"/>
  <c r="AZ8" i="4" s="1"/>
  <c r="GF8" i="1"/>
  <c r="GE8" i="1"/>
  <c r="GD8" i="1"/>
  <c r="GD5" i="4" s="1"/>
  <c r="GC8" i="1"/>
  <c r="GC5" i="4" s="1"/>
  <c r="GB8" i="1"/>
  <c r="GA8" i="1"/>
  <c r="GA5" i="4" s="1"/>
  <c r="FZ8" i="1"/>
  <c r="FZ5" i="4" s="1"/>
  <c r="FY8" i="1"/>
  <c r="FY5" i="4" s="1"/>
  <c r="FX8" i="1"/>
  <c r="FX5" i="4" s="1"/>
  <c r="FW8" i="1"/>
  <c r="FV8" i="1"/>
  <c r="FV5" i="4" s="1"/>
  <c r="FU8" i="1"/>
  <c r="FT8" i="1"/>
  <c r="FT5" i="4" s="1"/>
  <c r="FS8" i="1"/>
  <c r="FS5" i="4" s="1"/>
  <c r="FR8" i="1"/>
  <c r="FR5" i="4" s="1"/>
  <c r="FQ8" i="1"/>
  <c r="FQ5" i="4" s="1"/>
  <c r="FP8" i="1"/>
  <c r="FO8" i="1"/>
  <c r="FN8" i="1"/>
  <c r="FN5" i="4" s="1"/>
  <c r="FM8" i="1"/>
  <c r="FM5" i="4" s="1"/>
  <c r="FL8" i="1"/>
  <c r="FK8" i="1"/>
  <c r="FK5" i="4" s="1"/>
  <c r="FJ8" i="1"/>
  <c r="FJ5" i="4" s="1"/>
  <c r="FI8" i="1"/>
  <c r="FI5" i="4" s="1"/>
  <c r="FH8" i="1"/>
  <c r="FG8" i="1"/>
  <c r="FF8" i="1"/>
  <c r="FF5" i="4" s="1"/>
  <c r="FE8" i="1"/>
  <c r="FD8" i="1"/>
  <c r="FD5" i="4" s="1"/>
  <c r="FC8" i="1"/>
  <c r="FB8" i="1"/>
  <c r="FB5" i="4" s="1"/>
  <c r="FA8" i="1"/>
  <c r="FA5" i="4" s="1"/>
  <c r="EZ8" i="1"/>
  <c r="EZ5" i="4" s="1"/>
  <c r="EY8" i="1"/>
  <c r="EY5" i="4" s="1"/>
  <c r="EX8" i="1"/>
  <c r="EX5" i="4" s="1"/>
  <c r="EW8" i="1"/>
  <c r="EW5" i="4" s="1"/>
  <c r="EV8" i="1"/>
  <c r="EV5" i="4" s="1"/>
  <c r="EU8" i="1"/>
  <c r="EU5" i="4" s="1"/>
  <c r="ET8" i="1"/>
  <c r="ET5" i="4" s="1"/>
  <c r="ES8" i="1"/>
  <c r="ES5" i="4" s="1"/>
  <c r="ER8" i="1"/>
  <c r="EQ8" i="1"/>
  <c r="EQ5" i="4" s="1"/>
  <c r="EP8" i="1"/>
  <c r="EP5" i="4" s="1"/>
  <c r="EO8" i="1"/>
  <c r="EN8" i="1"/>
  <c r="EN5" i="4" s="1"/>
  <c r="EM8" i="1"/>
  <c r="EM5" i="4" s="1"/>
  <c r="EL8" i="1"/>
  <c r="EL5" i="4" s="1"/>
  <c r="EK8" i="1"/>
  <c r="EK5" i="4" s="1"/>
  <c r="EJ8" i="1"/>
  <c r="EI8" i="1"/>
  <c r="EH8" i="1"/>
  <c r="EH5" i="4" s="1"/>
  <c r="EG8" i="1"/>
  <c r="EG5" i="4" s="1"/>
  <c r="EF8" i="1"/>
  <c r="EE8" i="1"/>
  <c r="EE5" i="4" s="1"/>
  <c r="ED8" i="1"/>
  <c r="ED5" i="4" s="1"/>
  <c r="EC8" i="1"/>
  <c r="EC5" i="4" s="1"/>
  <c r="EB8" i="1"/>
  <c r="EA8" i="1"/>
  <c r="DZ8" i="1"/>
  <c r="DZ5" i="4" s="1"/>
  <c r="DY8" i="1"/>
  <c r="DX8" i="1"/>
  <c r="DX5" i="4" s="1"/>
  <c r="DW8" i="1"/>
  <c r="DV8" i="1"/>
  <c r="DV5" i="4" s="1"/>
  <c r="DU8" i="1"/>
  <c r="DU5" i="4" s="1"/>
  <c r="DT8" i="1"/>
  <c r="DT5" i="4" s="1"/>
  <c r="DR8" i="1"/>
  <c r="DR5" i="4" s="1"/>
  <c r="DQ8" i="1"/>
  <c r="DQ5" i="4" s="1"/>
  <c r="DO8" i="1"/>
  <c r="DO5" i="4" s="1"/>
  <c r="DN8" i="1"/>
  <c r="DM8" i="1"/>
  <c r="DM5" i="4" s="1"/>
  <c r="DL8" i="1"/>
  <c r="DK8" i="1"/>
  <c r="DJ8" i="1"/>
  <c r="DH8" i="1"/>
  <c r="DG8" i="1"/>
  <c r="DG5" i="4" s="1"/>
  <c r="DF8" i="1"/>
  <c r="DF5" i="4" s="1"/>
  <c r="DE8" i="1"/>
  <c r="DD8" i="1"/>
  <c r="DD5" i="4" s="1"/>
  <c r="DC8" i="1"/>
  <c r="DC5" i="4" s="1"/>
  <c r="DB8" i="1"/>
  <c r="CI8" i="3" s="1"/>
  <c r="DA8" i="1"/>
  <c r="CZ8" i="1"/>
  <c r="CY8" i="1"/>
  <c r="CY5" i="4" s="1"/>
  <c r="CX8" i="1"/>
  <c r="CX5" i="4" s="1"/>
  <c r="CW8" i="1"/>
  <c r="CW5" i="4" s="1"/>
  <c r="CV8" i="1"/>
  <c r="CV5" i="4" s="1"/>
  <c r="CU8" i="1"/>
  <c r="CT8" i="1"/>
  <c r="CT5" i="4" s="1"/>
  <c r="CS8" i="1"/>
  <c r="CR8" i="1"/>
  <c r="CR5" i="4" s="1"/>
  <c r="CQ8" i="1"/>
  <c r="CP8" i="1"/>
  <c r="CP5" i="4" s="1"/>
  <c r="CO8" i="1"/>
  <c r="CO5" i="4" s="1"/>
  <c r="CN8" i="1"/>
  <c r="CN5" i="4" s="1"/>
  <c r="CM8" i="1"/>
  <c r="CM5" i="4" s="1"/>
  <c r="CL8" i="1"/>
  <c r="CL5" i="4" s="1"/>
  <c r="CK8" i="1"/>
  <c r="CJ8" i="1"/>
  <c r="CJ5" i="4" s="1"/>
  <c r="CI8" i="1"/>
  <c r="BP8" i="3" s="1"/>
  <c r="CH8" i="1"/>
  <c r="CI5" i="4" s="1"/>
  <c r="CG8" i="1"/>
  <c r="CH5" i="4" s="1"/>
  <c r="CF8" i="1"/>
  <c r="CE8" i="1"/>
  <c r="CD8" i="1"/>
  <c r="CE5" i="4" s="1"/>
  <c r="CC8" i="1"/>
  <c r="CB8" i="1"/>
  <c r="CA8" i="1"/>
  <c r="CB5" i="4" s="1"/>
  <c r="BZ8" i="1"/>
  <c r="CA5" i="4" s="1"/>
  <c r="BY8" i="1"/>
  <c r="BZ5" i="4" s="1"/>
  <c r="BX8" i="1"/>
  <c r="BY5" i="4" s="1"/>
  <c r="BW8" i="1"/>
  <c r="BX5" i="4" s="1"/>
  <c r="BV8" i="1"/>
  <c r="BW5" i="4" s="1"/>
  <c r="BU8" i="1"/>
  <c r="BT8" i="1"/>
  <c r="BS8" i="1"/>
  <c r="BT5" i="4" s="1"/>
  <c r="BR8" i="1"/>
  <c r="BS5" i="4" s="1"/>
  <c r="BQ8" i="1"/>
  <c r="BR5" i="4" s="1"/>
  <c r="BP8" i="1"/>
  <c r="BO8" i="1"/>
  <c r="BN8" i="1"/>
  <c r="BO5" i="4" s="1"/>
  <c r="BM8" i="1"/>
  <c r="BL8" i="1"/>
  <c r="BM5" i="4" s="1"/>
  <c r="BK8" i="1"/>
  <c r="BL5" i="4" s="1"/>
  <c r="BJ8" i="1"/>
  <c r="BK5" i="4" s="1"/>
  <c r="BI8" i="1"/>
  <c r="BJ5" i="4" s="1"/>
  <c r="BH8" i="1"/>
  <c r="BI5" i="4" s="1"/>
  <c r="BG8" i="1"/>
  <c r="BH5" i="4" s="1"/>
  <c r="BF8" i="1"/>
  <c r="BG5" i="4" s="1"/>
  <c r="BE8" i="1"/>
  <c r="BD8" i="1"/>
  <c r="BE5" i="4" s="1"/>
  <c r="BC8" i="1"/>
  <c r="BD5" i="4" s="1"/>
  <c r="BB8" i="1"/>
  <c r="BA8" i="1"/>
  <c r="BB5" i="4" s="1"/>
  <c r="AZ8" i="1"/>
  <c r="AY8" i="1"/>
  <c r="AZ5" i="4" s="1"/>
  <c r="GF7" i="1"/>
  <c r="GF4" i="4" s="1"/>
  <c r="GE7" i="1"/>
  <c r="GD7" i="1"/>
  <c r="GC7" i="1"/>
  <c r="GC4" i="4" s="1"/>
  <c r="GB7" i="1"/>
  <c r="GA7" i="1"/>
  <c r="FZ7" i="1"/>
  <c r="FY7" i="1"/>
  <c r="FY4" i="4" s="1"/>
  <c r="FX7" i="1"/>
  <c r="FX4" i="4" s="1"/>
  <c r="FW7" i="1"/>
  <c r="FV7" i="1"/>
  <c r="FV4" i="4" s="1"/>
  <c r="FU7" i="1"/>
  <c r="FU4" i="4" s="1"/>
  <c r="FT7" i="1"/>
  <c r="FS7" i="1"/>
  <c r="FS4" i="4" s="1"/>
  <c r="FR7" i="1"/>
  <c r="FR4" i="4" s="1"/>
  <c r="FQ7" i="1"/>
  <c r="FQ4" i="4" s="1"/>
  <c r="FP7" i="1"/>
  <c r="FP4" i="4" s="1"/>
  <c r="FO7" i="1"/>
  <c r="FN7" i="1"/>
  <c r="FN4" i="4" s="1"/>
  <c r="FM7" i="1"/>
  <c r="FL7" i="1"/>
  <c r="FK7" i="1"/>
  <c r="FK4" i="4" s="1"/>
  <c r="FJ7" i="1"/>
  <c r="FJ4" i="4" s="1"/>
  <c r="FI7" i="1"/>
  <c r="FI4" i="4" s="1"/>
  <c r="FH7" i="1"/>
  <c r="FH4" i="4" s="1"/>
  <c r="FG7" i="1"/>
  <c r="FF7" i="1"/>
  <c r="FF4" i="4" s="1"/>
  <c r="FE7" i="1"/>
  <c r="FE4" i="4" s="1"/>
  <c r="FD7" i="1"/>
  <c r="FC7" i="1"/>
  <c r="FC4" i="4" s="1"/>
  <c r="FB7" i="1"/>
  <c r="FA7" i="1"/>
  <c r="FA4" i="4" s="1"/>
  <c r="EZ7" i="1"/>
  <c r="EY7" i="1"/>
  <c r="EX7" i="1"/>
  <c r="EX4" i="4" s="1"/>
  <c r="EW7" i="1"/>
  <c r="EW4" i="4" s="1"/>
  <c r="EV7" i="1"/>
  <c r="EU7" i="1"/>
  <c r="EU4" i="4" s="1"/>
  <c r="ET7" i="1"/>
  <c r="ET4" i="4" s="1"/>
  <c r="ES7" i="1"/>
  <c r="ES4" i="4" s="1"/>
  <c r="ER7" i="1"/>
  <c r="ER4" i="4" s="1"/>
  <c r="EQ7" i="1"/>
  <c r="EP7" i="1"/>
  <c r="EP4" i="4" s="1"/>
  <c r="EO7" i="1"/>
  <c r="EN7" i="1"/>
  <c r="EM7" i="1"/>
  <c r="EL7" i="1"/>
  <c r="EL4" i="4" s="1"/>
  <c r="EK7" i="1"/>
  <c r="EK4" i="4" s="1"/>
  <c r="EJ7" i="1"/>
  <c r="EJ4" i="4" s="1"/>
  <c r="EI7" i="1"/>
  <c r="EH7" i="1"/>
  <c r="EH4" i="4" s="1"/>
  <c r="EG7" i="1"/>
  <c r="EG4" i="4" s="1"/>
  <c r="EF7" i="1"/>
  <c r="EE7" i="1"/>
  <c r="EE4" i="4" s="1"/>
  <c r="ED7" i="1"/>
  <c r="ED4" i="4" s="1"/>
  <c r="EC7" i="1"/>
  <c r="EC4" i="4" s="1"/>
  <c r="EB7" i="1"/>
  <c r="EA7" i="1"/>
  <c r="DZ7" i="1"/>
  <c r="DZ4" i="4" s="1"/>
  <c r="DY7" i="1"/>
  <c r="DY4" i="4" s="1"/>
  <c r="DX7" i="1"/>
  <c r="DW7" i="1"/>
  <c r="DW4" i="4" s="1"/>
  <c r="DV7" i="1"/>
  <c r="DV4" i="4" s="1"/>
  <c r="DU7" i="1"/>
  <c r="DU4" i="4" s="1"/>
  <c r="DT7" i="1"/>
  <c r="DT4" i="4" s="1"/>
  <c r="DR7" i="1"/>
  <c r="DR4" i="4" s="1"/>
  <c r="DQ7" i="1"/>
  <c r="DQ4" i="4" s="1"/>
  <c r="DO7" i="1"/>
  <c r="DO4" i="4" s="1"/>
  <c r="DN7" i="1"/>
  <c r="DM7" i="1"/>
  <c r="DM4" i="4" s="1"/>
  <c r="DL7" i="1"/>
  <c r="DL4" i="4" s="1"/>
  <c r="DK7" i="1"/>
  <c r="DJ7" i="1"/>
  <c r="DJ4" i="4" s="1"/>
  <c r="DH7" i="1"/>
  <c r="DH4" i="4" s="1"/>
  <c r="DG7" i="1"/>
  <c r="DG4" i="4" s="1"/>
  <c r="DF7" i="1"/>
  <c r="DF4" i="4" s="1"/>
  <c r="DE7" i="1"/>
  <c r="DD7" i="1"/>
  <c r="DD4" i="4" s="1"/>
  <c r="DC7" i="1"/>
  <c r="DC4" i="4" s="1"/>
  <c r="DB7" i="1"/>
  <c r="DA7" i="1"/>
  <c r="CZ7" i="1"/>
  <c r="CZ4" i="4" s="1"/>
  <c r="CY7" i="1"/>
  <c r="CY4" i="4" s="1"/>
  <c r="CX7" i="1"/>
  <c r="CX4" i="4" s="1"/>
  <c r="CW7" i="1"/>
  <c r="CW4" i="4" s="1"/>
  <c r="CV7" i="1"/>
  <c r="CV4" i="4" s="1"/>
  <c r="CU7" i="1"/>
  <c r="CU4" i="4" s="1"/>
  <c r="CT7" i="1"/>
  <c r="CT4" i="4" s="1"/>
  <c r="CS7" i="1"/>
  <c r="CS4" i="4" s="1"/>
  <c r="CR7" i="1"/>
  <c r="CR4" i="4" s="1"/>
  <c r="CQ7" i="1"/>
  <c r="CQ4" i="4" s="1"/>
  <c r="CP7" i="1"/>
  <c r="CP4" i="4" s="1"/>
  <c r="CO7" i="1"/>
  <c r="CN7" i="1"/>
  <c r="CN4" i="4" s="1"/>
  <c r="CM7" i="1"/>
  <c r="CM4" i="4" s="1"/>
  <c r="CL7" i="1"/>
  <c r="CK7" i="1"/>
  <c r="CJ7" i="1"/>
  <c r="CJ4" i="4" s="1"/>
  <c r="CI7" i="1"/>
  <c r="BP7" i="3" s="1"/>
  <c r="CH7" i="1"/>
  <c r="CI4" i="4" s="1"/>
  <c r="CG7" i="1"/>
  <c r="CF7" i="1"/>
  <c r="CG4" i="4" s="1"/>
  <c r="CE7" i="1"/>
  <c r="CF4" i="4" s="1"/>
  <c r="CD7" i="1"/>
  <c r="CE4" i="4" s="1"/>
  <c r="CC7" i="1"/>
  <c r="CD4" i="4" s="1"/>
  <c r="CB7" i="1"/>
  <c r="CC4" i="4" s="1"/>
  <c r="CA7" i="1"/>
  <c r="CB4" i="4" s="1"/>
  <c r="BZ7" i="1"/>
  <c r="CA4" i="4" s="1"/>
  <c r="BY7" i="1"/>
  <c r="BX7" i="1"/>
  <c r="BY4" i="4" s="1"/>
  <c r="BW7" i="1"/>
  <c r="BX4" i="4" s="1"/>
  <c r="BV7" i="1"/>
  <c r="BW4" i="4" s="1"/>
  <c r="BU7" i="1"/>
  <c r="BT7" i="1"/>
  <c r="BU4" i="4" s="1"/>
  <c r="BS7" i="1"/>
  <c r="BT4" i="4" s="1"/>
  <c r="BR7" i="1"/>
  <c r="BQ7" i="1"/>
  <c r="BP7" i="1"/>
  <c r="BQ4" i="4" s="1"/>
  <c r="BO7" i="1"/>
  <c r="BP4" i="4" s="1"/>
  <c r="BN7" i="1"/>
  <c r="BO4" i="4" s="1"/>
  <c r="BM7" i="1"/>
  <c r="BN4" i="4" s="1"/>
  <c r="BL7" i="1"/>
  <c r="BM4" i="4" s="1"/>
  <c r="BK7" i="1"/>
  <c r="BL4" i="4" s="1"/>
  <c r="BJ7" i="1"/>
  <c r="BK4" i="4" s="1"/>
  <c r="BI7" i="1"/>
  <c r="BJ4" i="4" s="1"/>
  <c r="BH7" i="1"/>
  <c r="BI4" i="4" s="1"/>
  <c r="BG7" i="1"/>
  <c r="BH4" i="4" s="1"/>
  <c r="BF7" i="1"/>
  <c r="BG4" i="4" s="1"/>
  <c r="BE7" i="1"/>
  <c r="BF4" i="4" s="1"/>
  <c r="BD7" i="1"/>
  <c r="BE4" i="4" s="1"/>
  <c r="BC7" i="1"/>
  <c r="BD4" i="4" s="1"/>
  <c r="BB7" i="1"/>
  <c r="BC4" i="4" s="1"/>
  <c r="BA7" i="1"/>
  <c r="AZ7" i="1"/>
  <c r="BA4" i="4" s="1"/>
  <c r="AY7" i="1"/>
  <c r="GF6" i="1"/>
  <c r="GF7" i="4" s="1"/>
  <c r="GE6" i="1"/>
  <c r="GD6" i="1"/>
  <c r="GD7" i="4" s="1"/>
  <c r="GC6" i="1"/>
  <c r="FJ6" i="3" s="1"/>
  <c r="GB6" i="1"/>
  <c r="GA6" i="1"/>
  <c r="GA7" i="4" s="1"/>
  <c r="FZ6" i="1"/>
  <c r="FZ7" i="4" s="1"/>
  <c r="FY6" i="1"/>
  <c r="FY7" i="4" s="1"/>
  <c r="FX6" i="1"/>
  <c r="FX7" i="4" s="1"/>
  <c r="FW6" i="1"/>
  <c r="FV6" i="1"/>
  <c r="FV7" i="4" s="1"/>
  <c r="FU6" i="1"/>
  <c r="FU7" i="4" s="1"/>
  <c r="FT6" i="1"/>
  <c r="FS6" i="1"/>
  <c r="FS7" i="4" s="1"/>
  <c r="FR6" i="1"/>
  <c r="FR7" i="4" s="1"/>
  <c r="FQ6" i="1"/>
  <c r="FQ7" i="4" s="1"/>
  <c r="FP6" i="1"/>
  <c r="FP7" i="4" s="1"/>
  <c r="FO6" i="1"/>
  <c r="FO7" i="4" s="1"/>
  <c r="FN6" i="1"/>
  <c r="FN7" i="4" s="1"/>
  <c r="FM6" i="1"/>
  <c r="FM7" i="4" s="1"/>
  <c r="FL6" i="1"/>
  <c r="FL7" i="4" s="1"/>
  <c r="FK6" i="1"/>
  <c r="FK7" i="4" s="1"/>
  <c r="FJ6" i="1"/>
  <c r="FJ7" i="4" s="1"/>
  <c r="FI6" i="1"/>
  <c r="FH6" i="1"/>
  <c r="FH7" i="4" s="1"/>
  <c r="FG6" i="1"/>
  <c r="FG7" i="4" s="1"/>
  <c r="FF6" i="1"/>
  <c r="FF7" i="4" s="1"/>
  <c r="FE6" i="1"/>
  <c r="FE7" i="4" s="1"/>
  <c r="FD6" i="1"/>
  <c r="FC6" i="1"/>
  <c r="FC7" i="4" s="1"/>
  <c r="FB6" i="1"/>
  <c r="FB7" i="4" s="1"/>
  <c r="FA6" i="1"/>
  <c r="EZ6" i="1"/>
  <c r="EY6" i="1"/>
  <c r="EY7" i="4" s="1"/>
  <c r="EX6" i="1"/>
  <c r="EX7" i="4" s="1"/>
  <c r="EW6" i="1"/>
  <c r="EV6" i="1"/>
  <c r="EU6" i="1"/>
  <c r="EU7" i="4" s="1"/>
  <c r="ET6" i="1"/>
  <c r="ET7" i="4" s="1"/>
  <c r="ES6" i="1"/>
  <c r="ES7" i="4" s="1"/>
  <c r="ER6" i="1"/>
  <c r="ER7" i="4" s="1"/>
  <c r="EQ6" i="1"/>
  <c r="EP6" i="1"/>
  <c r="EP7" i="4" s="1"/>
  <c r="EO6" i="1"/>
  <c r="EO7" i="4" s="1"/>
  <c r="EN6" i="1"/>
  <c r="EM6" i="1"/>
  <c r="EM7" i="4" s="1"/>
  <c r="EL6" i="1"/>
  <c r="EK6" i="1"/>
  <c r="EJ6" i="1"/>
  <c r="EJ7" i="4" s="1"/>
  <c r="EI6" i="1"/>
  <c r="EI7" i="4" s="1"/>
  <c r="EH6" i="1"/>
  <c r="EH7" i="4" s="1"/>
  <c r="EG6" i="1"/>
  <c r="EG7" i="4" s="1"/>
  <c r="EF6" i="1"/>
  <c r="EE6" i="1"/>
  <c r="EE7" i="4" s="1"/>
  <c r="ED6" i="1"/>
  <c r="ED7" i="4" s="1"/>
  <c r="EC6" i="1"/>
  <c r="EB6" i="1"/>
  <c r="EB7" i="4" s="1"/>
  <c r="EA6" i="1"/>
  <c r="DZ6" i="1"/>
  <c r="DZ7" i="4" s="1"/>
  <c r="DY6" i="1"/>
  <c r="DY7" i="4" s="1"/>
  <c r="DX6" i="1"/>
  <c r="DX7" i="4" s="1"/>
  <c r="DW6" i="1"/>
  <c r="DW7" i="4" s="1"/>
  <c r="DV6" i="1"/>
  <c r="DV7" i="4" s="1"/>
  <c r="DU6" i="1"/>
  <c r="DT6" i="1"/>
  <c r="DT7" i="4" s="1"/>
  <c r="DR6" i="1"/>
  <c r="DQ6" i="1"/>
  <c r="DQ7" i="4" s="1"/>
  <c r="DO6" i="1"/>
  <c r="DO7" i="4" s="1"/>
  <c r="DN6" i="1"/>
  <c r="DM6" i="1"/>
  <c r="DM7" i="4" s="1"/>
  <c r="DL6" i="1"/>
  <c r="DL7" i="4" s="1"/>
  <c r="DK6" i="1"/>
  <c r="DJ6" i="1"/>
  <c r="DJ7" i="4" s="1"/>
  <c r="DH6" i="1"/>
  <c r="DH7" i="4" s="1"/>
  <c r="DG6" i="1"/>
  <c r="DG7" i="4" s="1"/>
  <c r="DF6" i="1"/>
  <c r="DF7" i="4" s="1"/>
  <c r="DE6" i="1"/>
  <c r="DD6" i="1"/>
  <c r="DD7" i="4" s="1"/>
  <c r="DC6" i="1"/>
  <c r="DC7" i="4" s="1"/>
  <c r="DB6" i="1"/>
  <c r="DA6" i="1"/>
  <c r="DA7" i="4" s="1"/>
  <c r="CZ6" i="1"/>
  <c r="CZ7" i="4" s="1"/>
  <c r="CY6" i="1"/>
  <c r="CY7" i="4" s="1"/>
  <c r="CX6" i="1"/>
  <c r="CX7" i="4" s="1"/>
  <c r="CW6" i="1"/>
  <c r="CW7" i="4" s="1"/>
  <c r="CV6" i="1"/>
  <c r="CV7" i="4" s="1"/>
  <c r="CU6" i="1"/>
  <c r="CU7" i="4" s="1"/>
  <c r="CT6" i="1"/>
  <c r="CT7" i="4" s="1"/>
  <c r="CS6" i="1"/>
  <c r="CS7" i="4" s="1"/>
  <c r="CR6" i="1"/>
  <c r="CR7" i="4" s="1"/>
  <c r="CQ6" i="1"/>
  <c r="CQ7" i="4" s="1"/>
  <c r="CP6" i="1"/>
  <c r="CP7" i="4" s="1"/>
  <c r="CO6" i="1"/>
  <c r="CN6" i="1"/>
  <c r="CN7" i="4" s="1"/>
  <c r="CM6" i="1"/>
  <c r="CM7" i="4" s="1"/>
  <c r="CL6" i="1"/>
  <c r="CL7" i="4" s="1"/>
  <c r="CK6" i="1"/>
  <c r="CK7" i="4" s="1"/>
  <c r="CJ6" i="1"/>
  <c r="CI6" i="1"/>
  <c r="BP6" i="3" s="1"/>
  <c r="CH6" i="1"/>
  <c r="CI7" i="4" s="1"/>
  <c r="CG6" i="1"/>
  <c r="CF6" i="1"/>
  <c r="CG7" i="4" s="1"/>
  <c r="CE6" i="1"/>
  <c r="CD6" i="1"/>
  <c r="CE7" i="4" s="1"/>
  <c r="CC6" i="1"/>
  <c r="CD7" i="4" s="1"/>
  <c r="CB6" i="1"/>
  <c r="CC7" i="4" s="1"/>
  <c r="CA6" i="1"/>
  <c r="CB7" i="4" s="1"/>
  <c r="BZ6" i="1"/>
  <c r="CA7" i="4" s="1"/>
  <c r="BY6" i="1"/>
  <c r="BX6" i="1"/>
  <c r="BY7" i="4" s="1"/>
  <c r="BW6" i="1"/>
  <c r="BX7" i="4" s="1"/>
  <c r="BV6" i="1"/>
  <c r="BW7" i="4" s="1"/>
  <c r="BU6" i="1"/>
  <c r="BV7" i="4" s="1"/>
  <c r="BT6" i="1"/>
  <c r="BU7" i="4" s="1"/>
  <c r="BS6" i="1"/>
  <c r="BT7" i="4" s="1"/>
  <c r="BR6" i="1"/>
  <c r="BS7" i="4" s="1"/>
  <c r="BQ6" i="1"/>
  <c r="BP6" i="1"/>
  <c r="BQ7" i="4" s="1"/>
  <c r="BO6" i="1"/>
  <c r="BP7" i="4" s="1"/>
  <c r="BN6" i="1"/>
  <c r="BO7" i="4" s="1"/>
  <c r="BM6" i="1"/>
  <c r="BN7" i="4" s="1"/>
  <c r="BL6" i="1"/>
  <c r="BM7" i="4" s="1"/>
  <c r="BK6" i="1"/>
  <c r="BL7" i="4" s="1"/>
  <c r="BJ6" i="1"/>
  <c r="BK7" i="4" s="1"/>
  <c r="BI6" i="1"/>
  <c r="BJ7" i="4" s="1"/>
  <c r="BH6" i="1"/>
  <c r="BI7" i="4" s="1"/>
  <c r="BG6" i="1"/>
  <c r="BH7" i="4" s="1"/>
  <c r="BF6" i="1"/>
  <c r="BG7" i="4" s="1"/>
  <c r="BE6" i="1"/>
  <c r="BF7" i="4" s="1"/>
  <c r="BD6" i="1"/>
  <c r="BE7" i="4" s="1"/>
  <c r="BC6" i="1"/>
  <c r="BD7" i="4" s="1"/>
  <c r="BB6" i="1"/>
  <c r="BC7" i="4" s="1"/>
  <c r="BA6" i="1"/>
  <c r="AZ6" i="1"/>
  <c r="BA7" i="4" s="1"/>
  <c r="AY6" i="1"/>
  <c r="AZ7" i="4" s="1"/>
  <c r="FM39" i="3"/>
  <c r="FL39" i="3"/>
  <c r="FK39" i="3"/>
  <c r="FJ39" i="3"/>
  <c r="FH39" i="3"/>
  <c r="FG39" i="3"/>
  <c r="FF39" i="3"/>
  <c r="FE39" i="3"/>
  <c r="FD39" i="3"/>
  <c r="FC39" i="3"/>
  <c r="FB39" i="3"/>
  <c r="EZ39" i="3"/>
  <c r="EY39" i="3"/>
  <c r="EX39" i="3"/>
  <c r="EW39" i="3"/>
  <c r="EV39" i="3"/>
  <c r="EU39" i="3"/>
  <c r="ER39" i="3"/>
  <c r="EQ39" i="3"/>
  <c r="EP39" i="3"/>
  <c r="EN39" i="3"/>
  <c r="EM39" i="3"/>
  <c r="EL39" i="3"/>
  <c r="EJ39" i="3"/>
  <c r="EI39" i="3"/>
  <c r="EH39" i="3"/>
  <c r="EG39" i="3"/>
  <c r="EF39" i="3"/>
  <c r="EE39" i="3"/>
  <c r="ED39" i="3"/>
  <c r="EB39" i="3"/>
  <c r="EA39" i="3"/>
  <c r="DZ39" i="3"/>
  <c r="DX39" i="3"/>
  <c r="DW39" i="3"/>
  <c r="DV39" i="3"/>
  <c r="DT39" i="3"/>
  <c r="DS39" i="3"/>
  <c r="DR39" i="3"/>
  <c r="DQ39" i="3"/>
  <c r="DP39" i="3"/>
  <c r="DO39" i="3"/>
  <c r="DL39" i="3"/>
  <c r="DK39" i="3"/>
  <c r="DJ39" i="3"/>
  <c r="DI39" i="3"/>
  <c r="DH39" i="3"/>
  <c r="DG39" i="3"/>
  <c r="DF39" i="3"/>
  <c r="DD39" i="3"/>
  <c r="DB39" i="3"/>
  <c r="CZ39" i="3"/>
  <c r="CY39" i="3"/>
  <c r="CX39" i="3"/>
  <c r="CW39" i="3"/>
  <c r="CT39" i="3"/>
  <c r="CR39" i="3"/>
  <c r="CQ39" i="3"/>
  <c r="CP39" i="3"/>
  <c r="CO39" i="3"/>
  <c r="CN39" i="3"/>
  <c r="CK39" i="3"/>
  <c r="CJ39" i="3"/>
  <c r="CI39" i="3"/>
  <c r="CH39" i="3"/>
  <c r="CG39" i="3"/>
  <c r="CF39" i="3"/>
  <c r="CE39" i="3"/>
  <c r="CC39" i="3"/>
  <c r="CB39" i="3"/>
  <c r="CA39" i="3"/>
  <c r="BY39" i="3"/>
  <c r="BX39" i="3"/>
  <c r="BW39" i="3"/>
  <c r="BU39" i="3"/>
  <c r="BT39" i="3"/>
  <c r="BS39" i="3"/>
  <c r="BR39" i="3"/>
  <c r="BQ39" i="3"/>
  <c r="BP39" i="3"/>
  <c r="BO39" i="3"/>
  <c r="BM39" i="3"/>
  <c r="BL39" i="3"/>
  <c r="BK39" i="3"/>
  <c r="BJ39" i="3"/>
  <c r="BI39" i="3"/>
  <c r="BH39" i="3"/>
  <c r="BE39" i="3"/>
  <c r="BD39" i="3"/>
  <c r="BC39" i="3"/>
  <c r="BA39" i="3"/>
  <c r="AZ39" i="3"/>
  <c r="AY39" i="3"/>
  <c r="AW39" i="3"/>
  <c r="AV39" i="3"/>
  <c r="AU39" i="3"/>
  <c r="AT39" i="3"/>
  <c r="AS39" i="3"/>
  <c r="AR39" i="3"/>
  <c r="AQ39" i="3"/>
  <c r="AO39" i="3"/>
  <c r="AM39" i="3"/>
  <c r="AK39" i="3"/>
  <c r="AJ39" i="3"/>
  <c r="AI39" i="3"/>
  <c r="AG39" i="3"/>
  <c r="AF39" i="3"/>
  <c r="D39" i="3"/>
  <c r="C39" i="3"/>
  <c r="FM38" i="3"/>
  <c r="FL38" i="3"/>
  <c r="FK38" i="3"/>
  <c r="FJ38" i="3"/>
  <c r="FI38" i="3"/>
  <c r="FH38" i="3"/>
  <c r="FG38" i="3"/>
  <c r="FF38" i="3"/>
  <c r="FE38" i="3"/>
  <c r="FD38" i="3"/>
  <c r="FC38" i="3"/>
  <c r="FB38" i="3"/>
  <c r="FA38" i="3"/>
  <c r="EZ38" i="3"/>
  <c r="EY38" i="3"/>
  <c r="EX38" i="3"/>
  <c r="EW38" i="3"/>
  <c r="EV38" i="3"/>
  <c r="EU38" i="3"/>
  <c r="ET38" i="3"/>
  <c r="ES38" i="3"/>
  <c r="ER38" i="3"/>
  <c r="EQ38" i="3"/>
  <c r="EP38" i="3"/>
  <c r="EO38" i="3"/>
  <c r="EN38" i="3"/>
  <c r="EM38" i="3"/>
  <c r="EL38" i="3"/>
  <c r="EK38" i="3"/>
  <c r="EJ38" i="3"/>
  <c r="EI38" i="3"/>
  <c r="EH38" i="3"/>
  <c r="EG38" i="3"/>
  <c r="EF38" i="3"/>
  <c r="EE38" i="3"/>
  <c r="ED38" i="3"/>
  <c r="EC38" i="3"/>
  <c r="EB38" i="3"/>
  <c r="EA38" i="3"/>
  <c r="DZ38" i="3"/>
  <c r="DY38" i="3"/>
  <c r="DX38" i="3"/>
  <c r="DW38" i="3"/>
  <c r="DV38" i="3"/>
  <c r="DU38" i="3"/>
  <c r="DT38" i="3"/>
  <c r="DS38" i="3"/>
  <c r="DR38" i="3"/>
  <c r="DQ38" i="3"/>
  <c r="DP38" i="3"/>
  <c r="DO38" i="3"/>
  <c r="DN38" i="3"/>
  <c r="DM38" i="3"/>
  <c r="DL38" i="3"/>
  <c r="DK38" i="3"/>
  <c r="DJ38" i="3"/>
  <c r="DI38" i="3"/>
  <c r="DH38" i="3"/>
  <c r="DG38" i="3"/>
  <c r="DF38" i="3"/>
  <c r="DE38" i="3"/>
  <c r="DD38" i="3"/>
  <c r="DC38" i="3"/>
  <c r="DB38" i="3"/>
  <c r="DA38" i="3"/>
  <c r="CZ38" i="3"/>
  <c r="CW38" i="3"/>
  <c r="CV38" i="3"/>
  <c r="CU38" i="3"/>
  <c r="CT38" i="3"/>
  <c r="CS38" i="3"/>
  <c r="CR38" i="3"/>
  <c r="CQ38" i="3"/>
  <c r="CP38" i="3"/>
  <c r="CO38" i="3"/>
  <c r="CM38" i="3"/>
  <c r="CL38" i="3"/>
  <c r="CK38" i="3"/>
  <c r="CJ38" i="3"/>
  <c r="CI38" i="3"/>
  <c r="CH38" i="3"/>
  <c r="CE38" i="3"/>
  <c r="CD38" i="3"/>
  <c r="CC38" i="3"/>
  <c r="CB38" i="3"/>
  <c r="CA38" i="3"/>
  <c r="BZ38" i="3"/>
  <c r="BY38" i="3"/>
  <c r="BW38" i="3"/>
  <c r="BV38" i="3"/>
  <c r="BU38" i="3"/>
  <c r="BT38" i="3"/>
  <c r="BR38" i="3"/>
  <c r="BN38" i="3"/>
  <c r="BM38" i="3"/>
  <c r="BL38" i="3"/>
  <c r="BK38" i="3"/>
  <c r="BJ38" i="3"/>
  <c r="BG38" i="3"/>
  <c r="BF38" i="3"/>
  <c r="BD38" i="3"/>
  <c r="BC38" i="3"/>
  <c r="BB38" i="3"/>
  <c r="BA38" i="3"/>
  <c r="AY38" i="3"/>
  <c r="AX38" i="3"/>
  <c r="AV38" i="3"/>
  <c r="AU38" i="3"/>
  <c r="AT38" i="3"/>
  <c r="AQ38" i="3"/>
  <c r="AP38" i="3"/>
  <c r="AO38" i="3"/>
  <c r="AN38" i="3"/>
  <c r="AM38" i="3"/>
  <c r="AL38" i="3"/>
  <c r="AK38" i="3"/>
  <c r="AH38" i="3"/>
  <c r="AG38" i="3"/>
  <c r="AF38" i="3"/>
  <c r="D38" i="3"/>
  <c r="C38" i="3"/>
  <c r="FL36" i="3"/>
  <c r="FJ36" i="3"/>
  <c r="FI36" i="3"/>
  <c r="FH36" i="3"/>
  <c r="FG36" i="3"/>
  <c r="FF36" i="3"/>
  <c r="FD36" i="3"/>
  <c r="FC36" i="3"/>
  <c r="FB36" i="3"/>
  <c r="EZ36" i="3"/>
  <c r="EY36" i="3"/>
  <c r="EX36" i="3"/>
  <c r="EV36" i="3"/>
  <c r="EU36" i="3"/>
  <c r="ET36" i="3"/>
  <c r="ES36" i="3"/>
  <c r="ER36" i="3"/>
  <c r="EP36" i="3"/>
  <c r="EN36" i="3"/>
  <c r="EL36" i="3"/>
  <c r="EK36" i="3"/>
  <c r="EJ36" i="3"/>
  <c r="EI36" i="3"/>
  <c r="EH36" i="3"/>
  <c r="EF36" i="3"/>
  <c r="ED36" i="3"/>
  <c r="EC36" i="3"/>
  <c r="EB36" i="3"/>
  <c r="EA36" i="3"/>
  <c r="DZ36" i="3"/>
  <c r="DX36" i="3"/>
  <c r="DV36" i="3"/>
  <c r="DT36" i="3"/>
  <c r="DS36" i="3"/>
  <c r="DR36" i="3"/>
  <c r="DP36" i="3"/>
  <c r="DO36" i="3"/>
  <c r="DN36" i="3"/>
  <c r="DM36" i="3"/>
  <c r="DL36" i="3"/>
  <c r="DK36" i="3"/>
  <c r="DJ36" i="3"/>
  <c r="DH36" i="3"/>
  <c r="DG36" i="3"/>
  <c r="DF36" i="3"/>
  <c r="DE36" i="3"/>
  <c r="DD36" i="3"/>
  <c r="DB36" i="3"/>
  <c r="FM35" i="3"/>
  <c r="FL35" i="3"/>
  <c r="FK35" i="3"/>
  <c r="FJ35" i="3"/>
  <c r="FI35" i="3"/>
  <c r="FF35" i="3"/>
  <c r="FD35" i="3"/>
  <c r="FB35" i="3"/>
  <c r="FA35" i="3"/>
  <c r="EY35" i="3"/>
  <c r="EX35" i="3"/>
  <c r="EW35" i="3"/>
  <c r="EV35" i="3"/>
  <c r="ET35" i="3"/>
  <c r="ES35" i="3"/>
  <c r="EQ35" i="3"/>
  <c r="EP35" i="3"/>
  <c r="EO35" i="3"/>
  <c r="EN35" i="3"/>
  <c r="EL35" i="3"/>
  <c r="EK35" i="3"/>
  <c r="EH35" i="3"/>
  <c r="EG35" i="3"/>
  <c r="EF35" i="3"/>
  <c r="EE35" i="3"/>
  <c r="ED35" i="3"/>
  <c r="EC35" i="3"/>
  <c r="DZ35" i="3"/>
  <c r="DY35" i="3"/>
  <c r="DX35" i="3"/>
  <c r="DV35" i="3"/>
  <c r="DU35" i="3"/>
  <c r="DS35" i="3"/>
  <c r="DR35" i="3"/>
  <c r="DQ35" i="3"/>
  <c r="DP35" i="3"/>
  <c r="DO35" i="3"/>
  <c r="DN35" i="3"/>
  <c r="DM35" i="3"/>
  <c r="DK35" i="3"/>
  <c r="DJ35" i="3"/>
  <c r="DH35" i="3"/>
  <c r="DF35" i="3"/>
  <c r="DE35" i="3"/>
  <c r="DC35" i="3"/>
  <c r="DB35" i="3"/>
  <c r="DA35" i="3"/>
  <c r="CZ35" i="3"/>
  <c r="CY35" i="3"/>
  <c r="FM34" i="3"/>
  <c r="FK34" i="3"/>
  <c r="FJ34" i="3"/>
  <c r="FI34" i="3"/>
  <c r="FH34" i="3"/>
  <c r="FG34" i="3"/>
  <c r="FE34" i="3"/>
  <c r="FC34" i="3"/>
  <c r="FB34" i="3"/>
  <c r="FA34" i="3"/>
  <c r="EY34" i="3"/>
  <c r="EX34" i="3"/>
  <c r="EW34" i="3"/>
  <c r="EU34" i="3"/>
  <c r="ET34" i="3"/>
  <c r="ES34" i="3"/>
  <c r="EQ34" i="3"/>
  <c r="EP34" i="3"/>
  <c r="EO34" i="3"/>
  <c r="EM34" i="3"/>
  <c r="EL34" i="3"/>
  <c r="EK34" i="3"/>
  <c r="EJ34" i="3"/>
  <c r="EI34" i="3"/>
  <c r="EH34" i="3"/>
  <c r="EG34" i="3"/>
  <c r="EE34" i="3"/>
  <c r="ED34" i="3"/>
  <c r="EC34" i="3"/>
  <c r="EB34" i="3"/>
  <c r="EA34" i="3"/>
  <c r="DZ34" i="3"/>
  <c r="DY34" i="3"/>
  <c r="DW34" i="3"/>
  <c r="DV34" i="3"/>
  <c r="DU34" i="3"/>
  <c r="DT34" i="3"/>
  <c r="DS34" i="3"/>
  <c r="DR34" i="3"/>
  <c r="DQ34" i="3"/>
  <c r="DO34" i="3"/>
  <c r="DN34" i="3"/>
  <c r="DM34" i="3"/>
  <c r="DL34" i="3"/>
  <c r="DK34" i="3"/>
  <c r="DJ34" i="3"/>
  <c r="DI34" i="3"/>
  <c r="DG34" i="3"/>
  <c r="DF34" i="3"/>
  <c r="DE34" i="3"/>
  <c r="DD34" i="3"/>
  <c r="DC34" i="3"/>
  <c r="DB34" i="3"/>
  <c r="FM33" i="3"/>
  <c r="FL33" i="3"/>
  <c r="FJ33" i="3"/>
  <c r="FH33" i="3"/>
  <c r="FG33" i="3"/>
  <c r="FF33" i="3"/>
  <c r="FE33" i="3"/>
  <c r="FD33" i="3"/>
  <c r="FB33" i="3"/>
  <c r="EZ33" i="3"/>
  <c r="EX33" i="3"/>
  <c r="EV33" i="3"/>
  <c r="ET33" i="3"/>
  <c r="ER33" i="3"/>
  <c r="EQ33" i="3"/>
  <c r="EP33" i="3"/>
  <c r="EO33" i="3"/>
  <c r="EL33" i="3"/>
  <c r="EJ33" i="3"/>
  <c r="EI33" i="3"/>
  <c r="EH33" i="3"/>
  <c r="EG33" i="3"/>
  <c r="EF33" i="3"/>
  <c r="EE33" i="3"/>
  <c r="ED33" i="3"/>
  <c r="EB33" i="3"/>
  <c r="EA33" i="3"/>
  <c r="DZ33" i="3"/>
  <c r="DY33" i="3"/>
  <c r="DX33" i="3"/>
  <c r="DW33" i="3"/>
  <c r="DV33" i="3"/>
  <c r="DR33" i="3"/>
  <c r="DQ33" i="3"/>
  <c r="DP33" i="3"/>
  <c r="DO33" i="3"/>
  <c r="DN33" i="3"/>
  <c r="DL33" i="3"/>
  <c r="DK33" i="3"/>
  <c r="DJ33" i="3"/>
  <c r="DI33" i="3"/>
  <c r="DG33" i="3"/>
  <c r="DF33" i="3"/>
  <c r="DD33" i="3"/>
  <c r="DC33" i="3"/>
  <c r="DB33" i="3"/>
  <c r="CZ33" i="3"/>
  <c r="CW33" i="3"/>
  <c r="CV33" i="3"/>
  <c r="CT33" i="3"/>
  <c r="CS33" i="3"/>
  <c r="CR33" i="3"/>
  <c r="CP33" i="3"/>
  <c r="FM32" i="3"/>
  <c r="FK32" i="3"/>
  <c r="FJ32" i="3"/>
  <c r="FI32" i="3"/>
  <c r="FH32" i="3"/>
  <c r="FG32" i="3"/>
  <c r="FF32" i="3"/>
  <c r="FE32" i="3"/>
  <c r="FC32" i="3"/>
  <c r="FB32" i="3"/>
  <c r="FA32" i="3"/>
  <c r="EZ32" i="3"/>
  <c r="EY32" i="3"/>
  <c r="EX32" i="3"/>
  <c r="EW32" i="3"/>
  <c r="EU32" i="3"/>
  <c r="ET32" i="3"/>
  <c r="ES32" i="3"/>
  <c r="ER32" i="3"/>
  <c r="EQ32" i="3"/>
  <c r="EP32" i="3"/>
  <c r="EO32" i="3"/>
  <c r="EM32" i="3"/>
  <c r="EL32" i="3"/>
  <c r="EK32" i="3"/>
  <c r="EJ32" i="3"/>
  <c r="EI32" i="3"/>
  <c r="EH32" i="3"/>
  <c r="EG32" i="3"/>
  <c r="EE32" i="3"/>
  <c r="ED32" i="3"/>
  <c r="EC32" i="3"/>
  <c r="EB32" i="3"/>
  <c r="EA32" i="3"/>
  <c r="DZ32" i="3"/>
  <c r="DY32" i="3"/>
  <c r="DW32" i="3"/>
  <c r="DV32" i="3"/>
  <c r="DU32" i="3"/>
  <c r="DT32" i="3"/>
  <c r="DS32" i="3"/>
  <c r="DR32" i="3"/>
  <c r="DQ32" i="3"/>
  <c r="DO32" i="3"/>
  <c r="DN32" i="3"/>
  <c r="DM32" i="3"/>
  <c r="DL32" i="3"/>
  <c r="DK32" i="3"/>
  <c r="DJ32" i="3"/>
  <c r="DI32" i="3"/>
  <c r="DG32" i="3"/>
  <c r="DF32" i="3"/>
  <c r="DE32" i="3"/>
  <c r="DD32" i="3"/>
  <c r="DC32" i="3"/>
  <c r="DB32" i="3"/>
  <c r="DA32" i="3"/>
  <c r="CZ32" i="3"/>
  <c r="CX32" i="3"/>
  <c r="CW32" i="3"/>
  <c r="CV32" i="3"/>
  <c r="CT32" i="3"/>
  <c r="CS32" i="3"/>
  <c r="CR32" i="3"/>
  <c r="CP32" i="3"/>
  <c r="FL31" i="3"/>
  <c r="FK31" i="3"/>
  <c r="FH31" i="3"/>
  <c r="FG31" i="3"/>
  <c r="FF31" i="3"/>
  <c r="FE31" i="3"/>
  <c r="FD31" i="3"/>
  <c r="FC31" i="3"/>
  <c r="FB31" i="3"/>
  <c r="EZ31" i="3"/>
  <c r="EY31" i="3"/>
  <c r="EX31" i="3"/>
  <c r="EW31" i="3"/>
  <c r="EV31" i="3"/>
  <c r="EU31" i="3"/>
  <c r="ET31" i="3"/>
  <c r="ER31" i="3"/>
  <c r="EN31" i="3"/>
  <c r="EM31" i="3"/>
  <c r="EL31" i="3"/>
  <c r="EJ31" i="3"/>
  <c r="EI31" i="3"/>
  <c r="EH31" i="3"/>
  <c r="EF31" i="3"/>
  <c r="EE31" i="3"/>
  <c r="ED31" i="3"/>
  <c r="EB31" i="3"/>
  <c r="EA31" i="3"/>
  <c r="DZ31" i="3"/>
  <c r="DY31" i="3"/>
  <c r="DX31" i="3"/>
  <c r="DW31" i="3"/>
  <c r="DV31" i="3"/>
  <c r="DT31" i="3"/>
  <c r="DS31" i="3"/>
  <c r="DR31" i="3"/>
  <c r="DQ31" i="3"/>
  <c r="DP31" i="3"/>
  <c r="DO31" i="3"/>
  <c r="DN31" i="3"/>
  <c r="DL31" i="3"/>
  <c r="DK31" i="3"/>
  <c r="DH31" i="3"/>
  <c r="DG31" i="3"/>
  <c r="DF31" i="3"/>
  <c r="DD31" i="3"/>
  <c r="DC31" i="3"/>
  <c r="DB31" i="3"/>
  <c r="DB30" i="3"/>
  <c r="DA30" i="3"/>
  <c r="CZ30" i="3"/>
  <c r="CY30" i="3"/>
  <c r="CX30" i="3"/>
  <c r="CW30" i="3"/>
  <c r="CU30" i="3"/>
  <c r="CT30" i="3"/>
  <c r="CR30" i="3"/>
  <c r="CQ30" i="3"/>
  <c r="CP30" i="3"/>
  <c r="CO30" i="3"/>
  <c r="CN30" i="3"/>
  <c r="CL30" i="3"/>
  <c r="CK30" i="3"/>
  <c r="CH30" i="3"/>
  <c r="CG30" i="3"/>
  <c r="CF30" i="3"/>
  <c r="CD30" i="3"/>
  <c r="CC30" i="3"/>
  <c r="CB30" i="3"/>
  <c r="CA30" i="3"/>
  <c r="BZ30" i="3"/>
  <c r="BY30" i="3"/>
  <c r="BX30" i="3"/>
  <c r="BV30" i="3"/>
  <c r="BU30" i="3"/>
  <c r="BT30" i="3"/>
  <c r="BR30" i="3"/>
  <c r="BQ30" i="3"/>
  <c r="BP30" i="3"/>
  <c r="BN30" i="3"/>
  <c r="BM30" i="3"/>
  <c r="BL30" i="3"/>
  <c r="BK30" i="3"/>
  <c r="BJ30" i="3"/>
  <c r="BI30" i="3"/>
  <c r="BH30" i="3"/>
  <c r="BF30" i="3"/>
  <c r="BE30" i="3"/>
  <c r="BB30" i="3"/>
  <c r="BA30" i="3"/>
  <c r="AX30" i="3"/>
  <c r="AW30" i="3"/>
  <c r="AV30" i="3"/>
  <c r="AT30" i="3"/>
  <c r="AS30" i="3"/>
  <c r="AR30" i="3"/>
  <c r="AP30" i="3"/>
  <c r="AO30" i="3"/>
  <c r="AN30" i="3"/>
  <c r="FM29" i="3"/>
  <c r="FK29" i="3"/>
  <c r="FJ29" i="3"/>
  <c r="FI29" i="3"/>
  <c r="FF29" i="3"/>
  <c r="FE29" i="3"/>
  <c r="FD29" i="3"/>
  <c r="FC29" i="3"/>
  <c r="FB29" i="3"/>
  <c r="FA29" i="3"/>
  <c r="EW29" i="3"/>
  <c r="EV29" i="3"/>
  <c r="EU29" i="3"/>
  <c r="ET29" i="3"/>
  <c r="ES29" i="3"/>
  <c r="ER29" i="3"/>
  <c r="EP29" i="3"/>
  <c r="EM29" i="3"/>
  <c r="EL29" i="3"/>
  <c r="EK29" i="3"/>
  <c r="EJ29" i="3"/>
  <c r="EH29" i="3"/>
  <c r="EG29" i="3"/>
  <c r="EF29" i="3"/>
  <c r="EE29" i="3"/>
  <c r="ED29" i="3"/>
  <c r="EC29" i="3"/>
  <c r="EB29" i="3"/>
  <c r="DZ29" i="3"/>
  <c r="DY29" i="3"/>
  <c r="DW29" i="3"/>
  <c r="DV29" i="3"/>
  <c r="DU29" i="3"/>
  <c r="FJ28" i="3"/>
  <c r="FI28" i="3"/>
  <c r="FG28" i="3"/>
  <c r="FF28" i="3"/>
  <c r="FE28" i="3"/>
  <c r="FD28" i="3"/>
  <c r="FC28" i="3"/>
  <c r="FB28" i="3"/>
  <c r="FA28" i="3"/>
  <c r="EY28" i="3"/>
  <c r="EX28" i="3"/>
  <c r="EW28" i="3"/>
  <c r="EU28" i="3"/>
  <c r="ET28" i="3"/>
  <c r="ES28" i="3"/>
  <c r="EP28" i="3"/>
  <c r="EO28" i="3"/>
  <c r="EN28" i="3"/>
  <c r="EL28" i="3"/>
  <c r="EK28" i="3"/>
  <c r="EI28" i="3"/>
  <c r="EH28" i="3"/>
  <c r="EG28" i="3"/>
  <c r="EF28" i="3"/>
  <c r="EE28" i="3"/>
  <c r="ED28" i="3"/>
  <c r="EC28" i="3"/>
  <c r="EA28" i="3"/>
  <c r="DZ28" i="3"/>
  <c r="DY28" i="3"/>
  <c r="DX28" i="3"/>
  <c r="DV28" i="3"/>
  <c r="DU28" i="3"/>
  <c r="DS28" i="3"/>
  <c r="DR28" i="3"/>
  <c r="FL27" i="3"/>
  <c r="FK27" i="3"/>
  <c r="FI27" i="3"/>
  <c r="FH27" i="3"/>
  <c r="FG27" i="3"/>
  <c r="FF27" i="3"/>
  <c r="FD27" i="3"/>
  <c r="FC27" i="3"/>
  <c r="FA27" i="3"/>
  <c r="EZ27" i="3"/>
  <c r="EY27" i="3"/>
  <c r="EX27" i="3"/>
  <c r="EW27" i="3"/>
  <c r="EV27" i="3"/>
  <c r="EU27" i="3"/>
  <c r="ER27" i="3"/>
  <c r="EQ27" i="3"/>
  <c r="EP27" i="3"/>
  <c r="EO27" i="3"/>
  <c r="EN27" i="3"/>
  <c r="EM27" i="3"/>
  <c r="EJ27" i="3"/>
  <c r="EI27" i="3"/>
  <c r="EH27" i="3"/>
  <c r="EG27" i="3"/>
  <c r="EF27" i="3"/>
  <c r="EE27" i="3"/>
  <c r="EC27" i="3"/>
  <c r="EB27" i="3"/>
  <c r="EA27" i="3"/>
  <c r="DZ27" i="3"/>
  <c r="DX27" i="3"/>
  <c r="DW27" i="3"/>
  <c r="DU27" i="3"/>
  <c r="DT27" i="3"/>
  <c r="DS27" i="3"/>
  <c r="DR27" i="3"/>
  <c r="DP27" i="3"/>
  <c r="DO27" i="3"/>
  <c r="DM27" i="3"/>
  <c r="DL27" i="3"/>
  <c r="DK27" i="3"/>
  <c r="DJ27" i="3"/>
  <c r="DH27" i="3"/>
  <c r="DG27" i="3"/>
  <c r="DE27" i="3"/>
  <c r="DD27" i="3"/>
  <c r="DC27" i="3"/>
  <c r="DB27" i="3"/>
  <c r="DA27" i="3"/>
  <c r="CZ27" i="3"/>
  <c r="CY27" i="3"/>
  <c r="CX27" i="3"/>
  <c r="CW27" i="3"/>
  <c r="CV27" i="3"/>
  <c r="CU27" i="3"/>
  <c r="CT27" i="3"/>
  <c r="CS27" i="3"/>
  <c r="CP27" i="3"/>
  <c r="CO27" i="3"/>
  <c r="CN27" i="3"/>
  <c r="CM27" i="3"/>
  <c r="CL27" i="3"/>
  <c r="CK27" i="3"/>
  <c r="CJ27" i="3"/>
  <c r="CG27" i="3"/>
  <c r="CF27" i="3"/>
  <c r="CE27" i="3"/>
  <c r="CC27" i="3"/>
  <c r="CB27" i="3"/>
  <c r="CA27" i="3"/>
  <c r="BY27" i="3"/>
  <c r="BX27" i="3"/>
  <c r="BW27" i="3"/>
  <c r="BU27" i="3"/>
  <c r="BT27" i="3"/>
  <c r="BS27" i="3"/>
  <c r="BQ27" i="3"/>
  <c r="BP27" i="3"/>
  <c r="BO27" i="3"/>
  <c r="BN27" i="3"/>
  <c r="BM27" i="3"/>
  <c r="BK27" i="3"/>
  <c r="BI27" i="3"/>
  <c r="BH27" i="3"/>
  <c r="BG27" i="3"/>
  <c r="BF27" i="3"/>
  <c r="BE27" i="3"/>
  <c r="BD27" i="3"/>
  <c r="BA27" i="3"/>
  <c r="AZ27" i="3"/>
  <c r="AY27" i="3"/>
  <c r="AX27" i="3"/>
  <c r="AW27" i="3"/>
  <c r="AV27" i="3"/>
  <c r="AU27" i="3"/>
  <c r="AS27" i="3"/>
  <c r="AR27" i="3"/>
  <c r="AQ27" i="3"/>
  <c r="AP27" i="3"/>
  <c r="AO27" i="3"/>
  <c r="AN27" i="3"/>
  <c r="AM27" i="3"/>
  <c r="AK27" i="3"/>
  <c r="AJ27" i="3"/>
  <c r="FH26" i="3"/>
  <c r="FE26" i="3"/>
  <c r="FD26" i="3"/>
  <c r="FC26" i="3"/>
  <c r="FB26" i="3"/>
  <c r="FA26" i="3"/>
  <c r="EZ26" i="3"/>
  <c r="EX26" i="3"/>
  <c r="EV26" i="3"/>
  <c r="EU26" i="3"/>
  <c r="ET26" i="3"/>
  <c r="ES26" i="3"/>
  <c r="ER26" i="3"/>
  <c r="EP26" i="3"/>
  <c r="EO26" i="3"/>
  <c r="EN26" i="3"/>
  <c r="EM26" i="3"/>
  <c r="EL26" i="3"/>
  <c r="EK26" i="3"/>
  <c r="EJ26" i="3"/>
  <c r="EH26" i="3"/>
  <c r="EF26" i="3"/>
  <c r="EE26" i="3"/>
  <c r="ED26" i="3"/>
  <c r="EB26" i="3"/>
  <c r="DY26" i="3"/>
  <c r="DX26" i="3"/>
  <c r="DW26" i="3"/>
  <c r="DV26" i="3"/>
  <c r="DU26" i="3"/>
  <c r="DT26" i="3"/>
  <c r="DR26" i="3"/>
  <c r="DQ26" i="3"/>
  <c r="DP26" i="3"/>
  <c r="DO26" i="3"/>
  <c r="DM26" i="3"/>
  <c r="DL26" i="3"/>
  <c r="DJ26" i="3"/>
  <c r="DH26" i="3"/>
  <c r="DG26" i="3"/>
  <c r="DF26" i="3"/>
  <c r="DE26" i="3"/>
  <c r="DD26" i="3"/>
  <c r="DB26" i="3"/>
  <c r="DA26" i="3"/>
  <c r="CZ26" i="3"/>
  <c r="CY26" i="3"/>
  <c r="CX26" i="3"/>
  <c r="CW26" i="3"/>
  <c r="CU26" i="3"/>
  <c r="CT26" i="3"/>
  <c r="CR26" i="3"/>
  <c r="CQ26" i="3"/>
  <c r="CP26" i="3"/>
  <c r="CO26" i="3"/>
  <c r="CN26" i="3"/>
  <c r="CL26" i="3"/>
  <c r="CK26" i="3"/>
  <c r="CI26" i="3"/>
  <c r="CG26" i="3"/>
  <c r="CF26" i="3"/>
  <c r="CE26" i="3"/>
  <c r="CC26" i="3"/>
  <c r="CA26" i="3"/>
  <c r="BZ26" i="3"/>
  <c r="BY26" i="3"/>
  <c r="BX26" i="3"/>
  <c r="BV26" i="3"/>
  <c r="BU26" i="3"/>
  <c r="BQ26" i="3"/>
  <c r="BP26" i="3"/>
  <c r="BN26" i="3"/>
  <c r="BM26" i="3"/>
  <c r="BK26" i="3"/>
  <c r="BI26" i="3"/>
  <c r="BH26" i="3"/>
  <c r="BE26" i="3"/>
  <c r="BC26" i="3"/>
  <c r="BA26" i="3"/>
  <c r="AZ26" i="3"/>
  <c r="AY26" i="3"/>
  <c r="AX26" i="3"/>
  <c r="AW26" i="3"/>
  <c r="AU26" i="3"/>
  <c r="AS26" i="3"/>
  <c r="AR26" i="3"/>
  <c r="AQ26" i="3"/>
  <c r="AP26" i="3"/>
  <c r="AO26" i="3"/>
  <c r="AL26" i="3"/>
  <c r="AK26" i="3"/>
  <c r="AJ26" i="3"/>
  <c r="AH26" i="3"/>
  <c r="AG26" i="3"/>
  <c r="D26" i="3"/>
  <c r="C26" i="3"/>
  <c r="DO25" i="3"/>
  <c r="DM25" i="3"/>
  <c r="DL25" i="3"/>
  <c r="DI25" i="3"/>
  <c r="DF25" i="3"/>
  <c r="DE25" i="3"/>
  <c r="DD25" i="3"/>
  <c r="DB25" i="3"/>
  <c r="DA25" i="3"/>
  <c r="CZ25" i="3"/>
  <c r="CW25" i="3"/>
  <c r="CV25" i="3"/>
  <c r="CU25" i="3"/>
  <c r="CT25" i="3"/>
  <c r="CR25" i="3"/>
  <c r="CQ25" i="3"/>
  <c r="CP25" i="3"/>
  <c r="CN25" i="3"/>
  <c r="CL25" i="3"/>
  <c r="CK25" i="3"/>
  <c r="CI25" i="3"/>
  <c r="CH25" i="3"/>
  <c r="CE25" i="3"/>
  <c r="CD25" i="3"/>
  <c r="CC25" i="3"/>
  <c r="BZ25" i="3"/>
  <c r="BX25" i="3"/>
  <c r="BV25" i="3"/>
  <c r="BU25" i="3"/>
  <c r="BT25" i="3"/>
  <c r="BS25" i="3"/>
  <c r="BR25" i="3"/>
  <c r="BP25" i="3"/>
  <c r="BN25" i="3"/>
  <c r="BM25" i="3"/>
  <c r="BL25" i="3"/>
  <c r="BK25" i="3"/>
  <c r="BJ25" i="3"/>
  <c r="BH25" i="3"/>
  <c r="BF25" i="3"/>
  <c r="BE25" i="3"/>
  <c r="BC25" i="3"/>
  <c r="BB25" i="3"/>
  <c r="AY25" i="3"/>
  <c r="AX25" i="3"/>
  <c r="AW25" i="3"/>
  <c r="AT25" i="3"/>
  <c r="AR25" i="3"/>
  <c r="AQ25" i="3"/>
  <c r="AP25" i="3"/>
  <c r="AO25" i="3"/>
  <c r="AN25" i="3"/>
  <c r="AM25" i="3"/>
  <c r="AL25" i="3"/>
  <c r="AJ25" i="3"/>
  <c r="AI25" i="3"/>
  <c r="AH25" i="3"/>
  <c r="AG25" i="3"/>
  <c r="D25" i="3"/>
  <c r="C25" i="3"/>
  <c r="DO24" i="3"/>
  <c r="DN24" i="3"/>
  <c r="DL24" i="3"/>
  <c r="DK24" i="3"/>
  <c r="DJ24" i="3"/>
  <c r="DI24" i="3"/>
  <c r="DH24" i="3"/>
  <c r="DG24" i="3"/>
  <c r="DF24" i="3"/>
  <c r="DD24" i="3"/>
  <c r="DB24" i="3"/>
  <c r="DA24" i="3"/>
  <c r="CZ24" i="3"/>
  <c r="CY24" i="3"/>
  <c r="CX24" i="3"/>
  <c r="CW24" i="3"/>
  <c r="CV24" i="3"/>
  <c r="CT24" i="3"/>
  <c r="CS24" i="3"/>
  <c r="CR24" i="3"/>
  <c r="CQ24" i="3"/>
  <c r="CP24" i="3"/>
  <c r="CN24" i="3"/>
  <c r="CK24" i="3"/>
  <c r="CI24" i="3"/>
  <c r="CH24" i="3"/>
  <c r="CG24" i="3"/>
  <c r="CF24" i="3"/>
  <c r="CE24" i="3"/>
  <c r="CC24" i="3"/>
  <c r="CA24" i="3"/>
  <c r="BZ24" i="3"/>
  <c r="BX24" i="3"/>
  <c r="BW24" i="3"/>
  <c r="BU24" i="3"/>
  <c r="BS24" i="3"/>
  <c r="BR24" i="3"/>
  <c r="BQ24" i="3"/>
  <c r="BK24" i="3"/>
  <c r="BJ24" i="3"/>
  <c r="BH24" i="3"/>
  <c r="BG24" i="3"/>
  <c r="BE24" i="3"/>
  <c r="BC24" i="3"/>
  <c r="BB24" i="3"/>
  <c r="AZ24" i="3"/>
  <c r="AY24" i="3"/>
  <c r="AW24" i="3"/>
  <c r="AU24" i="3"/>
  <c r="AT24" i="3"/>
  <c r="AQ24" i="3"/>
  <c r="AO24" i="3"/>
  <c r="AN24" i="3"/>
  <c r="AM24" i="3"/>
  <c r="AL24" i="3"/>
  <c r="AK24" i="3"/>
  <c r="AJ24" i="3"/>
  <c r="AI24" i="3"/>
  <c r="D24" i="3"/>
  <c r="C24" i="3"/>
  <c r="DO23" i="3"/>
  <c r="DN23" i="3"/>
  <c r="DM23" i="3"/>
  <c r="DL23" i="3"/>
  <c r="DK23" i="3"/>
  <c r="DJ23" i="3"/>
  <c r="DI23" i="3"/>
  <c r="DH23" i="3"/>
  <c r="DG23" i="3"/>
  <c r="DF23" i="3"/>
  <c r="DE23" i="3"/>
  <c r="DD23" i="3"/>
  <c r="DC23" i="3"/>
  <c r="DB23" i="3"/>
  <c r="DA23" i="3"/>
  <c r="CZ23" i="3"/>
  <c r="CY23" i="3"/>
  <c r="CX23" i="3"/>
  <c r="CW23" i="3"/>
  <c r="CV23" i="3"/>
  <c r="CU23" i="3"/>
  <c r="CS23" i="3"/>
  <c r="CQ23" i="3"/>
  <c r="CP23" i="3"/>
  <c r="CN23" i="3"/>
  <c r="CM23" i="3"/>
  <c r="CL23" i="3"/>
  <c r="CK23" i="3"/>
  <c r="CJ23" i="3"/>
  <c r="CH23" i="3"/>
  <c r="CG23" i="3"/>
  <c r="CF23" i="3"/>
  <c r="CE23" i="3"/>
  <c r="CC23" i="3"/>
  <c r="CB23" i="3"/>
  <c r="BZ23" i="3"/>
  <c r="BX23" i="3"/>
  <c r="BW23" i="3"/>
  <c r="BU23" i="3"/>
  <c r="BT23" i="3"/>
  <c r="BR23" i="3"/>
  <c r="BP23" i="3"/>
  <c r="BO23" i="3"/>
  <c r="BL23" i="3"/>
  <c r="BH23" i="3"/>
  <c r="BG23" i="3"/>
  <c r="BE23" i="3"/>
  <c r="BD23" i="3"/>
  <c r="AZ23" i="3"/>
  <c r="AY23" i="3"/>
  <c r="AX23" i="3"/>
  <c r="AV23" i="3"/>
  <c r="AT23" i="3"/>
  <c r="AS23" i="3"/>
  <c r="AR23" i="3"/>
  <c r="AQ23" i="3"/>
  <c r="AO23" i="3"/>
  <c r="AL23" i="3"/>
  <c r="AJ23" i="3"/>
  <c r="AI23" i="3"/>
  <c r="AG23" i="3"/>
  <c r="AF23" i="3"/>
  <c r="D23" i="3"/>
  <c r="C23" i="3"/>
  <c r="FM21" i="3"/>
  <c r="FL21" i="3"/>
  <c r="FK21" i="3"/>
  <c r="FJ21" i="3"/>
  <c r="FG21" i="3"/>
  <c r="FF21" i="3"/>
  <c r="FE21" i="3"/>
  <c r="FD21" i="3"/>
  <c r="FB21" i="3"/>
  <c r="FA21" i="3"/>
  <c r="EY21" i="3"/>
  <c r="EX21" i="3"/>
  <c r="EW21" i="3"/>
  <c r="EV21" i="3"/>
  <c r="ET21" i="3"/>
  <c r="EQ21" i="3"/>
  <c r="EO21" i="3"/>
  <c r="EN21" i="3"/>
  <c r="EM21" i="3"/>
  <c r="EL21" i="3"/>
  <c r="EK21" i="3"/>
  <c r="EH21" i="3"/>
  <c r="EG21" i="3"/>
  <c r="EE21" i="3"/>
  <c r="ED21" i="3"/>
  <c r="EA21" i="3"/>
  <c r="DY21" i="3"/>
  <c r="DV21" i="3"/>
  <c r="DU21" i="3"/>
  <c r="DS21" i="3"/>
  <c r="DQ21" i="3"/>
  <c r="DO21" i="3"/>
  <c r="DN21" i="3"/>
  <c r="DK21" i="3"/>
  <c r="DJ21" i="3"/>
  <c r="DH21" i="3"/>
  <c r="DG21" i="3"/>
  <c r="DF21" i="3"/>
  <c r="DE21" i="3"/>
  <c r="DC21" i="3"/>
  <c r="DB21" i="3"/>
  <c r="DA21" i="3"/>
  <c r="CZ21" i="3"/>
  <c r="CY21" i="3"/>
  <c r="CX21" i="3"/>
  <c r="CW21" i="3"/>
  <c r="CV21" i="3"/>
  <c r="CS21" i="3"/>
  <c r="CR21" i="3"/>
  <c r="CP21" i="3"/>
  <c r="CO21" i="3"/>
  <c r="CM21" i="3"/>
  <c r="CL21" i="3"/>
  <c r="CK21" i="3"/>
  <c r="CJ21" i="3"/>
  <c r="CH21" i="3"/>
  <c r="CE21" i="3"/>
  <c r="CC21" i="3"/>
  <c r="CB21" i="3"/>
  <c r="BZ21" i="3"/>
  <c r="BX21" i="3"/>
  <c r="BW21" i="3"/>
  <c r="BV21" i="3"/>
  <c r="BU21" i="3"/>
  <c r="BR21" i="3"/>
  <c r="BQ21" i="3"/>
  <c r="BP21" i="3"/>
  <c r="FM20" i="3"/>
  <c r="FK20" i="3"/>
  <c r="FH20" i="3"/>
  <c r="FF20" i="3"/>
  <c r="FE20" i="3"/>
  <c r="FC20" i="3"/>
  <c r="FA20" i="3"/>
  <c r="EZ20" i="3"/>
  <c r="EX20" i="3"/>
  <c r="EW20" i="3"/>
  <c r="EU20" i="3"/>
  <c r="ES20" i="3"/>
  <c r="ER20" i="3"/>
  <c r="EO20" i="3"/>
  <c r="EM20" i="3"/>
  <c r="EK20" i="3"/>
  <c r="EJ20" i="3"/>
  <c r="EI20" i="3"/>
  <c r="EH20" i="3"/>
  <c r="EG20" i="3"/>
  <c r="EE20" i="3"/>
  <c r="EC20" i="3"/>
  <c r="EB20" i="3"/>
  <c r="DZ20" i="3"/>
  <c r="DY20" i="3"/>
  <c r="DX20" i="3"/>
  <c r="DW20" i="3"/>
  <c r="DU20" i="3"/>
  <c r="DT20" i="3"/>
  <c r="DS20" i="3"/>
  <c r="DR20" i="3"/>
  <c r="DQ20" i="3"/>
  <c r="DO20" i="3"/>
  <c r="DM20" i="3"/>
  <c r="DL20" i="3"/>
  <c r="DI20" i="3"/>
  <c r="DG20" i="3"/>
  <c r="DE20" i="3"/>
  <c r="DD20" i="3"/>
  <c r="DB20" i="3"/>
  <c r="DA20" i="3"/>
  <c r="CZ20" i="3"/>
  <c r="CX20" i="3"/>
  <c r="CW20" i="3"/>
  <c r="CV20" i="3"/>
  <c r="CU20" i="3"/>
  <c r="CT20" i="3"/>
  <c r="CS20" i="3"/>
  <c r="CQ20" i="3"/>
  <c r="CP20" i="3"/>
  <c r="CN20" i="3"/>
  <c r="CK20" i="3"/>
  <c r="CH20" i="3"/>
  <c r="CF20" i="3"/>
  <c r="CE20" i="3"/>
  <c r="CD20" i="3"/>
  <c r="CC20" i="3"/>
  <c r="BZ20" i="3"/>
  <c r="BY20" i="3"/>
  <c r="BX20" i="3"/>
  <c r="BU20" i="3"/>
  <c r="BT20" i="3"/>
  <c r="BR20" i="3"/>
  <c r="BQ20" i="3"/>
  <c r="BP20" i="3"/>
  <c r="BM20" i="3"/>
  <c r="BJ20" i="3"/>
  <c r="BH20" i="3"/>
  <c r="BG20" i="3"/>
  <c r="BF20" i="3"/>
  <c r="BE20" i="3"/>
  <c r="BB20" i="3"/>
  <c r="FL19" i="3"/>
  <c r="FK19" i="3"/>
  <c r="FI19" i="3"/>
  <c r="FG19" i="3"/>
  <c r="FF19" i="3"/>
  <c r="FD19" i="3"/>
  <c r="FA19" i="3"/>
  <c r="EZ19" i="3"/>
  <c r="EY19" i="3"/>
  <c r="EX19" i="3"/>
  <c r="EV19" i="3"/>
  <c r="EU19" i="3"/>
  <c r="ES19" i="3"/>
  <c r="EP19" i="3"/>
  <c r="EO19" i="3"/>
  <c r="EN19" i="3"/>
  <c r="EM19" i="3"/>
  <c r="EK19" i="3"/>
  <c r="EI19" i="3"/>
  <c r="EH19" i="3"/>
  <c r="EF19" i="3"/>
  <c r="EE19" i="3"/>
  <c r="EC19" i="3"/>
  <c r="EB19" i="3"/>
  <c r="EA19" i="3"/>
  <c r="DZ19" i="3"/>
  <c r="DY19" i="3"/>
  <c r="DU19" i="3"/>
  <c r="DS19" i="3"/>
  <c r="DR19" i="3"/>
  <c r="DP19" i="3"/>
  <c r="DM19" i="3"/>
  <c r="DK19" i="3"/>
  <c r="DJ19" i="3"/>
  <c r="DH19" i="3"/>
  <c r="DE19" i="3"/>
  <c r="DC19" i="3"/>
  <c r="DB19" i="3"/>
  <c r="DA19" i="3"/>
  <c r="CZ19" i="3"/>
  <c r="CY19" i="3"/>
  <c r="CW19" i="3"/>
  <c r="CU19" i="3"/>
  <c r="CT19" i="3"/>
  <c r="CS19" i="3"/>
  <c r="CR19" i="3"/>
  <c r="CP19" i="3"/>
  <c r="CO19" i="3"/>
  <c r="CL19" i="3"/>
  <c r="CJ19" i="3"/>
  <c r="CI19" i="3"/>
  <c r="CG19" i="3"/>
  <c r="CF19" i="3"/>
  <c r="CD19" i="3"/>
  <c r="CC19" i="3"/>
  <c r="CA19" i="3"/>
  <c r="BY19" i="3"/>
  <c r="BX19" i="3"/>
  <c r="BV19" i="3"/>
  <c r="BT19" i="3"/>
  <c r="BS19" i="3"/>
  <c r="BQ19" i="3"/>
  <c r="BN19" i="3"/>
  <c r="BK19" i="3"/>
  <c r="BI19" i="3"/>
  <c r="BH19" i="3"/>
  <c r="BF19" i="3"/>
  <c r="BA19" i="3"/>
  <c r="AZ19" i="3"/>
  <c r="AX19" i="3"/>
  <c r="AU19" i="3"/>
  <c r="AS19" i="3"/>
  <c r="AP19" i="3"/>
  <c r="AO19" i="3"/>
  <c r="AN19" i="3"/>
  <c r="AM19" i="3"/>
  <c r="AJ19" i="3"/>
  <c r="AH19" i="3"/>
  <c r="AF19" i="3"/>
  <c r="D19" i="3"/>
  <c r="C19" i="3"/>
  <c r="DC18" i="3"/>
  <c r="DA18" i="3"/>
  <c r="CZ18" i="3"/>
  <c r="CY18" i="3"/>
  <c r="CW18" i="3"/>
  <c r="CV18" i="3"/>
  <c r="CU18" i="3"/>
  <c r="CQ18" i="3"/>
  <c r="CP18" i="3"/>
  <c r="CO18" i="3"/>
  <c r="CM18" i="3"/>
  <c r="CI18" i="3"/>
  <c r="CH18" i="3"/>
  <c r="CE18" i="3"/>
  <c r="CB18" i="3"/>
  <c r="BZ18" i="3"/>
  <c r="BY18" i="3"/>
  <c r="BW18" i="3"/>
  <c r="BV18" i="3"/>
  <c r="BT18" i="3"/>
  <c r="BQ18" i="3"/>
  <c r="BO18" i="3"/>
  <c r="BM18" i="3"/>
  <c r="BL18" i="3"/>
  <c r="BK18" i="3"/>
  <c r="BJ18" i="3"/>
  <c r="BG18" i="3"/>
  <c r="BE18" i="3"/>
  <c r="BD18" i="3"/>
  <c r="BB18" i="3"/>
  <c r="BA18" i="3"/>
  <c r="AY18" i="3"/>
  <c r="AX18" i="3"/>
  <c r="AV18" i="3"/>
  <c r="AT18" i="3"/>
  <c r="AS18" i="3"/>
  <c r="AQ18" i="3"/>
  <c r="AO18" i="3"/>
  <c r="AN18" i="3"/>
  <c r="AL18" i="3"/>
  <c r="AI18" i="3"/>
  <c r="AG18" i="3"/>
  <c r="AF18" i="3"/>
  <c r="D18" i="3"/>
  <c r="C18" i="3"/>
  <c r="DB17" i="3"/>
  <c r="CZ17" i="3"/>
  <c r="CX17" i="3"/>
  <c r="CW17" i="3"/>
  <c r="CU17" i="3"/>
  <c r="CT17" i="3"/>
  <c r="CR17" i="3"/>
  <c r="CQ17" i="3"/>
  <c r="CP17" i="3"/>
  <c r="CN17" i="3"/>
  <c r="CL17" i="3"/>
  <c r="CK17" i="3"/>
  <c r="CI17" i="3"/>
  <c r="CH17" i="3"/>
  <c r="CF17" i="3"/>
  <c r="CC17" i="3"/>
  <c r="CA17" i="3"/>
  <c r="BZ17" i="3"/>
  <c r="BX17" i="3"/>
  <c r="BV17" i="3"/>
  <c r="BU17" i="3"/>
  <c r="BS17" i="3"/>
  <c r="BP17" i="3"/>
  <c r="BO17" i="3"/>
  <c r="BN17" i="3"/>
  <c r="BM17" i="3"/>
  <c r="BL17" i="3"/>
  <c r="BK17" i="3"/>
  <c r="BJ17" i="3"/>
  <c r="BH17" i="3"/>
  <c r="BC17" i="3"/>
  <c r="BB17" i="3"/>
  <c r="AZ17" i="3"/>
  <c r="AX17" i="3"/>
  <c r="AW17" i="3"/>
  <c r="AU17" i="3"/>
  <c r="AR17" i="3"/>
  <c r="AQ17" i="3"/>
  <c r="AO17" i="3"/>
  <c r="AL17" i="3"/>
  <c r="AJ17" i="3"/>
  <c r="AG17" i="3"/>
  <c r="D17" i="3"/>
  <c r="C17" i="3"/>
  <c r="FM15" i="3"/>
  <c r="FL15" i="3"/>
  <c r="FJ15" i="3"/>
  <c r="FG15" i="3"/>
  <c r="FC15" i="3"/>
  <c r="FB15" i="3"/>
  <c r="FA15" i="3"/>
  <c r="EZ15" i="3"/>
  <c r="EY15" i="3"/>
  <c r="EW15" i="3"/>
  <c r="EU15" i="3"/>
  <c r="ET15" i="3"/>
  <c r="ER15" i="3"/>
  <c r="EQ15" i="3"/>
  <c r="EO15" i="3"/>
  <c r="EN15" i="3"/>
  <c r="EL15" i="3"/>
  <c r="EI15" i="3"/>
  <c r="EG15" i="3"/>
  <c r="EF15" i="3"/>
  <c r="ED15" i="3"/>
  <c r="EB15" i="3"/>
  <c r="EA15" i="3"/>
  <c r="DY15" i="3"/>
  <c r="DV15" i="3"/>
  <c r="DU15" i="3"/>
  <c r="DT15" i="3"/>
  <c r="DS15" i="3"/>
  <c r="DP15" i="3"/>
  <c r="DN15" i="3"/>
  <c r="DK15" i="3"/>
  <c r="DI15" i="3"/>
  <c r="DG15" i="3"/>
  <c r="DF15" i="3"/>
  <c r="DD15" i="3"/>
  <c r="DC15" i="3"/>
  <c r="DA15" i="3"/>
  <c r="CZ15" i="3"/>
  <c r="CY15" i="3"/>
  <c r="CW15" i="3"/>
  <c r="CV15" i="3"/>
  <c r="CU15" i="3"/>
  <c r="CS15" i="3"/>
  <c r="CQ15" i="3"/>
  <c r="CP15" i="3"/>
  <c r="CO15" i="3"/>
  <c r="CM15" i="3"/>
  <c r="CJ15" i="3"/>
  <c r="CH15" i="3"/>
  <c r="CG15" i="3"/>
  <c r="CE15" i="3"/>
  <c r="CD15" i="3"/>
  <c r="CB15" i="3"/>
  <c r="BZ15" i="3"/>
  <c r="BY15" i="3"/>
  <c r="BW15" i="3"/>
  <c r="BV15" i="3"/>
  <c r="BT15" i="3"/>
  <c r="BQ15" i="3"/>
  <c r="FM14" i="3"/>
  <c r="FK14" i="3"/>
  <c r="FJ14" i="3"/>
  <c r="FI14" i="3"/>
  <c r="FE14" i="3"/>
  <c r="FC14" i="3"/>
  <c r="FB14" i="3"/>
  <c r="EZ14" i="3"/>
  <c r="EY14" i="3"/>
  <c r="EX14" i="3"/>
  <c r="EW14" i="3"/>
  <c r="EU14" i="3"/>
  <c r="ET14" i="3"/>
  <c r="ER14" i="3"/>
  <c r="EO14" i="3"/>
  <c r="EL14" i="3"/>
  <c r="EJ14" i="3"/>
  <c r="EI14" i="3"/>
  <c r="EG14" i="3"/>
  <c r="ED14" i="3"/>
  <c r="EB14" i="3"/>
  <c r="DY14" i="3"/>
  <c r="DV14" i="3"/>
  <c r="DU14" i="3"/>
  <c r="DT14" i="3"/>
  <c r="DQ14" i="3"/>
  <c r="DO14" i="3"/>
  <c r="DN14" i="3"/>
  <c r="DK14" i="3"/>
  <c r="DJ14" i="3"/>
  <c r="DI14" i="3"/>
  <c r="DF14" i="3"/>
  <c r="DA14" i="3"/>
  <c r="CZ14" i="3"/>
  <c r="CX14" i="3"/>
  <c r="CW14" i="3"/>
  <c r="CV14" i="3"/>
  <c r="CT14" i="3"/>
  <c r="CP14" i="3"/>
  <c r="CM14" i="3"/>
  <c r="CK14" i="3"/>
  <c r="CH14" i="3"/>
  <c r="CE14" i="3"/>
  <c r="CD14" i="3"/>
  <c r="CB14" i="3"/>
  <c r="BZ14" i="3"/>
  <c r="BW14" i="3"/>
  <c r="BU14" i="3"/>
  <c r="BS14" i="3"/>
  <c r="BR14" i="3"/>
  <c r="BP14" i="3"/>
  <c r="BO14" i="3"/>
  <c r="BL14" i="3"/>
  <c r="BK14" i="3"/>
  <c r="BH14" i="3"/>
  <c r="BG14" i="3"/>
  <c r="BE14" i="3"/>
  <c r="BD14" i="3"/>
  <c r="AY14" i="3"/>
  <c r="AX14" i="3"/>
  <c r="AW14" i="3"/>
  <c r="AT14" i="3"/>
  <c r="AQ14" i="3"/>
  <c r="AP14" i="3"/>
  <c r="AO14" i="3"/>
  <c r="AL14" i="3"/>
  <c r="AJ14" i="3"/>
  <c r="AI14" i="3"/>
  <c r="AG14" i="3"/>
  <c r="AF14" i="3"/>
  <c r="D14" i="3"/>
  <c r="C14" i="3"/>
  <c r="FJ13" i="3"/>
  <c r="FI13" i="3"/>
  <c r="FE13" i="3"/>
  <c r="FD13" i="3"/>
  <c r="FC13" i="3"/>
  <c r="FA13" i="3"/>
  <c r="EY13" i="3"/>
  <c r="EW13" i="3"/>
  <c r="EQ13" i="3"/>
  <c r="EN13" i="3"/>
  <c r="EK13" i="3"/>
  <c r="EI13" i="3"/>
  <c r="ED13" i="3"/>
  <c r="EC13" i="3"/>
  <c r="DY13" i="3"/>
  <c r="DX13" i="3"/>
  <c r="DU13" i="3"/>
  <c r="DO13" i="3"/>
  <c r="DL13" i="3"/>
  <c r="DK13" i="3"/>
  <c r="DI13" i="3"/>
  <c r="DH13" i="3"/>
  <c r="DF13" i="3"/>
  <c r="DE13" i="3"/>
  <c r="DC13" i="3"/>
  <c r="DA13" i="3"/>
  <c r="CZ13" i="3"/>
  <c r="CW13" i="3"/>
  <c r="CU13" i="3"/>
  <c r="CS13" i="3"/>
  <c r="CP13" i="3"/>
  <c r="CO13" i="3"/>
  <c r="CN13" i="3"/>
  <c r="CM13" i="3"/>
  <c r="CL13" i="3"/>
  <c r="CJ13" i="3"/>
  <c r="CH13" i="3"/>
  <c r="CB13" i="3"/>
  <c r="BW13" i="3"/>
  <c r="BV13" i="3"/>
  <c r="BT13" i="3"/>
  <c r="BQ13" i="3"/>
  <c r="BN13" i="3"/>
  <c r="BM13" i="3"/>
  <c r="BL13" i="3"/>
  <c r="BJ13" i="3"/>
  <c r="BG13" i="3"/>
  <c r="BB13" i="3"/>
  <c r="BA13" i="3"/>
  <c r="AZ13" i="3"/>
  <c r="AY13" i="3"/>
  <c r="AX13" i="3"/>
  <c r="AV13" i="3"/>
  <c r="AQ13" i="3"/>
  <c r="AP13" i="3"/>
  <c r="AK13" i="3"/>
  <c r="AI13" i="3"/>
  <c r="AH13" i="3"/>
  <c r="AF13" i="3"/>
  <c r="D13" i="3"/>
  <c r="C13" i="3"/>
  <c r="CP12" i="3"/>
  <c r="CN12" i="3"/>
  <c r="CM12" i="3"/>
  <c r="CK12" i="3"/>
  <c r="CH12" i="3"/>
  <c r="CE12" i="3"/>
  <c r="BU12" i="3"/>
  <c r="BR12" i="3"/>
  <c r="BQ12" i="3"/>
  <c r="BN12" i="3"/>
  <c r="BJ12" i="3"/>
  <c r="BI12" i="3"/>
  <c r="BG12" i="3"/>
  <c r="BE12" i="3"/>
  <c r="BB12" i="3"/>
  <c r="AW12" i="3"/>
  <c r="AS12" i="3"/>
  <c r="AR12" i="3"/>
  <c r="AQ12" i="3"/>
  <c r="AM12" i="3"/>
  <c r="AF12" i="3"/>
  <c r="D12" i="3"/>
  <c r="C12" i="3"/>
  <c r="CP11" i="3"/>
  <c r="CN11" i="3"/>
  <c r="CI11" i="3"/>
  <c r="CH11" i="3"/>
  <c r="CF11" i="3"/>
  <c r="BZ11" i="3"/>
  <c r="BX11" i="3"/>
  <c r="BV11" i="3"/>
  <c r="BS11" i="3"/>
  <c r="BR11" i="3"/>
  <c r="BQ11" i="3"/>
  <c r="BK11" i="3"/>
  <c r="BJ11" i="3"/>
  <c r="BH11" i="3"/>
  <c r="BF11" i="3"/>
  <c r="AZ11" i="3"/>
  <c r="AX11" i="3"/>
  <c r="AT11" i="3"/>
  <c r="AR11" i="3"/>
  <c r="AP11" i="3"/>
  <c r="D11" i="3"/>
  <c r="C11" i="3"/>
  <c r="FI9" i="3"/>
  <c r="EZ9" i="3"/>
  <c r="EU9" i="3"/>
  <c r="ES9" i="3"/>
  <c r="ER9" i="3"/>
  <c r="EK9" i="3"/>
  <c r="EH9" i="3"/>
  <c r="EE9" i="3"/>
  <c r="EC9" i="3"/>
  <c r="DW9" i="3"/>
  <c r="DO9" i="3"/>
  <c r="DM9" i="3"/>
  <c r="DL9" i="3"/>
  <c r="DK9" i="3"/>
  <c r="DE9" i="3"/>
  <c r="CZ9" i="3"/>
  <c r="CW9" i="3"/>
  <c r="CU9" i="3"/>
  <c r="CT9" i="3"/>
  <c r="CP9" i="3"/>
  <c r="CN9" i="3"/>
  <c r="CK9" i="3"/>
  <c r="CG9" i="3"/>
  <c r="CF9" i="3"/>
  <c r="BY9" i="3"/>
  <c r="BX9" i="3"/>
  <c r="BW9" i="3"/>
  <c r="BP9" i="3"/>
  <c r="BO9" i="3"/>
  <c r="BM9" i="3"/>
  <c r="BD9" i="3"/>
  <c r="AW9" i="3"/>
  <c r="AV9" i="3"/>
  <c r="AR9" i="3"/>
  <c r="AO9" i="3"/>
  <c r="AF9" i="3"/>
  <c r="FM8" i="3"/>
  <c r="FJ8" i="3"/>
  <c r="FH8" i="3"/>
  <c r="FG8" i="3"/>
  <c r="EZ8" i="3"/>
  <c r="ER8" i="3"/>
  <c r="EQ8" i="3"/>
  <c r="EM8" i="3"/>
  <c r="EI8" i="3"/>
  <c r="EE8" i="3"/>
  <c r="ED8" i="3"/>
  <c r="DU8" i="3"/>
  <c r="DL8" i="3"/>
  <c r="DK8" i="3"/>
  <c r="CZ8" i="3"/>
  <c r="CW8" i="3"/>
  <c r="CT8" i="3"/>
  <c r="CP8" i="3"/>
  <c r="CJ8" i="3"/>
  <c r="CF8" i="3"/>
  <c r="CE8" i="3"/>
  <c r="BW8" i="3"/>
  <c r="BU8" i="3"/>
  <c r="BT8" i="3"/>
  <c r="BK8" i="3"/>
  <c r="BG8" i="3"/>
  <c r="BD8" i="3"/>
  <c r="AY8" i="3"/>
  <c r="AR8" i="3"/>
  <c r="AQ8" i="3"/>
  <c r="AN8" i="3"/>
  <c r="AJ8" i="3"/>
  <c r="AF8" i="3"/>
  <c r="D8" i="3"/>
  <c r="C8" i="3"/>
  <c r="FK7" i="3"/>
  <c r="EZ7" i="3"/>
  <c r="EY7" i="3"/>
  <c r="EW7" i="3"/>
  <c r="EU7" i="3"/>
  <c r="EQ7" i="3"/>
  <c r="EJ7" i="3"/>
  <c r="EE7" i="3"/>
  <c r="EB7" i="3"/>
  <c r="EA7" i="3"/>
  <c r="DW7" i="3"/>
  <c r="DL7" i="3"/>
  <c r="DK7" i="3"/>
  <c r="DG7" i="3"/>
  <c r="DC7" i="3"/>
  <c r="DA7" i="3"/>
  <c r="CZ7" i="3"/>
  <c r="CX7" i="3"/>
  <c r="CW7" i="3"/>
  <c r="CT7" i="3"/>
  <c r="CP7" i="3"/>
  <c r="CE7" i="3"/>
  <c r="CD7" i="3"/>
  <c r="BJ7" i="3"/>
  <c r="BG7" i="3"/>
  <c r="AU7" i="3"/>
  <c r="AN7" i="3"/>
  <c r="AL7" i="3"/>
  <c r="D7" i="3"/>
  <c r="C7" i="3"/>
  <c r="FM6" i="3"/>
  <c r="FK6" i="3"/>
  <c r="FH6" i="3"/>
  <c r="FE6" i="3"/>
  <c r="EW6" i="3"/>
  <c r="ES6" i="3"/>
  <c r="ER6" i="3"/>
  <c r="EJ6" i="3"/>
  <c r="EB6" i="3"/>
  <c r="DQ6" i="3"/>
  <c r="DL6" i="3"/>
  <c r="DD6" i="3"/>
  <c r="DA6" i="3"/>
  <c r="CZ6" i="3"/>
  <c r="CW6" i="3"/>
  <c r="CT6" i="3"/>
  <c r="CQ6" i="3"/>
  <c r="CP6" i="3"/>
  <c r="CE6" i="3"/>
  <c r="CD6" i="3"/>
  <c r="BW6" i="3"/>
  <c r="BT6" i="3"/>
  <c r="BR6" i="3"/>
  <c r="BJ6" i="3"/>
  <c r="BG6" i="3"/>
  <c r="BB6" i="3"/>
  <c r="AY6" i="3"/>
  <c r="AV6" i="3"/>
  <c r="AT6" i="3"/>
  <c r="AL6" i="3"/>
  <c r="FP4" i="3"/>
  <c r="FN4" i="3"/>
  <c r="D4" i="3"/>
  <c r="C4" i="3"/>
  <c r="B4" i="3"/>
  <c r="DF3" i="3"/>
  <c r="DE3" i="3"/>
  <c r="DD3" i="3"/>
  <c r="DC3" i="3"/>
  <c r="DB3" i="3"/>
  <c r="DA3" i="3"/>
  <c r="CZ3" i="3"/>
  <c r="CY3" i="3"/>
  <c r="CX3" i="3"/>
  <c r="CW3" i="3"/>
  <c r="CV3" i="3"/>
  <c r="CU3" i="3"/>
  <c r="CT3" i="3"/>
  <c r="CS3" i="3"/>
  <c r="CR3" i="3"/>
  <c r="CQ3" i="3"/>
  <c r="CP3" i="3"/>
  <c r="CO3" i="3"/>
  <c r="CN3" i="3"/>
  <c r="CM3" i="3"/>
  <c r="CL3" i="3"/>
  <c r="CK3" i="3"/>
  <c r="CJ3" i="3"/>
  <c r="D3" i="3"/>
  <c r="C3" i="3"/>
  <c r="B3" i="3"/>
  <c r="DR9" i="3" l="1"/>
  <c r="AQ6" i="3"/>
  <c r="BO6" i="3"/>
  <c r="CM6" i="3"/>
  <c r="EI6" i="3"/>
  <c r="FG6" i="3"/>
  <c r="AT7" i="3"/>
  <c r="CQ7" i="3"/>
  <c r="DD7" i="3"/>
  <c r="DA8" i="3"/>
  <c r="BL9" i="3"/>
  <c r="DJ9" i="3"/>
  <c r="AH11" i="3"/>
  <c r="BE11" i="3"/>
  <c r="AJ12" i="3"/>
  <c r="AZ12" i="3"/>
  <c r="BO12" i="3"/>
  <c r="CQ13" i="3"/>
  <c r="DQ13" i="3"/>
  <c r="EG13" i="3"/>
  <c r="BC14" i="3"/>
  <c r="CR14" i="3"/>
  <c r="EH14" i="3"/>
  <c r="FF14" i="3"/>
  <c r="GH37" i="1"/>
  <c r="FO35" i="3" s="1"/>
  <c r="DW6" i="3"/>
  <c r="EE6" i="3"/>
  <c r="FE8" i="3"/>
  <c r="AU9" i="3"/>
  <c r="CA9" i="3"/>
  <c r="CR9" i="3"/>
  <c r="EX9" i="3"/>
  <c r="AO11" i="3"/>
  <c r="BU11" i="3"/>
  <c r="CK11" i="3"/>
  <c r="GI37" i="1"/>
  <c r="FP35" i="3" s="1"/>
  <c r="AF6" i="3"/>
  <c r="CB6" i="3"/>
  <c r="EA6" i="3"/>
  <c r="BT7" i="3"/>
  <c r="CY7" i="3"/>
  <c r="DO7" i="3"/>
  <c r="EM7" i="3"/>
  <c r="FC7" i="3"/>
  <c r="BO8" i="3"/>
  <c r="DX8" i="3"/>
  <c r="AJ9" i="3"/>
  <c r="AZ9" i="3"/>
  <c r="BS9" i="3"/>
  <c r="CI9" i="3"/>
  <c r="DN9" i="3"/>
  <c r="FK9" i="3"/>
  <c r="BH12" i="3"/>
  <c r="BW12" i="3"/>
  <c r="BU13" i="3"/>
  <c r="CY13" i="3"/>
  <c r="EB13" i="3"/>
  <c r="FH13" i="3"/>
  <c r="DZ14" i="3"/>
  <c r="CN15" i="3"/>
  <c r="CX15" i="3"/>
  <c r="FK15" i="3"/>
  <c r="CE17" i="3"/>
  <c r="AP18" i="3"/>
  <c r="AT19" i="3"/>
  <c r="BZ19" i="3"/>
  <c r="CK19" i="3"/>
  <c r="EJ19" i="3"/>
  <c r="FH19" i="3"/>
  <c r="EP21" i="3"/>
  <c r="AN23" i="3"/>
  <c r="BO24" i="3"/>
  <c r="CM24" i="3"/>
  <c r="AI6" i="3"/>
  <c r="BD6" i="3"/>
  <c r="EY6" i="3"/>
  <c r="DQ7" i="3"/>
  <c r="EO7" i="3"/>
  <c r="FE7" i="3"/>
  <c r="BQ8" i="3"/>
  <c r="FA8" i="3"/>
  <c r="AM9" i="3"/>
  <c r="BC9" i="3"/>
  <c r="BT9" i="3"/>
  <c r="CJ9" i="3"/>
  <c r="EP9" i="3"/>
  <c r="AW11" i="3"/>
  <c r="BM11" i="3"/>
  <c r="CD11" i="3"/>
  <c r="AU12" i="3"/>
  <c r="BX12" i="3"/>
  <c r="AS13" i="3"/>
  <c r="BI13" i="3"/>
  <c r="EV13" i="3"/>
  <c r="BJ14" i="3"/>
  <c r="EP14" i="3"/>
  <c r="DW15" i="3"/>
  <c r="CL20" i="3"/>
  <c r="FC6" i="3"/>
  <c r="DB9" i="3"/>
  <c r="AN6" i="3"/>
  <c r="CJ6" i="3"/>
  <c r="DC6" i="3"/>
  <c r="EF6" i="3"/>
  <c r="DY7" i="3"/>
  <c r="ER7" i="3"/>
  <c r="FM7" i="3"/>
  <c r="AS8" i="3"/>
  <c r="EG8" i="3"/>
  <c r="AQ9" i="3"/>
  <c r="BK9" i="3"/>
  <c r="DV9" i="3"/>
  <c r="AG11" i="3"/>
  <c r="AI12" i="3"/>
  <c r="AY12" i="3"/>
  <c r="CF12" i="3"/>
  <c r="BY13" i="3"/>
  <c r="DP13" i="3"/>
  <c r="EF13" i="3"/>
  <c r="FL13" i="3"/>
  <c r="AM14" i="3"/>
  <c r="BB14" i="3"/>
  <c r="CA14" i="3"/>
  <c r="CQ14" i="3"/>
  <c r="DB14" i="3"/>
  <c r="DR14" i="3"/>
  <c r="CF15" i="3"/>
  <c r="DO15" i="3"/>
  <c r="EZ7" i="4"/>
  <c r="EG6" i="3"/>
  <c r="CL4" i="4"/>
  <c r="BS7" i="3"/>
  <c r="DB4" i="4"/>
  <c r="CI7" i="3"/>
  <c r="BP5" i="4"/>
  <c r="AV8" i="3"/>
  <c r="CF5" i="4"/>
  <c r="BL8" i="3"/>
  <c r="CU5" i="4"/>
  <c r="CB8" i="3"/>
  <c r="DL5" i="4"/>
  <c r="CS8" i="3"/>
  <c r="BA8" i="4"/>
  <c r="AG9" i="3"/>
  <c r="BY8" i="4"/>
  <c r="BE9" i="3"/>
  <c r="CV8" i="4"/>
  <c r="CC9" i="3"/>
  <c r="DW8" i="4"/>
  <c r="DD9" i="3"/>
  <c r="EM8" i="4"/>
  <c r="DT9" i="3"/>
  <c r="FC8" i="4"/>
  <c r="EJ9" i="3"/>
  <c r="GA8" i="4"/>
  <c r="FH9" i="3"/>
  <c r="BU5" i="5"/>
  <c r="BA12" i="3"/>
  <c r="CR5" i="5"/>
  <c r="BY12" i="3"/>
  <c r="DH5" i="5"/>
  <c r="CO12" i="3"/>
  <c r="BH8" i="5"/>
  <c r="AN14" i="3"/>
  <c r="DC8" i="5"/>
  <c r="CJ14" i="3"/>
  <c r="DL8" i="5"/>
  <c r="CS14" i="3"/>
  <c r="DV8" i="5"/>
  <c r="DC14" i="3"/>
  <c r="ET8" i="5"/>
  <c r="EA14" i="3"/>
  <c r="FZ8" i="5"/>
  <c r="FG14" i="3"/>
  <c r="EQ9" i="5"/>
  <c r="DX15" i="3"/>
  <c r="FO9" i="5"/>
  <c r="EV15" i="3"/>
  <c r="FW9" i="5"/>
  <c r="FD15" i="3"/>
  <c r="BN4" i="6"/>
  <c r="AT17" i="3"/>
  <c r="CK4" i="6"/>
  <c r="BR17" i="3"/>
  <c r="DT4" i="6"/>
  <c r="DA17" i="3"/>
  <c r="BE5" i="6"/>
  <c r="AK18" i="3"/>
  <c r="CZ5" i="6"/>
  <c r="CG18" i="3"/>
  <c r="BL6" i="6"/>
  <c r="AR19" i="3"/>
  <c r="DQ6" i="6"/>
  <c r="CX19" i="3"/>
  <c r="DZ6" i="6"/>
  <c r="DG19" i="3"/>
  <c r="EP6" i="6"/>
  <c r="DW19" i="3"/>
  <c r="FV6" i="6"/>
  <c r="FC19" i="3"/>
  <c r="CI7" i="6"/>
  <c r="BO20" i="3"/>
  <c r="DF7" i="6"/>
  <c r="CM20" i="3"/>
  <c r="CM8" i="6"/>
  <c r="BT21" i="3"/>
  <c r="FB8" i="6"/>
  <c r="EI21" i="3"/>
  <c r="BQ4" i="7"/>
  <c r="AW23" i="3"/>
  <c r="CG4" i="7"/>
  <c r="BM23" i="3"/>
  <c r="DM4" i="7"/>
  <c r="CT23" i="3"/>
  <c r="BL5" i="7"/>
  <c r="AR24" i="3"/>
  <c r="BO6" i="7"/>
  <c r="AU25" i="3"/>
  <c r="CT6" i="7"/>
  <c r="CA25" i="3"/>
  <c r="EC6" i="7"/>
  <c r="DJ25" i="3"/>
  <c r="BZ7" i="7"/>
  <c r="BF26" i="3"/>
  <c r="CW7" i="7"/>
  <c r="CD26" i="3"/>
  <c r="EV7" i="7"/>
  <c r="EC26" i="3"/>
  <c r="GB7" i="7"/>
  <c r="FI26" i="3"/>
  <c r="CO8" i="7"/>
  <c r="BV27" i="3"/>
  <c r="CW8" i="7"/>
  <c r="CD27" i="3"/>
  <c r="FD8" i="7"/>
  <c r="EK27" i="3"/>
  <c r="FL8" i="7"/>
  <c r="ES27" i="3"/>
  <c r="FJ9" i="7"/>
  <c r="EQ28" i="3"/>
  <c r="EM17" i="7"/>
  <c r="DT29" i="3"/>
  <c r="FS17" i="7"/>
  <c r="EZ29" i="3"/>
  <c r="GA17" i="7"/>
  <c r="FH29" i="3"/>
  <c r="FK16" i="7"/>
  <c r="ER34" i="3"/>
  <c r="FS16" i="7"/>
  <c r="EZ34" i="3"/>
  <c r="BQ4" i="8"/>
  <c r="AW38" i="3"/>
  <c r="BY4" i="8"/>
  <c r="BE38" i="3"/>
  <c r="AZ4" i="4"/>
  <c r="AF7" i="3"/>
  <c r="FB4" i="4"/>
  <c r="EI7" i="3"/>
  <c r="FZ4" i="4"/>
  <c r="FG7" i="3"/>
  <c r="BA5" i="4"/>
  <c r="AG8" i="3"/>
  <c r="BQ5" i="4"/>
  <c r="AW8" i="3"/>
  <c r="CG5" i="4"/>
  <c r="BM8" i="3"/>
  <c r="DW5" i="4"/>
  <c r="DD8" i="3"/>
  <c r="FC5" i="4"/>
  <c r="EJ8" i="3"/>
  <c r="AU6" i="3"/>
  <c r="BK6" i="3"/>
  <c r="DY6" i="3"/>
  <c r="EO6" i="3"/>
  <c r="AQ7" i="3"/>
  <c r="BL7" i="3"/>
  <c r="CJ7" i="3"/>
  <c r="FJ7" i="3"/>
  <c r="AO8" i="3"/>
  <c r="BH8" i="3"/>
  <c r="CC8" i="3"/>
  <c r="DO8" i="3"/>
  <c r="AK9" i="3"/>
  <c r="EB9" i="3"/>
  <c r="CV13" i="3"/>
  <c r="DV13" i="3"/>
  <c r="CN14" i="3"/>
  <c r="DW14" i="3"/>
  <c r="AP17" i="3"/>
  <c r="CC18" i="3"/>
  <c r="CF7" i="4"/>
  <c r="BL6" i="3"/>
  <c r="EL7" i="4"/>
  <c r="DS6" i="3"/>
  <c r="EM4" i="4"/>
  <c r="DT7" i="3"/>
  <c r="GA4" i="4"/>
  <c r="FH7" i="3"/>
  <c r="CH6" i="3"/>
  <c r="DZ6" i="3"/>
  <c r="BO7" i="3"/>
  <c r="CM7" i="3"/>
  <c r="DN7" i="3"/>
  <c r="ED7" i="3"/>
  <c r="CX8" i="3"/>
  <c r="DT8" i="3"/>
  <c r="BA9" i="3"/>
  <c r="BC11" i="3"/>
  <c r="AG12" i="3"/>
  <c r="BC5" i="4"/>
  <c r="AI8" i="3"/>
  <c r="DY5" i="4"/>
  <c r="DF8" i="3"/>
  <c r="EO5" i="4"/>
  <c r="DV8" i="3"/>
  <c r="FE5" i="4"/>
  <c r="EL8" i="3"/>
  <c r="FU5" i="4"/>
  <c r="FB8" i="3"/>
  <c r="CB8" i="4"/>
  <c r="BH9" i="3"/>
  <c r="BR7" i="4"/>
  <c r="AX6" i="3"/>
  <c r="EO4" i="4"/>
  <c r="DV7" i="3"/>
  <c r="FM4" i="4"/>
  <c r="ET7" i="3"/>
  <c r="CQ5" i="4"/>
  <c r="BX8" i="3"/>
  <c r="BM8" i="4"/>
  <c r="AS9" i="3"/>
  <c r="CJ8" i="4"/>
  <c r="BQ9" i="3"/>
  <c r="DH8" i="4"/>
  <c r="CO9" i="3"/>
  <c r="BG4" i="5"/>
  <c r="AM11" i="3"/>
  <c r="CT4" i="5"/>
  <c r="CA11" i="3"/>
  <c r="BI5" i="5"/>
  <c r="AO12" i="3"/>
  <c r="CG5" i="5"/>
  <c r="BM12" i="3"/>
  <c r="CV5" i="5"/>
  <c r="CC12" i="3"/>
  <c r="CI7" i="5"/>
  <c r="BO13" i="3"/>
  <c r="CX7" i="5"/>
  <c r="CE13" i="3"/>
  <c r="EG7" i="5"/>
  <c r="DN13" i="3"/>
  <c r="FE7" i="5"/>
  <c r="EL13" i="3"/>
  <c r="FU7" i="5"/>
  <c r="FB13" i="3"/>
  <c r="BT8" i="5"/>
  <c r="AZ14" i="3"/>
  <c r="CQ8" i="5"/>
  <c r="BX14" i="3"/>
  <c r="FF8" i="5"/>
  <c r="EM14" i="3"/>
  <c r="CN9" i="5"/>
  <c r="BU15" i="3"/>
  <c r="FC9" i="5"/>
  <c r="EJ15" i="3"/>
  <c r="BZ4" i="6"/>
  <c r="BF17" i="3"/>
  <c r="CW4" i="6"/>
  <c r="CD17" i="3"/>
  <c r="BQ5" i="6"/>
  <c r="AW18" i="3"/>
  <c r="CN5" i="6"/>
  <c r="BU18" i="3"/>
  <c r="DM5" i="6"/>
  <c r="CT18" i="3"/>
  <c r="BX6" i="6"/>
  <c r="BD19" i="3"/>
  <c r="CU6" i="6"/>
  <c r="CB19" i="3"/>
  <c r="FJ6" i="6"/>
  <c r="EQ19" i="3"/>
  <c r="EC7" i="6"/>
  <c r="DJ20" i="3"/>
  <c r="FI7" i="6"/>
  <c r="EP20" i="3"/>
  <c r="DG8" i="6"/>
  <c r="CN21" i="3"/>
  <c r="EP8" i="6"/>
  <c r="DW21" i="3"/>
  <c r="FN8" i="6"/>
  <c r="EU21" i="3"/>
  <c r="FV8" i="6"/>
  <c r="FC21" i="3"/>
  <c r="CR4" i="7"/>
  <c r="BY23" i="3"/>
  <c r="BX5" i="7"/>
  <c r="BD24" i="3"/>
  <c r="CU5" i="7"/>
  <c r="CB24" i="3"/>
  <c r="DC5" i="7"/>
  <c r="CJ24" i="3"/>
  <c r="DV5" i="7"/>
  <c r="DC24" i="3"/>
  <c r="CA6" i="7"/>
  <c r="BG25" i="3"/>
  <c r="DF6" i="7"/>
  <c r="CM25" i="3"/>
  <c r="BN7" i="7"/>
  <c r="AT26" i="3"/>
  <c r="CK7" i="7"/>
  <c r="BR26" i="3"/>
  <c r="EJ8" i="7"/>
  <c r="DQ27" i="3"/>
  <c r="GF13" i="7"/>
  <c r="FM31" i="3"/>
  <c r="DR11" i="7"/>
  <c r="CY32" i="3"/>
  <c r="DQ12" i="7"/>
  <c r="CX33" i="3"/>
  <c r="CJ4" i="8"/>
  <c r="BQ38" i="3"/>
  <c r="BV5" i="8"/>
  <c r="BB39" i="3"/>
  <c r="DT5" i="8"/>
  <c r="DA39" i="3"/>
  <c r="BS4" i="4"/>
  <c r="AY7" i="3"/>
  <c r="AV7" i="3"/>
  <c r="BC6" i="3"/>
  <c r="DI6" i="3"/>
  <c r="BC7" i="3"/>
  <c r="BZ7" i="3"/>
  <c r="DS7" i="3"/>
  <c r="EL7" i="3"/>
  <c r="CK8" i="3"/>
  <c r="DC8" i="3"/>
  <c r="EA8" i="3"/>
  <c r="FK8" i="3"/>
  <c r="BI9" i="3"/>
  <c r="BU9" i="3"/>
  <c r="AK12" i="3"/>
  <c r="CG12" i="3"/>
  <c r="ET13" i="3"/>
  <c r="AV14" i="3"/>
  <c r="CF14" i="3"/>
  <c r="DG14" i="3"/>
  <c r="DS14" i="3"/>
  <c r="EQ14" i="3"/>
  <c r="CC15" i="3"/>
  <c r="DH15" i="3"/>
  <c r="FH15" i="3"/>
  <c r="AH17" i="3"/>
  <c r="CK18" i="3"/>
  <c r="AV19" i="3"/>
  <c r="BL19" i="3"/>
  <c r="CF21" i="3"/>
  <c r="AK23" i="3"/>
  <c r="BW7" i="3"/>
  <c r="AP6" i="3"/>
  <c r="BZ6" i="3"/>
  <c r="AI7" i="3"/>
  <c r="BD7" i="3"/>
  <c r="CB7" i="3"/>
  <c r="CV7" i="3"/>
  <c r="DF7" i="3"/>
  <c r="FB7" i="3"/>
  <c r="AZ8" i="3"/>
  <c r="CN8" i="3"/>
  <c r="DG8" i="3"/>
  <c r="EB8" i="3"/>
  <c r="EU8" i="3"/>
  <c r="AU11" i="3"/>
  <c r="DR7" i="4"/>
  <c r="CY6" i="3"/>
  <c r="BV4" i="4"/>
  <c r="BB7" i="3"/>
  <c r="CK4" i="4"/>
  <c r="BR7" i="3"/>
  <c r="DA4" i="4"/>
  <c r="CH7" i="3"/>
  <c r="EB4" i="4"/>
  <c r="DI7" i="3"/>
  <c r="EZ4" i="4"/>
  <c r="EG7" i="3"/>
  <c r="DL5" i="6"/>
  <c r="CB9" i="3"/>
  <c r="FC9" i="3"/>
  <c r="AL11" i="3"/>
  <c r="AN12" i="3"/>
  <c r="CD13" i="3"/>
  <c r="DM13" i="3"/>
  <c r="AI9" i="3"/>
  <c r="BU5" i="4"/>
  <c r="BA8" i="3"/>
  <c r="CC5" i="4"/>
  <c r="BI8" i="3"/>
  <c r="CZ5" i="4"/>
  <c r="CG8" i="3"/>
  <c r="DH5" i="4"/>
  <c r="CO8" i="3"/>
  <c r="EA5" i="4"/>
  <c r="DH8" i="3"/>
  <c r="EI5" i="4"/>
  <c r="DP8" i="3"/>
  <c r="FG5" i="4"/>
  <c r="EN8" i="3"/>
  <c r="FO5" i="4"/>
  <c r="EV8" i="3"/>
  <c r="FW5" i="4"/>
  <c r="FD8" i="3"/>
  <c r="GE5" i="4"/>
  <c r="FL8" i="3"/>
  <c r="EB8" i="4"/>
  <c r="DI9" i="3"/>
  <c r="FH8" i="4"/>
  <c r="EO9" i="3"/>
  <c r="GF8" i="4"/>
  <c r="FM9" i="3"/>
  <c r="CY8" i="3"/>
  <c r="EC8" i="3"/>
  <c r="DF9" i="3"/>
  <c r="EA4" i="4"/>
  <c r="DH7" i="3"/>
  <c r="EI4" i="4"/>
  <c r="DP7" i="3"/>
  <c r="EQ4" i="4"/>
  <c r="DX7" i="3"/>
  <c r="EY4" i="4"/>
  <c r="EF7" i="3"/>
  <c r="FG4" i="4"/>
  <c r="EN7" i="3"/>
  <c r="FO4" i="4"/>
  <c r="EV7" i="3"/>
  <c r="FW4" i="4"/>
  <c r="FD7" i="3"/>
  <c r="GE4" i="4"/>
  <c r="GG7" i="1"/>
  <c r="FN7" i="3" s="1"/>
  <c r="FL7" i="3"/>
  <c r="BQ6" i="3"/>
  <c r="CJ7" i="4"/>
  <c r="EA7" i="4"/>
  <c r="DH6" i="3"/>
  <c r="EQ7" i="4"/>
  <c r="DX6" i="3"/>
  <c r="GE7" i="4"/>
  <c r="GG6" i="1"/>
  <c r="FN6" i="3" s="1"/>
  <c r="FL6" i="3"/>
  <c r="FW7" i="4"/>
  <c r="FD6" i="3"/>
  <c r="DE6" i="3"/>
  <c r="BY8" i="3"/>
  <c r="EF8" i="3"/>
  <c r="EN6" i="3"/>
  <c r="AP7" i="3"/>
  <c r="AK8" i="3"/>
  <c r="DE5" i="4"/>
  <c r="CL8" i="3"/>
  <c r="DN5" i="4"/>
  <c r="CU8" i="3"/>
  <c r="EF5" i="4"/>
  <c r="DM8" i="3"/>
  <c r="FL5" i="4"/>
  <c r="ES8" i="3"/>
  <c r="GB5" i="4"/>
  <c r="FI8" i="3"/>
  <c r="BS8" i="4"/>
  <c r="AY9" i="3"/>
  <c r="CA8" i="4"/>
  <c r="BG9" i="3"/>
  <c r="CX8" i="4"/>
  <c r="CE9" i="3"/>
  <c r="DF8" i="4"/>
  <c r="CM9" i="3"/>
  <c r="DO8" i="4"/>
  <c r="CV9" i="3"/>
  <c r="FE8" i="4"/>
  <c r="EL9" i="3"/>
  <c r="FM8" i="4"/>
  <c r="ET9" i="3"/>
  <c r="FU8" i="4"/>
  <c r="FB9" i="3"/>
  <c r="BE4" i="5"/>
  <c r="AK11" i="3"/>
  <c r="BU4" i="5"/>
  <c r="BA11" i="3"/>
  <c r="CC4" i="5"/>
  <c r="BI11" i="3"/>
  <c r="CZ4" i="5"/>
  <c r="CG11" i="3"/>
  <c r="DH4" i="5"/>
  <c r="CO11" i="3"/>
  <c r="CE5" i="5"/>
  <c r="BK12" i="3"/>
  <c r="CL5" i="5"/>
  <c r="BS12" i="3"/>
  <c r="CT5" i="5"/>
  <c r="CA12" i="3"/>
  <c r="BA7" i="5"/>
  <c r="AG13" i="3"/>
  <c r="BY7" i="5"/>
  <c r="BE13" i="3"/>
  <c r="DD7" i="5"/>
  <c r="CK13" i="3"/>
  <c r="DM7" i="5"/>
  <c r="CT13" i="3"/>
  <c r="DW7" i="5"/>
  <c r="DD13" i="3"/>
  <c r="EM7" i="5"/>
  <c r="DT13" i="3"/>
  <c r="FS7" i="5"/>
  <c r="EZ13" i="3"/>
  <c r="BB8" i="5"/>
  <c r="AH14" i="3"/>
  <c r="BZ8" i="5"/>
  <c r="BF14" i="3"/>
  <c r="CH8" i="5"/>
  <c r="BN14" i="3"/>
  <c r="CO8" i="5"/>
  <c r="BV14" i="3"/>
  <c r="DX8" i="5"/>
  <c r="DE14" i="3"/>
  <c r="EV8" i="5"/>
  <c r="EC14" i="3"/>
  <c r="FD8" i="5"/>
  <c r="EK14" i="3"/>
  <c r="FL8" i="5"/>
  <c r="ES14" i="3"/>
  <c r="FT8" i="5"/>
  <c r="FA14" i="3"/>
  <c r="AZ4" i="6"/>
  <c r="AF17" i="3"/>
  <c r="BH4" i="6"/>
  <c r="AN17" i="3"/>
  <c r="BP4" i="6"/>
  <c r="AV17" i="3"/>
  <c r="BX4" i="6"/>
  <c r="BD17" i="3"/>
  <c r="CM4" i="6"/>
  <c r="BT17" i="3"/>
  <c r="CU4" i="6"/>
  <c r="CB17" i="3"/>
  <c r="DC4" i="6"/>
  <c r="CJ17" i="3"/>
  <c r="DL4" i="6"/>
  <c r="CS17" i="3"/>
  <c r="DV4" i="6"/>
  <c r="DC17" i="3"/>
  <c r="BG5" i="6"/>
  <c r="AM18" i="3"/>
  <c r="BO5" i="6"/>
  <c r="AU18" i="3"/>
  <c r="BW5" i="6"/>
  <c r="BC18" i="3"/>
  <c r="CL5" i="6"/>
  <c r="BS18" i="3"/>
  <c r="CT5" i="6"/>
  <c r="CA18" i="3"/>
  <c r="DK5" i="6"/>
  <c r="CR18" i="3"/>
  <c r="DU5" i="6"/>
  <c r="DB18" i="3"/>
  <c r="BF6" i="6"/>
  <c r="AL19" i="3"/>
  <c r="BV6" i="6"/>
  <c r="BB19" i="3"/>
  <c r="CD6" i="6"/>
  <c r="BJ19" i="3"/>
  <c r="CK6" i="6"/>
  <c r="BR19" i="3"/>
  <c r="BB4" i="4"/>
  <c r="AH7" i="3"/>
  <c r="BR4" i="4"/>
  <c r="AX7" i="3"/>
  <c r="BZ4" i="4"/>
  <c r="BF7" i="3"/>
  <c r="CH4" i="4"/>
  <c r="BN7" i="3"/>
  <c r="CO4" i="4"/>
  <c r="BV7" i="3"/>
  <c r="DE4" i="4"/>
  <c r="CL7" i="3"/>
  <c r="DN4" i="4"/>
  <c r="CU7" i="3"/>
  <c r="DX4" i="4"/>
  <c r="DE7" i="3"/>
  <c r="EF4" i="4"/>
  <c r="DM7" i="3"/>
  <c r="EN4" i="4"/>
  <c r="DU7" i="3"/>
  <c r="EV4" i="4"/>
  <c r="EC7" i="3"/>
  <c r="FD4" i="4"/>
  <c r="EK7" i="3"/>
  <c r="FL4" i="4"/>
  <c r="ES7" i="3"/>
  <c r="FT4" i="4"/>
  <c r="FA7" i="3"/>
  <c r="GB4" i="4"/>
  <c r="FI7" i="3"/>
  <c r="BB7" i="4"/>
  <c r="AH6" i="3"/>
  <c r="BZ7" i="4"/>
  <c r="BF6" i="3"/>
  <c r="CH7" i="4"/>
  <c r="BN6" i="3"/>
  <c r="CO7" i="4"/>
  <c r="BV6" i="3"/>
  <c r="DE7" i="4"/>
  <c r="CL6" i="3"/>
  <c r="DN7" i="4"/>
  <c r="CU6" i="3"/>
  <c r="EF7" i="4"/>
  <c r="DM6" i="3"/>
  <c r="EN7" i="4"/>
  <c r="DU6" i="3"/>
  <c r="EV7" i="4"/>
  <c r="EC6" i="3"/>
  <c r="FD7" i="4"/>
  <c r="EK6" i="3"/>
  <c r="FT7" i="4"/>
  <c r="FA6" i="3"/>
  <c r="GB7" i="4"/>
  <c r="FI6" i="3"/>
  <c r="AZ4" i="5"/>
  <c r="AF11" i="3"/>
  <c r="BY6" i="6"/>
  <c r="BE19" i="3"/>
  <c r="CF7" i="6"/>
  <c r="BL20" i="3"/>
  <c r="EI8" i="6"/>
  <c r="DP21" i="3"/>
  <c r="CP6" i="7"/>
  <c r="BW25" i="3"/>
  <c r="CD7" i="7"/>
  <c r="BJ26" i="3"/>
  <c r="AU8" i="3"/>
  <c r="BE8" i="3"/>
  <c r="CA8" i="3"/>
  <c r="CS9" i="3"/>
  <c r="EQ9" i="3"/>
  <c r="BN11" i="3"/>
  <c r="AL13" i="3"/>
  <c r="BZ13" i="3"/>
  <c r="FM13" i="3"/>
  <c r="EC15" i="3"/>
  <c r="EM15" i="3"/>
  <c r="CM17" i="3"/>
  <c r="CV17" i="3"/>
  <c r="CD18" i="3"/>
  <c r="CH19" i="3"/>
  <c r="DL19" i="3"/>
  <c r="EG19" i="3"/>
  <c r="FL20" i="3"/>
  <c r="CG21" i="3"/>
  <c r="EF21" i="3"/>
  <c r="FI21" i="3"/>
  <c r="AP23" i="3"/>
  <c r="BI23" i="3"/>
  <c r="BL24" i="3"/>
  <c r="CO24" i="3"/>
  <c r="AV25" i="3"/>
  <c r="BO25" i="3"/>
  <c r="CJ25" i="3"/>
  <c r="CS25" i="3"/>
  <c r="DC25" i="3"/>
  <c r="DN25" i="3"/>
  <c r="BO26" i="3"/>
  <c r="CH26" i="3"/>
  <c r="DI27" i="3"/>
  <c r="EM28" i="3"/>
  <c r="DX29" i="3"/>
  <c r="FL29" i="3"/>
  <c r="AU30" i="3"/>
  <c r="CI30" i="3"/>
  <c r="EO31" i="3"/>
  <c r="AL39" i="3"/>
  <c r="DY39" i="3"/>
  <c r="FY8" i="4"/>
  <c r="FF9" i="3"/>
  <c r="DE4" i="5"/>
  <c r="CL11" i="3"/>
  <c r="BN7" i="5"/>
  <c r="AT13" i="3"/>
  <c r="CK7" i="5"/>
  <c r="BR13" i="3"/>
  <c r="FH7" i="5"/>
  <c r="EO13" i="3"/>
  <c r="BO8" i="5"/>
  <c r="AU14" i="3"/>
  <c r="DB8" i="5"/>
  <c r="CI14" i="3"/>
  <c r="CQ9" i="5"/>
  <c r="BX15" i="3"/>
  <c r="EX9" i="5"/>
  <c r="EE15" i="3"/>
  <c r="CO7" i="6"/>
  <c r="BV20" i="3"/>
  <c r="GB7" i="6"/>
  <c r="FI20" i="3"/>
  <c r="ES8" i="6"/>
  <c r="DZ21" i="3"/>
  <c r="GG23" i="1"/>
  <c r="FN21" i="3" s="1"/>
  <c r="CF8" i="7"/>
  <c r="BL27" i="3"/>
  <c r="FJ13" i="7"/>
  <c r="EQ31" i="3"/>
  <c r="DJ12" i="7"/>
  <c r="CQ33" i="3"/>
  <c r="DT12" i="7"/>
  <c r="DA33" i="3"/>
  <c r="FQ17" i="7"/>
  <c r="EX29" i="3"/>
  <c r="FY16" i="7"/>
  <c r="FF34" i="3"/>
  <c r="CL4" i="8"/>
  <c r="BS38" i="3"/>
  <c r="BH5" i="8"/>
  <c r="AN39" i="3"/>
  <c r="DL5" i="8"/>
  <c r="CS39" i="3"/>
  <c r="DV5" i="8"/>
  <c r="DC39" i="3"/>
  <c r="DB7" i="3"/>
  <c r="DJ7" i="3"/>
  <c r="DR7" i="3"/>
  <c r="DZ7" i="3"/>
  <c r="EH7" i="3"/>
  <c r="EP7" i="3"/>
  <c r="EX7" i="3"/>
  <c r="FF7" i="3"/>
  <c r="AM8" i="3"/>
  <c r="BS8" i="3"/>
  <c r="DS9" i="3"/>
  <c r="FG9" i="3"/>
  <c r="EU13" i="3"/>
  <c r="FI15" i="3"/>
  <c r="AH18" i="3"/>
  <c r="AW19" i="3"/>
  <c r="DD19" i="3"/>
  <c r="ER19" i="3"/>
  <c r="BI20" i="3"/>
  <c r="CY20" i="3"/>
  <c r="DH20" i="3"/>
  <c r="EA20" i="3"/>
  <c r="FD20" i="3"/>
  <c r="BY21" i="3"/>
  <c r="DM21" i="3"/>
  <c r="DX21" i="3"/>
  <c r="BA23" i="3"/>
  <c r="BV23" i="3"/>
  <c r="CO23" i="3"/>
  <c r="AV24" i="3"/>
  <c r="BY24" i="3"/>
  <c r="AF25" i="3"/>
  <c r="CB25" i="3"/>
  <c r="BG26" i="3"/>
  <c r="FE27" i="3"/>
  <c r="DW28" i="3"/>
  <c r="CL12" i="3"/>
  <c r="DM15" i="3"/>
  <c r="AI17" i="3"/>
  <c r="BW17" i="3"/>
  <c r="DQ19" i="3"/>
  <c r="FM19" i="3"/>
  <c r="CG20" i="3"/>
  <c r="EV20" i="3"/>
  <c r="CU21" i="3"/>
  <c r="BN23" i="3"/>
  <c r="FX6" i="6"/>
  <c r="FE19" i="3"/>
  <c r="FL8" i="6"/>
  <c r="ES21" i="3"/>
  <c r="BB4" i="7"/>
  <c r="AH23" i="3"/>
  <c r="CW4" i="7"/>
  <c r="CD23" i="3"/>
  <c r="ED6" i="7"/>
  <c r="DK25" i="3"/>
  <c r="DH7" i="6"/>
  <c r="CO20" i="3"/>
  <c r="AN9" i="3"/>
  <c r="CL15" i="3"/>
  <c r="BG17" i="3"/>
  <c r="BU19" i="3"/>
  <c r="CJ20" i="3"/>
  <c r="DK20" i="3"/>
  <c r="BF23" i="3"/>
  <c r="DJ6" i="6"/>
  <c r="CQ19" i="3"/>
  <c r="EB6" i="6"/>
  <c r="DI19" i="3"/>
  <c r="EI7" i="6"/>
  <c r="DP20" i="3"/>
  <c r="CW8" i="6"/>
  <c r="CD21" i="3"/>
  <c r="BM5" i="7"/>
  <c r="AS24" i="3"/>
  <c r="DE15" i="3"/>
  <c r="ES15" i="3"/>
  <c r="BD20" i="3"/>
  <c r="EN20" i="3"/>
  <c r="FG20" i="3"/>
  <c r="EC21" i="3"/>
  <c r="BI24" i="3"/>
  <c r="BS6" i="3"/>
  <c r="EX6" i="3"/>
  <c r="BK7" i="3"/>
  <c r="BC8" i="3"/>
  <c r="EA9" i="3"/>
  <c r="EY9" i="3"/>
  <c r="BL11" i="3"/>
  <c r="AJ13" i="3"/>
  <c r="EK15" i="3"/>
  <c r="BF18" i="3"/>
  <c r="CL18" i="3"/>
  <c r="AG19" i="3"/>
  <c r="BM19" i="3"/>
  <c r="DT19" i="3"/>
  <c r="EW19" i="3"/>
  <c r="CB20" i="3"/>
  <c r="DC20" i="3"/>
  <c r="EF20" i="3"/>
  <c r="EY20" i="3"/>
  <c r="BQ23" i="3"/>
  <c r="AF24" i="3"/>
  <c r="BA24" i="3"/>
  <c r="BT24" i="3"/>
  <c r="BD25" i="3"/>
  <c r="AI26" i="3"/>
  <c r="BB26" i="3"/>
  <c r="BW26" i="3"/>
  <c r="DI26" i="3"/>
  <c r="EW26" i="3"/>
  <c r="DY27" i="3"/>
  <c r="BC30" i="3"/>
  <c r="DI31" i="3"/>
  <c r="AS38" i="3"/>
  <c r="CG38" i="3"/>
  <c r="CY38" i="3"/>
  <c r="BX4" i="5"/>
  <c r="BD11" i="3"/>
  <c r="DQ7" i="5"/>
  <c r="CX13" i="3"/>
  <c r="DZ7" i="5"/>
  <c r="DG13" i="3"/>
  <c r="BS4" i="6"/>
  <c r="AY17" i="3"/>
  <c r="CH5" i="6"/>
  <c r="BN18" i="3"/>
  <c r="FJ7" i="6"/>
  <c r="EQ20" i="3"/>
  <c r="EZ7" i="7"/>
  <c r="EG26" i="3"/>
  <c r="CL10" i="7"/>
  <c r="BS30" i="3"/>
  <c r="EZ13" i="7"/>
  <c r="EG31" i="3"/>
  <c r="FG17" i="7"/>
  <c r="EN29" i="3"/>
  <c r="CC4" i="8"/>
  <c r="BI38" i="3"/>
  <c r="CS5" i="8"/>
  <c r="BZ39" i="3"/>
  <c r="FH5" i="8"/>
  <c r="EO39" i="3"/>
  <c r="CM26" i="3"/>
  <c r="CV26" i="3"/>
  <c r="DN26" i="3"/>
  <c r="FJ26" i="3"/>
  <c r="DF27" i="3"/>
  <c r="DN27" i="3"/>
  <c r="DV27" i="3"/>
  <c r="ED27" i="3"/>
  <c r="EL27" i="3"/>
  <c r="ET27" i="3"/>
  <c r="FB27" i="3"/>
  <c r="FJ27" i="3"/>
  <c r="AZ30" i="3"/>
  <c r="FJ31" i="3"/>
  <c r="CU32" i="3"/>
  <c r="AM7" i="3"/>
  <c r="BF8" i="4"/>
  <c r="AL9" i="3"/>
  <c r="BN8" i="4"/>
  <c r="AT9" i="3"/>
  <c r="BV8" i="4"/>
  <c r="BB9" i="3"/>
  <c r="CD8" i="4"/>
  <c r="BJ9" i="3"/>
  <c r="CK8" i="4"/>
  <c r="BR9" i="3"/>
  <c r="CS8" i="4"/>
  <c r="BZ9" i="3"/>
  <c r="DA8" i="4"/>
  <c r="CH9" i="3"/>
  <c r="EJ8" i="4"/>
  <c r="DQ9" i="3"/>
  <c r="ER8" i="4"/>
  <c r="DY9" i="3"/>
  <c r="EZ8" i="4"/>
  <c r="EG9" i="3"/>
  <c r="FP8" i="4"/>
  <c r="EW9" i="3"/>
  <c r="FX8" i="4"/>
  <c r="FE9" i="3"/>
  <c r="BH4" i="5"/>
  <c r="AN11" i="3"/>
  <c r="BP4" i="5"/>
  <c r="AV11" i="3"/>
  <c r="CM4" i="5"/>
  <c r="BT11" i="3"/>
  <c r="CU4" i="5"/>
  <c r="CB11" i="3"/>
  <c r="DC4" i="5"/>
  <c r="CJ11" i="3"/>
  <c r="BB5" i="5"/>
  <c r="AH12" i="3"/>
  <c r="BJ5" i="5"/>
  <c r="AP12" i="3"/>
  <c r="BR5" i="5"/>
  <c r="AX12" i="3"/>
  <c r="BZ5" i="5"/>
  <c r="BF12" i="3"/>
  <c r="CO5" i="5"/>
  <c r="BV12" i="3"/>
  <c r="CW5" i="5"/>
  <c r="CD12" i="3"/>
  <c r="BL7" i="5"/>
  <c r="AR13" i="3"/>
  <c r="CB7" i="5"/>
  <c r="BH13" i="3"/>
  <c r="CQ7" i="5"/>
  <c r="BX13" i="3"/>
  <c r="CY7" i="5"/>
  <c r="CF13" i="3"/>
  <c r="EP7" i="5"/>
  <c r="DW13" i="3"/>
  <c r="EX7" i="5"/>
  <c r="EE13" i="3"/>
  <c r="FF7" i="5"/>
  <c r="EM13" i="3"/>
  <c r="GD7" i="5"/>
  <c r="FK13" i="3"/>
  <c r="AM6" i="3"/>
  <c r="CA6" i="3"/>
  <c r="CA7" i="3"/>
  <c r="CQ9" i="3"/>
  <c r="DA9" i="3"/>
  <c r="BF5" i="4"/>
  <c r="AL8" i="3"/>
  <c r="BN5" i="4"/>
  <c r="AT8" i="3"/>
  <c r="BB8" i="3"/>
  <c r="BV5" i="4"/>
  <c r="CD5" i="4"/>
  <c r="BJ8" i="3"/>
  <c r="CK5" i="4"/>
  <c r="BR8" i="3"/>
  <c r="CS5" i="4"/>
  <c r="BZ8" i="3"/>
  <c r="DA5" i="4"/>
  <c r="CH8" i="3"/>
  <c r="DJ5" i="4"/>
  <c r="CQ8" i="3"/>
  <c r="EB5" i="4"/>
  <c r="DI8" i="3"/>
  <c r="EJ5" i="4"/>
  <c r="DQ8" i="3"/>
  <c r="ER5" i="4"/>
  <c r="DY8" i="3"/>
  <c r="FH5" i="4"/>
  <c r="EO8" i="3"/>
  <c r="FP5" i="4"/>
  <c r="EW8" i="3"/>
  <c r="GF5" i="4"/>
  <c r="GG8" i="1"/>
  <c r="FN8" i="3" s="1"/>
  <c r="DB7" i="4"/>
  <c r="CI6" i="3"/>
  <c r="DK7" i="4"/>
  <c r="CR6" i="3"/>
  <c r="DU7" i="4"/>
  <c r="DB6" i="3"/>
  <c r="EC7" i="4"/>
  <c r="DJ6" i="3"/>
  <c r="EK7" i="4"/>
  <c r="DR6" i="3"/>
  <c r="FA7" i="4"/>
  <c r="EH6" i="3"/>
  <c r="FI7" i="4"/>
  <c r="EP6" i="3"/>
  <c r="DK4" i="4"/>
  <c r="CR7" i="3"/>
  <c r="FF6" i="3"/>
  <c r="AR6" i="3"/>
  <c r="AZ6" i="3"/>
  <c r="CF6" i="3"/>
  <c r="AK6" i="3"/>
  <c r="AS6" i="3"/>
  <c r="BA6" i="3"/>
  <c r="BI6" i="3"/>
  <c r="BY6" i="3"/>
  <c r="CG6" i="3"/>
  <c r="CO6" i="3"/>
  <c r="CX6" i="3"/>
  <c r="DG6" i="3"/>
  <c r="DP6" i="3"/>
  <c r="EQ6" i="3"/>
  <c r="EZ6" i="3"/>
  <c r="AG7" i="3"/>
  <c r="AO7" i="3"/>
  <c r="AW7" i="3"/>
  <c r="BE7" i="3"/>
  <c r="BM7" i="3"/>
  <c r="BU7" i="3"/>
  <c r="CC7" i="3"/>
  <c r="CK7" i="3"/>
  <c r="CS7" i="3"/>
  <c r="AH8" i="3"/>
  <c r="AP8" i="3"/>
  <c r="AX8" i="3"/>
  <c r="BF8" i="3"/>
  <c r="BN8" i="3"/>
  <c r="BV8" i="3"/>
  <c r="CD8" i="3"/>
  <c r="CM8" i="3"/>
  <c r="CV8" i="3"/>
  <c r="DE8" i="3"/>
  <c r="DN8" i="3"/>
  <c r="DW8" i="3"/>
  <c r="EY8" i="3"/>
  <c r="AH9" i="3"/>
  <c r="AP9" i="3"/>
  <c r="AX9" i="3"/>
  <c r="BF9" i="3"/>
  <c r="BN9" i="3"/>
  <c r="BV9" i="3"/>
  <c r="CD9" i="3"/>
  <c r="CL9" i="3"/>
  <c r="DC9" i="3"/>
  <c r="DU9" i="3"/>
  <c r="ED9" i="3"/>
  <c r="EM9" i="3"/>
  <c r="BY11" i="3"/>
  <c r="AL12" i="3"/>
  <c r="AT12" i="3"/>
  <c r="BC12" i="3"/>
  <c r="BD13" i="3"/>
  <c r="DS13" i="3"/>
  <c r="FG13" i="3"/>
  <c r="BL8" i="5"/>
  <c r="AR14" i="3"/>
  <c r="EX8" i="5"/>
  <c r="EE14" i="3"/>
  <c r="DD9" i="5"/>
  <c r="CK15" i="3"/>
  <c r="DM9" i="5"/>
  <c r="CT15" i="3"/>
  <c r="EE9" i="5"/>
  <c r="DL15" i="3"/>
  <c r="BY4" i="6"/>
  <c r="BE17" i="3"/>
  <c r="BC4" i="8"/>
  <c r="AI38" i="3"/>
  <c r="CI4" i="8"/>
  <c r="BO38" i="3"/>
  <c r="GI7" i="1"/>
  <c r="FP7" i="3" s="1"/>
  <c r="EU6" i="3"/>
  <c r="AJ7" i="3"/>
  <c r="AZ7" i="3"/>
  <c r="CF7" i="3"/>
  <c r="DJ8" i="6"/>
  <c r="CQ21" i="3"/>
  <c r="EB8" i="6"/>
  <c r="DI21" i="3"/>
  <c r="CD4" i="7"/>
  <c r="BJ23" i="3"/>
  <c r="BA5" i="7"/>
  <c r="AG24" i="3"/>
  <c r="CG5" i="7"/>
  <c r="BM24" i="3"/>
  <c r="BT6" i="7"/>
  <c r="AZ25" i="3"/>
  <c r="CY6" i="7"/>
  <c r="CF25" i="3"/>
  <c r="DQ6" i="7"/>
  <c r="CX25" i="3"/>
  <c r="DZ6" i="7"/>
  <c r="DG25" i="3"/>
  <c r="BG7" i="7"/>
  <c r="AM26" i="3"/>
  <c r="CL7" i="7"/>
  <c r="BS26" i="3"/>
  <c r="ES7" i="7"/>
  <c r="DZ26" i="3"/>
  <c r="FY7" i="7"/>
  <c r="FF26" i="3"/>
  <c r="BW8" i="7"/>
  <c r="BC27" i="3"/>
  <c r="DB8" i="7"/>
  <c r="CI27" i="3"/>
  <c r="DK8" i="7"/>
  <c r="CR27" i="3"/>
  <c r="FO9" i="7"/>
  <c r="EV28" i="3"/>
  <c r="BX10" i="7"/>
  <c r="BD30" i="3"/>
  <c r="DC10" i="7"/>
  <c r="CJ30" i="3"/>
  <c r="DL10" i="7"/>
  <c r="CS30" i="3"/>
  <c r="EC13" i="7"/>
  <c r="DJ31" i="3"/>
  <c r="FI13" i="7"/>
  <c r="EP31" i="3"/>
  <c r="DR12" i="7"/>
  <c r="CY33" i="3"/>
  <c r="FH17" i="7"/>
  <c r="EO29" i="3"/>
  <c r="AR7" i="3"/>
  <c r="BH7" i="3"/>
  <c r="BX7" i="3"/>
  <c r="CN7" i="3"/>
  <c r="AG6" i="3"/>
  <c r="AO6" i="3"/>
  <c r="AW6" i="3"/>
  <c r="BE6" i="3"/>
  <c r="BM6" i="3"/>
  <c r="BU6" i="3"/>
  <c r="CC6" i="3"/>
  <c r="CK6" i="3"/>
  <c r="CS6" i="3"/>
  <c r="DK6" i="3"/>
  <c r="DT6" i="3"/>
  <c r="EM6" i="3"/>
  <c r="EV6" i="3"/>
  <c r="AK7" i="3"/>
  <c r="AS7" i="3"/>
  <c r="BA7" i="3"/>
  <c r="BI7" i="3"/>
  <c r="BQ7" i="3"/>
  <c r="BY7" i="3"/>
  <c r="CG7" i="3"/>
  <c r="CO7" i="3"/>
  <c r="DS8" i="3"/>
  <c r="EK8" i="3"/>
  <c r="ET8" i="3"/>
  <c r="FC8" i="3"/>
  <c r="CX9" i="3"/>
  <c r="DG9" i="3"/>
  <c r="DZ9" i="3"/>
  <c r="EI9" i="3"/>
  <c r="FA9" i="3"/>
  <c r="FJ9" i="3"/>
  <c r="AJ11" i="3"/>
  <c r="AS11" i="3"/>
  <c r="BB11" i="3"/>
  <c r="CC11" i="3"/>
  <c r="BZ12" i="3"/>
  <c r="CI12" i="3"/>
  <c r="AO13" i="3"/>
  <c r="CC13" i="3"/>
  <c r="ER13" i="3"/>
  <c r="BM14" i="3"/>
  <c r="DL14" i="3"/>
  <c r="FH14" i="3"/>
  <c r="DQ15" i="3"/>
  <c r="BB23" i="3"/>
  <c r="CM8" i="5"/>
  <c r="BT14" i="3"/>
  <c r="CH7" i="6"/>
  <c r="BN20" i="3"/>
  <c r="CL8" i="6"/>
  <c r="BS21" i="3"/>
  <c r="CT8" i="6"/>
  <c r="CA21" i="3"/>
  <c r="DB8" i="6"/>
  <c r="CI21" i="3"/>
  <c r="EK8" i="6"/>
  <c r="DR21" i="3"/>
  <c r="BH7" i="5"/>
  <c r="AN13" i="3"/>
  <c r="ET7" i="5"/>
  <c r="EA13" i="3"/>
  <c r="CV8" i="5"/>
  <c r="CC14" i="3"/>
  <c r="DW8" i="5"/>
  <c r="DD14" i="3"/>
  <c r="CK9" i="5"/>
  <c r="BR15" i="3"/>
  <c r="FX9" i="5"/>
  <c r="FE15" i="3"/>
  <c r="CC5" i="6"/>
  <c r="BI18" i="3"/>
  <c r="DG6" i="6"/>
  <c r="CN19" i="3"/>
  <c r="EH6" i="6"/>
  <c r="DO19" i="3"/>
  <c r="CP7" i="6"/>
  <c r="BW20" i="3"/>
  <c r="DY7" i="6"/>
  <c r="DF20" i="3"/>
  <c r="EG7" i="6"/>
  <c r="DN20" i="3"/>
  <c r="EO7" i="6"/>
  <c r="DV20" i="3"/>
  <c r="EW7" i="6"/>
  <c r="ED20" i="3"/>
  <c r="FE7" i="6"/>
  <c r="EL20" i="3"/>
  <c r="FM7" i="6"/>
  <c r="ET20" i="3"/>
  <c r="FU7" i="6"/>
  <c r="FB20" i="3"/>
  <c r="GC7" i="6"/>
  <c r="FJ20" i="3"/>
  <c r="GH7" i="1"/>
  <c r="FO7" i="3" s="1"/>
  <c r="BQ7" i="5"/>
  <c r="AW13" i="3"/>
  <c r="FC7" i="5"/>
  <c r="EJ13" i="3"/>
  <c r="DE8" i="5"/>
  <c r="CL14" i="3"/>
  <c r="DN8" i="5"/>
  <c r="CU14" i="3"/>
  <c r="EF8" i="5"/>
  <c r="DM14" i="3"/>
  <c r="GG17" i="1"/>
  <c r="FN15" i="3" s="1"/>
  <c r="BG4" i="6"/>
  <c r="AM17" i="3"/>
  <c r="CK5" i="6"/>
  <c r="BR18" i="3"/>
  <c r="BE6" i="6"/>
  <c r="AK19" i="3"/>
  <c r="EQ6" i="6"/>
  <c r="DX19" i="3"/>
  <c r="GE6" i="6"/>
  <c r="GG21" i="1"/>
  <c r="FN19" i="3" s="1"/>
  <c r="AJ6" i="3"/>
  <c r="BH6" i="3"/>
  <c r="BX6" i="3"/>
  <c r="CN6" i="3"/>
  <c r="DO6" i="3"/>
  <c r="BP5" i="5"/>
  <c r="AV12" i="3"/>
  <c r="BX5" i="5"/>
  <c r="BD12" i="3"/>
  <c r="CF5" i="5"/>
  <c r="BL12" i="3"/>
  <c r="CM5" i="5"/>
  <c r="BT12" i="3"/>
  <c r="CU5" i="5"/>
  <c r="CB12" i="3"/>
  <c r="DC5" i="5"/>
  <c r="CJ12" i="3"/>
  <c r="BZ7" i="5"/>
  <c r="BF13" i="3"/>
  <c r="CA5" i="8"/>
  <c r="BG39" i="3"/>
  <c r="DF5" i="8"/>
  <c r="CM39" i="3"/>
  <c r="DO5" i="8"/>
  <c r="CV39" i="3"/>
  <c r="EG5" i="8"/>
  <c r="DN39" i="3"/>
  <c r="FM5" i="8"/>
  <c r="ET39" i="3"/>
  <c r="FL7" i="5"/>
  <c r="CG13" i="3"/>
  <c r="CJ18" i="3"/>
  <c r="BC19" i="3"/>
  <c r="GI23" i="1"/>
  <c r="FP21" i="3" s="1"/>
  <c r="GH35" i="1"/>
  <c r="FO29" i="3" s="1"/>
  <c r="GH38" i="1"/>
  <c r="FO36" i="3" s="1"/>
  <c r="GG37" i="1"/>
  <c r="FN35" i="3" s="1"/>
  <c r="GG22" i="1"/>
  <c r="FN20" i="3" s="1"/>
  <c r="GG40" i="1"/>
  <c r="FN38" i="3" s="1"/>
  <c r="GG15" i="1"/>
  <c r="FN13" i="3" s="1"/>
  <c r="EW7" i="4"/>
  <c r="GI6" i="1"/>
  <c r="FP6" i="3" s="1"/>
  <c r="GI10" i="1"/>
  <c r="EW6" i="4"/>
  <c r="DR4" i="6"/>
  <c r="CY17" i="3"/>
  <c r="BD5" i="6"/>
  <c r="AJ18" i="3"/>
  <c r="BT5" i="6"/>
  <c r="AZ18" i="3"/>
  <c r="DG5" i="6"/>
  <c r="CN18" i="3"/>
  <c r="CX18" i="3"/>
  <c r="DQ5" i="6"/>
  <c r="BC6" i="6"/>
  <c r="AI19" i="3"/>
  <c r="BK6" i="6"/>
  <c r="AQ19" i="3"/>
  <c r="BS6" i="6"/>
  <c r="AY19" i="3"/>
  <c r="CA6" i="6"/>
  <c r="BG19" i="3"/>
  <c r="CI6" i="6"/>
  <c r="BO19" i="3"/>
  <c r="CP6" i="6"/>
  <c r="BW19" i="3"/>
  <c r="CX6" i="6"/>
  <c r="CE19" i="3"/>
  <c r="DF6" i="6"/>
  <c r="CM19" i="3"/>
  <c r="DO6" i="6"/>
  <c r="CV19" i="3"/>
  <c r="EG6" i="6"/>
  <c r="DN19" i="3"/>
  <c r="EO6" i="6"/>
  <c r="DV19" i="3"/>
  <c r="EW6" i="6"/>
  <c r="GI21" i="1"/>
  <c r="FP19" i="3" s="1"/>
  <c r="ED19" i="3"/>
  <c r="FE6" i="6"/>
  <c r="EL19" i="3"/>
  <c r="FM6" i="6"/>
  <c r="ET19" i="3"/>
  <c r="FU6" i="6"/>
  <c r="FB19" i="3"/>
  <c r="GC6" i="6"/>
  <c r="GH21" i="1"/>
  <c r="FO19" i="3" s="1"/>
  <c r="FJ19" i="3"/>
  <c r="CV6" i="3"/>
  <c r="AK17" i="3"/>
  <c r="AS17" i="3"/>
  <c r="BA17" i="3"/>
  <c r="BI17" i="3"/>
  <c r="BQ17" i="3"/>
  <c r="BY17" i="3"/>
  <c r="CG17" i="3"/>
  <c r="CO17" i="3"/>
  <c r="GH8" i="1"/>
  <c r="FO8" i="3" s="1"/>
  <c r="BF8" i="7"/>
  <c r="AL27" i="3"/>
  <c r="BN8" i="7"/>
  <c r="AT27" i="3"/>
  <c r="BV8" i="7"/>
  <c r="BB27" i="3"/>
  <c r="CD8" i="7"/>
  <c r="BJ27" i="3"/>
  <c r="CK8" i="7"/>
  <c r="BR27" i="3"/>
  <c r="CS8" i="7"/>
  <c r="BZ27" i="3"/>
  <c r="DA8" i="7"/>
  <c r="CH27" i="3"/>
  <c r="DJ8" i="7"/>
  <c r="CQ27" i="3"/>
  <c r="GF8" i="7"/>
  <c r="GI29" i="1"/>
  <c r="FP27" i="3" s="1"/>
  <c r="GG29" i="1"/>
  <c r="FN27" i="3" s="1"/>
  <c r="BB5" i="8"/>
  <c r="AH39" i="3"/>
  <c r="BJ5" i="8"/>
  <c r="AP39" i="3"/>
  <c r="BR5" i="8"/>
  <c r="AX39" i="3"/>
  <c r="BZ5" i="8"/>
  <c r="BF39" i="3"/>
  <c r="CH5" i="8"/>
  <c r="BN39" i="3"/>
  <c r="CO5" i="8"/>
  <c r="BV39" i="3"/>
  <c r="CW5" i="8"/>
  <c r="CD39" i="3"/>
  <c r="DE5" i="8"/>
  <c r="CL39" i="3"/>
  <c r="DN5" i="8"/>
  <c r="CU39" i="3"/>
  <c r="DX5" i="8"/>
  <c r="DE39" i="3"/>
  <c r="EF5" i="8"/>
  <c r="DM39" i="3"/>
  <c r="EN5" i="8"/>
  <c r="DU39" i="3"/>
  <c r="EV5" i="8"/>
  <c r="EC39" i="3"/>
  <c r="FD5" i="8"/>
  <c r="EK39" i="3"/>
  <c r="FL5" i="8"/>
  <c r="ES39" i="3"/>
  <c r="FT5" i="8"/>
  <c r="FA39" i="3"/>
  <c r="GB5" i="8"/>
  <c r="FI39" i="3"/>
  <c r="CT9" i="5"/>
  <c r="CA15" i="3"/>
  <c r="DB9" i="5"/>
  <c r="CI15" i="3"/>
  <c r="DK9" i="5"/>
  <c r="CR15" i="3"/>
  <c r="DU9" i="5"/>
  <c r="DB15" i="3"/>
  <c r="EK9" i="5"/>
  <c r="DR15" i="3"/>
  <c r="ES9" i="5"/>
  <c r="DZ15" i="3"/>
  <c r="FA9" i="5"/>
  <c r="EH15" i="3"/>
  <c r="FI9" i="5"/>
  <c r="EP15" i="3"/>
  <c r="FQ9" i="5"/>
  <c r="EX15" i="3"/>
  <c r="FY9" i="5"/>
  <c r="FF15" i="3"/>
  <c r="DJ11" i="7"/>
  <c r="CQ32" i="3"/>
  <c r="EB14" i="7"/>
  <c r="EB11" i="7"/>
  <c r="EJ14" i="7"/>
  <c r="EJ11" i="7"/>
  <c r="EZ14" i="7"/>
  <c r="EZ11" i="7"/>
  <c r="FH14" i="7"/>
  <c r="FH11" i="7"/>
  <c r="FP14" i="7"/>
  <c r="FP11" i="7"/>
  <c r="GF14" i="7"/>
  <c r="GF11" i="7"/>
  <c r="GI33" i="1"/>
  <c r="FP32" i="3" s="1"/>
  <c r="GG33" i="1"/>
  <c r="FN32" i="3" s="1"/>
  <c r="EI16" i="7"/>
  <c r="DP34" i="3"/>
  <c r="EQ16" i="7"/>
  <c r="DX34" i="3"/>
  <c r="EY16" i="7"/>
  <c r="EF34" i="3"/>
  <c r="FG16" i="7"/>
  <c r="EN34" i="3"/>
  <c r="FO16" i="7"/>
  <c r="EV34" i="3"/>
  <c r="FW16" i="7"/>
  <c r="FD34" i="3"/>
  <c r="GE16" i="7"/>
  <c r="FL34" i="3"/>
  <c r="EA8" i="5"/>
  <c r="DF6" i="3"/>
  <c r="DN6" i="3"/>
  <c r="DV6" i="3"/>
  <c r="ED6" i="3"/>
  <c r="EL6" i="3"/>
  <c r="ET6" i="3"/>
  <c r="FB6" i="3"/>
  <c r="DB8" i="3"/>
  <c r="DJ8" i="3"/>
  <c r="DR8" i="3"/>
  <c r="DZ8" i="3"/>
  <c r="EH8" i="3"/>
  <c r="EP8" i="3"/>
  <c r="EX8" i="3"/>
  <c r="FF8" i="3"/>
  <c r="AK14" i="3"/>
  <c r="AS14" i="3"/>
  <c r="BA14" i="3"/>
  <c r="BI14" i="3"/>
  <c r="BQ14" i="3"/>
  <c r="BY14" i="3"/>
  <c r="CG14" i="3"/>
  <c r="CO14" i="3"/>
  <c r="DR8" i="4"/>
  <c r="CY9" i="3"/>
  <c r="DH9" i="3"/>
  <c r="EA8" i="4"/>
  <c r="EI8" i="4"/>
  <c r="DP9" i="3"/>
  <c r="EQ8" i="4"/>
  <c r="DX9" i="3"/>
  <c r="EY8" i="4"/>
  <c r="EF9" i="3"/>
  <c r="FG8" i="4"/>
  <c r="EN9" i="3"/>
  <c r="EV9" i="3"/>
  <c r="FO8" i="4"/>
  <c r="FW8" i="4"/>
  <c r="FD9" i="3"/>
  <c r="GE8" i="4"/>
  <c r="FL9" i="3"/>
  <c r="BG4" i="7"/>
  <c r="AM23" i="3"/>
  <c r="BO4" i="7"/>
  <c r="AU23" i="3"/>
  <c r="BW4" i="7"/>
  <c r="BC23" i="3"/>
  <c r="CE4" i="7"/>
  <c r="BK23" i="3"/>
  <c r="CL4" i="7"/>
  <c r="BS23" i="3"/>
  <c r="CT4" i="7"/>
  <c r="CA23" i="3"/>
  <c r="DB4" i="7"/>
  <c r="CI23" i="3"/>
  <c r="DK4" i="7"/>
  <c r="CR23" i="3"/>
  <c r="BB5" i="7"/>
  <c r="AH24" i="3"/>
  <c r="BJ5" i="7"/>
  <c r="AP24" i="3"/>
  <c r="BR5" i="7"/>
  <c r="AX24" i="3"/>
  <c r="BZ5" i="7"/>
  <c r="BF24" i="3"/>
  <c r="CH5" i="7"/>
  <c r="BN24" i="3"/>
  <c r="CO5" i="7"/>
  <c r="BV24" i="3"/>
  <c r="CW5" i="7"/>
  <c r="CD24" i="3"/>
  <c r="DE5" i="7"/>
  <c r="CL24" i="3"/>
  <c r="DN5" i="7"/>
  <c r="CU24" i="3"/>
  <c r="DX5" i="7"/>
  <c r="DE24" i="3"/>
  <c r="EF5" i="7"/>
  <c r="DM24" i="3"/>
  <c r="BE6" i="7"/>
  <c r="AK25" i="3"/>
  <c r="BM6" i="7"/>
  <c r="AS25" i="3"/>
  <c r="BU6" i="7"/>
  <c r="BA25" i="3"/>
  <c r="CC6" i="7"/>
  <c r="BI25" i="3"/>
  <c r="CJ6" i="7"/>
  <c r="BQ25" i="3"/>
  <c r="CR6" i="7"/>
  <c r="BY25" i="3"/>
  <c r="CZ6" i="7"/>
  <c r="CG25" i="3"/>
  <c r="DH6" i="7"/>
  <c r="CO25" i="3"/>
  <c r="DR6" i="7"/>
  <c r="CY25" i="3"/>
  <c r="EA6" i="7"/>
  <c r="DH25" i="3"/>
  <c r="AZ7" i="7"/>
  <c r="AF26" i="3"/>
  <c r="BH7" i="7"/>
  <c r="AN26" i="3"/>
  <c r="BP7" i="7"/>
  <c r="AV26" i="3"/>
  <c r="BX7" i="7"/>
  <c r="BD26" i="3"/>
  <c r="CF7" i="7"/>
  <c r="BL26" i="3"/>
  <c r="CM7" i="7"/>
  <c r="BT26" i="3"/>
  <c r="CU7" i="7"/>
  <c r="CB26" i="3"/>
  <c r="DC7" i="7"/>
  <c r="CJ26" i="3"/>
  <c r="DL7" i="7"/>
  <c r="CS26" i="3"/>
  <c r="DV7" i="7"/>
  <c r="DC26" i="3"/>
  <c r="ED7" i="7"/>
  <c r="DK26" i="3"/>
  <c r="EL7" i="7"/>
  <c r="DS26" i="3"/>
  <c r="ET7" i="7"/>
  <c r="EA26" i="3"/>
  <c r="FB7" i="7"/>
  <c r="EI26" i="3"/>
  <c r="FJ7" i="7"/>
  <c r="EQ26" i="3"/>
  <c r="FR7" i="7"/>
  <c r="EY26" i="3"/>
  <c r="FZ7" i="7"/>
  <c r="FG26" i="3"/>
  <c r="GH28" i="1"/>
  <c r="BD4" i="8"/>
  <c r="AJ38" i="3"/>
  <c r="BL4" i="8"/>
  <c r="AR38" i="3"/>
  <c r="BT4" i="8"/>
  <c r="AZ38" i="3"/>
  <c r="CB4" i="8"/>
  <c r="BH38" i="3"/>
  <c r="CQ4" i="8"/>
  <c r="BX38" i="3"/>
  <c r="CY4" i="8"/>
  <c r="CF38" i="3"/>
  <c r="DG4" i="8"/>
  <c r="CN38" i="3"/>
  <c r="DQ4" i="8"/>
  <c r="CX38" i="3"/>
  <c r="GD4" i="8"/>
  <c r="GH40" i="1"/>
  <c r="FO38" i="3" s="1"/>
  <c r="FO8" i="5"/>
  <c r="CL9" i="5"/>
  <c r="BS15" i="3"/>
  <c r="EC9" i="5"/>
  <c r="DJ15" i="3"/>
  <c r="ER14" i="7"/>
  <c r="ER11" i="7"/>
  <c r="FX14" i="7"/>
  <c r="FX11" i="7"/>
  <c r="EA16" i="7"/>
  <c r="DH34" i="3"/>
  <c r="DM8" i="6"/>
  <c r="CT21" i="3"/>
  <c r="DW8" i="6"/>
  <c r="DD21" i="3"/>
  <c r="EE8" i="6"/>
  <c r="DL21" i="3"/>
  <c r="EM8" i="6"/>
  <c r="DT21" i="3"/>
  <c r="FC8" i="6"/>
  <c r="EJ21" i="3"/>
  <c r="FK8" i="6"/>
  <c r="ER21" i="3"/>
  <c r="FS8" i="6"/>
  <c r="EZ21" i="3"/>
  <c r="GA8" i="6"/>
  <c r="FH21" i="3"/>
  <c r="EL17" i="7"/>
  <c r="DS29" i="3"/>
  <c r="ET17" i="7"/>
  <c r="EA29" i="3"/>
  <c r="FB17" i="7"/>
  <c r="EI29" i="3"/>
  <c r="FJ17" i="7"/>
  <c r="EQ29" i="3"/>
  <c r="FR17" i="7"/>
  <c r="EY29" i="3"/>
  <c r="FZ17" i="7"/>
  <c r="FG29" i="3"/>
  <c r="DK5" i="4"/>
  <c r="CR8" i="3"/>
  <c r="EN13" i="7"/>
  <c r="DU31" i="3"/>
  <c r="EI8" i="5"/>
  <c r="DP14" i="3"/>
  <c r="EQ8" i="5"/>
  <c r="DX14" i="3"/>
  <c r="EY8" i="5"/>
  <c r="EF14" i="3"/>
  <c r="FG8" i="5"/>
  <c r="EN14" i="3"/>
  <c r="FD14" i="3"/>
  <c r="FW8" i="5"/>
  <c r="CA10" i="7"/>
  <c r="BG30" i="3"/>
  <c r="CP10" i="7"/>
  <c r="BW30" i="3"/>
  <c r="DF10" i="7"/>
  <c r="CM30" i="3"/>
  <c r="EF13" i="7"/>
  <c r="DM31" i="3"/>
  <c r="FD13" i="7"/>
  <c r="EK31" i="3"/>
  <c r="FT13" i="7"/>
  <c r="FA31" i="3"/>
  <c r="BW7" i="6"/>
  <c r="BC20" i="3"/>
  <c r="CE7" i="6"/>
  <c r="BK20" i="3"/>
  <c r="CL7" i="6"/>
  <c r="BS20" i="3"/>
  <c r="CT7" i="6"/>
  <c r="CA20" i="3"/>
  <c r="DB7" i="6"/>
  <c r="CI20" i="3"/>
  <c r="DK7" i="6"/>
  <c r="CR20" i="3"/>
  <c r="EM9" i="7"/>
  <c r="DT28" i="3"/>
  <c r="EU9" i="7"/>
  <c r="EB28" i="3"/>
  <c r="FC9" i="7"/>
  <c r="EJ28" i="3"/>
  <c r="FK9" i="7"/>
  <c r="ER28" i="3"/>
  <c r="FS9" i="7"/>
  <c r="EZ28" i="3"/>
  <c r="GA9" i="7"/>
  <c r="FH28" i="3"/>
  <c r="GI38" i="1"/>
  <c r="FP36" i="3" s="1"/>
  <c r="FM36" i="3"/>
  <c r="GG38" i="1"/>
  <c r="FN36" i="3" s="1"/>
  <c r="EU8" i="6"/>
  <c r="DR8" i="5"/>
  <c r="CY14" i="3"/>
  <c r="GE8" i="5"/>
  <c r="FL14" i="3"/>
  <c r="GG16" i="1"/>
  <c r="FN14" i="3" s="1"/>
  <c r="BK10" i="7"/>
  <c r="AQ30" i="3"/>
  <c r="BS10" i="7"/>
  <c r="AY30" i="3"/>
  <c r="CI10" i="7"/>
  <c r="BO30" i="3"/>
  <c r="CX10" i="7"/>
  <c r="CE30" i="3"/>
  <c r="DO10" i="7"/>
  <c r="CV30" i="3"/>
  <c r="DX13" i="7"/>
  <c r="DE31" i="3"/>
  <c r="EV13" i="7"/>
  <c r="EC31" i="3"/>
  <c r="FL13" i="7"/>
  <c r="ES31" i="3"/>
  <c r="GB13" i="7"/>
  <c r="FI31" i="3"/>
  <c r="AI11" i="3"/>
  <c r="BC4" i="5"/>
  <c r="BK4" i="5"/>
  <c r="AQ11" i="3"/>
  <c r="BG11" i="3"/>
  <c r="CA4" i="5"/>
  <c r="CI4" i="5"/>
  <c r="BO11" i="3"/>
  <c r="CP4" i="5"/>
  <c r="BW11" i="3"/>
  <c r="CE11" i="3"/>
  <c r="CX4" i="5"/>
  <c r="CM11" i="3"/>
  <c r="DF4" i="5"/>
  <c r="BG7" i="5"/>
  <c r="AM13" i="3"/>
  <c r="BO7" i="5"/>
  <c r="AU13" i="3"/>
  <c r="BC13" i="3"/>
  <c r="BW7" i="5"/>
  <c r="CE7" i="5"/>
  <c r="BK13" i="3"/>
  <c r="CL7" i="5"/>
  <c r="BS13" i="3"/>
  <c r="CT7" i="5"/>
  <c r="CA13" i="3"/>
  <c r="CI13" i="3"/>
  <c r="DB7" i="5"/>
  <c r="DK7" i="5"/>
  <c r="CR13" i="3"/>
  <c r="DB13" i="3"/>
  <c r="DU7" i="5"/>
  <c r="DJ13" i="3"/>
  <c r="EC7" i="5"/>
  <c r="EK7" i="5"/>
  <c r="DR13" i="3"/>
  <c r="DZ13" i="3"/>
  <c r="ES7" i="5"/>
  <c r="FA7" i="5"/>
  <c r="EH13" i="3"/>
  <c r="FI7" i="5"/>
  <c r="EP13" i="3"/>
  <c r="FQ7" i="5"/>
  <c r="EX13" i="3"/>
  <c r="FY7" i="5"/>
  <c r="FF13" i="3"/>
  <c r="GH33" i="1"/>
  <c r="FO32" i="3" s="1"/>
  <c r="DN12" i="7"/>
  <c r="CU33" i="3"/>
  <c r="DX12" i="7"/>
  <c r="DX15" i="7"/>
  <c r="DE33" i="3"/>
  <c r="EF12" i="7"/>
  <c r="EF15" i="7"/>
  <c r="DM33" i="3"/>
  <c r="EN15" i="7"/>
  <c r="EN12" i="7"/>
  <c r="DU33" i="3"/>
  <c r="EV15" i="7"/>
  <c r="EV12" i="7"/>
  <c r="EC33" i="3"/>
  <c r="FD15" i="7"/>
  <c r="FD12" i="7"/>
  <c r="EK33" i="3"/>
  <c r="FL15" i="7"/>
  <c r="FL12" i="7"/>
  <c r="ES33" i="3"/>
  <c r="FT12" i="7"/>
  <c r="FT15" i="7"/>
  <c r="FA33" i="3"/>
  <c r="GB15" i="7"/>
  <c r="GB12" i="7"/>
  <c r="FI33" i="3"/>
  <c r="DB5" i="4"/>
  <c r="BS4" i="5"/>
  <c r="GC7" i="4"/>
  <c r="GH6" i="1"/>
  <c r="FO6" i="3" s="1"/>
  <c r="AR18" i="3"/>
  <c r="BL5" i="6"/>
  <c r="CB5" i="6"/>
  <c r="BH18" i="3"/>
  <c r="CQ5" i="6"/>
  <c r="BX18" i="3"/>
  <c r="CY5" i="6"/>
  <c r="CF18" i="3"/>
  <c r="DY6" i="6"/>
  <c r="DF19" i="3"/>
  <c r="GH15" i="1"/>
  <c r="FO13" i="3" s="1"/>
  <c r="GH17" i="1"/>
  <c r="FO15" i="3" s="1"/>
  <c r="GH22" i="1"/>
  <c r="FO20" i="3" s="1"/>
  <c r="DU14" i="7"/>
  <c r="DU11" i="7"/>
  <c r="EC14" i="7"/>
  <c r="EC11" i="7"/>
  <c r="EK11" i="7"/>
  <c r="EK14" i="7"/>
  <c r="ES14" i="7"/>
  <c r="ES11" i="7"/>
  <c r="FA14" i="7"/>
  <c r="FA11" i="7"/>
  <c r="FI11" i="7"/>
  <c r="FI14" i="7"/>
  <c r="FQ14" i="7"/>
  <c r="FQ11" i="7"/>
  <c r="FY11" i="7"/>
  <c r="FY14" i="7"/>
  <c r="DY15" i="7"/>
  <c r="DY12" i="7"/>
  <c r="EG12" i="7"/>
  <c r="EG15" i="7"/>
  <c r="EO12" i="7"/>
  <c r="EO15" i="7"/>
  <c r="EW12" i="7"/>
  <c r="EW15" i="7"/>
  <c r="FE15" i="7"/>
  <c r="FE12" i="7"/>
  <c r="FM15" i="7"/>
  <c r="FM12" i="7"/>
  <c r="FU12" i="7"/>
  <c r="FU15" i="7"/>
  <c r="GC15" i="7"/>
  <c r="GC12" i="7"/>
  <c r="GI35" i="1"/>
  <c r="FP29" i="3" s="1"/>
  <c r="GI8" i="1"/>
  <c r="FP8" i="3" s="1"/>
  <c r="GG9" i="1"/>
  <c r="FN9" i="3" s="1"/>
  <c r="GI15" i="1"/>
  <c r="FP13" i="3" s="1"/>
  <c r="GI17" i="1"/>
  <c r="FP15" i="3" s="1"/>
  <c r="GI22" i="1"/>
  <c r="FP20" i="3" s="1"/>
  <c r="GH29" i="1"/>
  <c r="FO27" i="3" s="1"/>
  <c r="DV11" i="7"/>
  <c r="DV14" i="7"/>
  <c r="ED14" i="7"/>
  <c r="ED11" i="7"/>
  <c r="EL11" i="7"/>
  <c r="EL14" i="7"/>
  <c r="ET11" i="7"/>
  <c r="ET14" i="7"/>
  <c r="FB11" i="7"/>
  <c r="FB14" i="7"/>
  <c r="FJ14" i="7"/>
  <c r="FJ11" i="7"/>
  <c r="FR14" i="7"/>
  <c r="FR11" i="7"/>
  <c r="FZ11" i="7"/>
  <c r="FZ14" i="7"/>
  <c r="DZ12" i="7"/>
  <c r="DZ15" i="7"/>
  <c r="EH15" i="7"/>
  <c r="EH12" i="7"/>
  <c r="EP12" i="7"/>
  <c r="EP15" i="7"/>
  <c r="EX15" i="7"/>
  <c r="EX12" i="7"/>
  <c r="FF12" i="7"/>
  <c r="FF15" i="7"/>
  <c r="FN15" i="7"/>
  <c r="FN12" i="7"/>
  <c r="FV15" i="7"/>
  <c r="FV12" i="7"/>
  <c r="GD12" i="7"/>
  <c r="GD15" i="7"/>
  <c r="GG36" i="1"/>
  <c r="FN34" i="3" s="1"/>
  <c r="GH9" i="1"/>
  <c r="FO9" i="3" s="1"/>
  <c r="GH16" i="1"/>
  <c r="FO14" i="3" s="1"/>
  <c r="GH30" i="1"/>
  <c r="DW11" i="7"/>
  <c r="DW14" i="7"/>
  <c r="EE11" i="7"/>
  <c r="EE14" i="7"/>
  <c r="EM14" i="7"/>
  <c r="EM11" i="7"/>
  <c r="EU14" i="7"/>
  <c r="EU11" i="7"/>
  <c r="FC14" i="7"/>
  <c r="FC11" i="7"/>
  <c r="FK11" i="7"/>
  <c r="FK14" i="7"/>
  <c r="FS14" i="7"/>
  <c r="FS11" i="7"/>
  <c r="GA14" i="7"/>
  <c r="GA11" i="7"/>
  <c r="EA12" i="7"/>
  <c r="EA15" i="7"/>
  <c r="EI15" i="7"/>
  <c r="EI12" i="7"/>
  <c r="EQ15" i="7"/>
  <c r="EQ12" i="7"/>
  <c r="EY12" i="7"/>
  <c r="EY15" i="7"/>
  <c r="FG12" i="7"/>
  <c r="FG15" i="7"/>
  <c r="FO15" i="7"/>
  <c r="FO12" i="7"/>
  <c r="FW15" i="7"/>
  <c r="FW12" i="7"/>
  <c r="GE15" i="7"/>
  <c r="GE12" i="7"/>
  <c r="GH36" i="1"/>
  <c r="FO34" i="3" s="1"/>
  <c r="GI9" i="1"/>
  <c r="FP9" i="3" s="1"/>
  <c r="GI16" i="1"/>
  <c r="FP14" i="3" s="1"/>
  <c r="DX14" i="7"/>
  <c r="DX11" i="7"/>
  <c r="EF11" i="7"/>
  <c r="EF14" i="7"/>
  <c r="EN14" i="7"/>
  <c r="EN11" i="7"/>
  <c r="EV14" i="7"/>
  <c r="EV11" i="7"/>
  <c r="FD14" i="7"/>
  <c r="FD11" i="7"/>
  <c r="FL11" i="7"/>
  <c r="FL14" i="7"/>
  <c r="FT11" i="7"/>
  <c r="FT14" i="7"/>
  <c r="GB14" i="7"/>
  <c r="GB11" i="7"/>
  <c r="EB15" i="7"/>
  <c r="EB12" i="7"/>
  <c r="EJ15" i="7"/>
  <c r="EJ12" i="7"/>
  <c r="ER15" i="7"/>
  <c r="ER12" i="7"/>
  <c r="EZ15" i="7"/>
  <c r="EZ12" i="7"/>
  <c r="FH15" i="7"/>
  <c r="FH12" i="7"/>
  <c r="FP15" i="7"/>
  <c r="FP12" i="7"/>
  <c r="FX15" i="7"/>
  <c r="FX12" i="7"/>
  <c r="GF15" i="7"/>
  <c r="GF12" i="7"/>
  <c r="GI36" i="1"/>
  <c r="FP34" i="3" s="1"/>
  <c r="GI28" i="1"/>
  <c r="GG32" i="1"/>
  <c r="FN31" i="3" s="1"/>
  <c r="DY14" i="7"/>
  <c r="DY11" i="7"/>
  <c r="EG11" i="7"/>
  <c r="EG14" i="7"/>
  <c r="EO14" i="7"/>
  <c r="EO11" i="7"/>
  <c r="EW11" i="7"/>
  <c r="EW14" i="7"/>
  <c r="FE14" i="7"/>
  <c r="FE11" i="7"/>
  <c r="FM14" i="7"/>
  <c r="FM11" i="7"/>
  <c r="FU14" i="7"/>
  <c r="FU11" i="7"/>
  <c r="GC11" i="7"/>
  <c r="GC14" i="7"/>
  <c r="DU15" i="7"/>
  <c r="DU12" i="7"/>
  <c r="EC15" i="7"/>
  <c r="EC12" i="7"/>
  <c r="EK12" i="7"/>
  <c r="EK15" i="7"/>
  <c r="ES12" i="7"/>
  <c r="ES15" i="7"/>
  <c r="FA15" i="7"/>
  <c r="FA12" i="7"/>
  <c r="FI12" i="7"/>
  <c r="FI15" i="7"/>
  <c r="FQ12" i="7"/>
  <c r="FQ15" i="7"/>
  <c r="FY15" i="7"/>
  <c r="FY12" i="7"/>
  <c r="GG34" i="1"/>
  <c r="FN33" i="3" s="1"/>
  <c r="GI40" i="1"/>
  <c r="FP38" i="3" s="1"/>
  <c r="GG41" i="1"/>
  <c r="FN39" i="3" s="1"/>
  <c r="GD4" i="4"/>
  <c r="GH32" i="1"/>
  <c r="FO31" i="3" s="1"/>
  <c r="DZ11" i="7"/>
  <c r="DZ14" i="7"/>
  <c r="EH14" i="7"/>
  <c r="EH11" i="7"/>
  <c r="EP11" i="7"/>
  <c r="EP14" i="7"/>
  <c r="EX11" i="7"/>
  <c r="EX14" i="7"/>
  <c r="FF11" i="7"/>
  <c r="FF14" i="7"/>
  <c r="FN14" i="7"/>
  <c r="FN11" i="7"/>
  <c r="FV14" i="7"/>
  <c r="FV11" i="7"/>
  <c r="GD14" i="7"/>
  <c r="GD11" i="7"/>
  <c r="DV15" i="7"/>
  <c r="DV12" i="7"/>
  <c r="ED15" i="7"/>
  <c r="ED12" i="7"/>
  <c r="EL15" i="7"/>
  <c r="EL12" i="7"/>
  <c r="ET12" i="7"/>
  <c r="ET15" i="7"/>
  <c r="FB12" i="7"/>
  <c r="FB15" i="7"/>
  <c r="FJ15" i="7"/>
  <c r="FJ12" i="7"/>
  <c r="FR12" i="7"/>
  <c r="FR15" i="7"/>
  <c r="FZ12" i="7"/>
  <c r="FZ15" i="7"/>
  <c r="GH34" i="1"/>
  <c r="FO33" i="3" s="1"/>
  <c r="GH41" i="1"/>
  <c r="FO39" i="3" s="1"/>
  <c r="GH23" i="1"/>
  <c r="FO21" i="3" s="1"/>
  <c r="GI32" i="1"/>
  <c r="FP31" i="3" s="1"/>
  <c r="EA14" i="7"/>
  <c r="EA11" i="7"/>
  <c r="EI14" i="7"/>
  <c r="EI11" i="7"/>
  <c r="EQ14" i="7"/>
  <c r="EQ11" i="7"/>
  <c r="EY11" i="7"/>
  <c r="EY14" i="7"/>
  <c r="FG11" i="7"/>
  <c r="FG14" i="7"/>
  <c r="FO11" i="7"/>
  <c r="FO14" i="7"/>
  <c r="FW11" i="7"/>
  <c r="FW14" i="7"/>
  <c r="GE11" i="7"/>
  <c r="GE14" i="7"/>
  <c r="DW12" i="7"/>
  <c r="DW15" i="7"/>
  <c r="EE12" i="7"/>
  <c r="EE15" i="7"/>
  <c r="EM12" i="7"/>
  <c r="EM15" i="7"/>
  <c r="EU12" i="7"/>
  <c r="EU15" i="7"/>
  <c r="FC12" i="7"/>
  <c r="FC15" i="7"/>
  <c r="FK12" i="7"/>
  <c r="FK15" i="7"/>
  <c r="FS12" i="7"/>
  <c r="FS15" i="7"/>
  <c r="GA12" i="7"/>
  <c r="GA15" i="7"/>
  <c r="GI34" i="1"/>
  <c r="FP33" i="3" s="1"/>
  <c r="GG35" i="1"/>
  <c r="FN29" i="3" s="1"/>
  <c r="GI41" i="1"/>
  <c r="FP39" i="3" s="1"/>
</calcChain>
</file>

<file path=xl/sharedStrings.xml><?xml version="1.0" encoding="utf-8"?>
<sst xmlns="http://schemas.openxmlformats.org/spreadsheetml/2006/main" count="1143" uniqueCount="262">
  <si>
    <t>ID</t>
  </si>
  <si>
    <t>品种</t>
  </si>
  <si>
    <t>规格</t>
  </si>
  <si>
    <t>单位</t>
  </si>
  <si>
    <t>2023/1/4</t>
  </si>
  <si>
    <t>2023/1/11</t>
  </si>
  <si>
    <t>2023/1/18</t>
  </si>
  <si>
    <t>2023/2/1</t>
  </si>
  <si>
    <t>2023/2/8</t>
  </si>
  <si>
    <t>2023/2/15</t>
  </si>
  <si>
    <t>2023/2/22</t>
  </si>
  <si>
    <t>2023/3/1</t>
  </si>
  <si>
    <t>2023/3/8</t>
  </si>
  <si>
    <t>2023/3/15</t>
  </si>
  <si>
    <t>2023/3/22</t>
  </si>
  <si>
    <t>2023/3/29</t>
  </si>
  <si>
    <t>2023/4/5</t>
  </si>
  <si>
    <t>2023/4/12</t>
  </si>
  <si>
    <t>2023/4/19</t>
  </si>
  <si>
    <t>2023/4/26</t>
  </si>
  <si>
    <t>2023/5/05</t>
  </si>
  <si>
    <t>2023/5/10</t>
  </si>
  <si>
    <t>2023/5/17</t>
  </si>
  <si>
    <t>2023/5/24</t>
  </si>
  <si>
    <t>2023/5/31</t>
  </si>
  <si>
    <t>2023/6/7</t>
  </si>
  <si>
    <t>2023/6/14</t>
  </si>
  <si>
    <t>2023/6/21</t>
  </si>
  <si>
    <t>2023/6/28</t>
  </si>
  <si>
    <t>A2</t>
  </si>
  <si>
    <t>中国产复投多晶硅料9N</t>
  </si>
  <si>
    <t>单晶用料-复投</t>
  </si>
  <si>
    <t>元/公斤</t>
  </si>
  <si>
    <t>A4</t>
  </si>
  <si>
    <t>中国产致密多晶硅料9N</t>
  </si>
  <si>
    <t>单晶用料-致密</t>
  </si>
  <si>
    <t>A1</t>
  </si>
  <si>
    <t>中国产多晶硅料8N</t>
  </si>
  <si>
    <t>多晶用料</t>
  </si>
  <si>
    <t/>
  </si>
  <si>
    <t>A3</t>
  </si>
  <si>
    <t>全球多晶硅料</t>
  </si>
  <si>
    <t>—</t>
  </si>
  <si>
    <t>美元/公斤</t>
  </si>
  <si>
    <t>B7</t>
  </si>
  <si>
    <t>多晶硅片高效</t>
  </si>
  <si>
    <t>157mm x 157mm</t>
  </si>
  <si>
    <t>元/片</t>
  </si>
  <si>
    <t>B6</t>
  </si>
  <si>
    <t>多晶硅片中效</t>
  </si>
  <si>
    <t>B2</t>
  </si>
  <si>
    <t>单晶硅片（170um）</t>
  </si>
  <si>
    <t>158.75mm x 158.75mm</t>
  </si>
  <si>
    <t>B3</t>
  </si>
  <si>
    <t>166mm单晶硅片（170um）</t>
  </si>
  <si>
    <t>166mm x 166mm（170um）</t>
  </si>
  <si>
    <t>166mm单晶硅片（165um）（New！）</t>
  </si>
  <si>
    <t>166mm x 166mm（165um）</t>
  </si>
  <si>
    <t>166mm单晶硅片（155um）（New！）</t>
  </si>
  <si>
    <t>166mm x 166mm（155um）</t>
  </si>
  <si>
    <t>B11</t>
  </si>
  <si>
    <t>166mm单晶硅片（160um）</t>
  </si>
  <si>
    <t>166mm x 166mm（160um）</t>
  </si>
  <si>
    <t>B14</t>
  </si>
  <si>
    <t>166mm单晶硅片（150um）</t>
  </si>
  <si>
    <t>166mm x 166mm（150um）</t>
  </si>
  <si>
    <t>B4</t>
  </si>
  <si>
    <t>单晶硅片(170um)</t>
  </si>
  <si>
    <t>182mm*182mm（170 um）</t>
  </si>
  <si>
    <t>B9</t>
  </si>
  <si>
    <t>182mm单晶硅片（New！）</t>
  </si>
  <si>
    <t>182mm*182mm 单晶硅片（165 um）</t>
  </si>
  <si>
    <t>182mm单晶硅片(160um）</t>
  </si>
  <si>
    <t>182mm*182mm 单晶硅片（160 um）</t>
  </si>
  <si>
    <t>182mm单晶硅片(155um）</t>
  </si>
  <si>
    <t>182mm*182mm 单晶硅片（155 um）</t>
  </si>
  <si>
    <t>B15</t>
  </si>
  <si>
    <t>182mm单晶硅片(150um)</t>
  </si>
  <si>
    <t>182mm*182mm（150 um）</t>
  </si>
  <si>
    <t>B5</t>
  </si>
  <si>
    <t>单晶硅片</t>
  </si>
  <si>
    <t>210mm*210mm</t>
  </si>
  <si>
    <t>B10</t>
  </si>
  <si>
    <t>210mm单晶硅片（New！）</t>
  </si>
  <si>
    <t>210mm*210mm 单晶硅片（165 um）</t>
  </si>
  <si>
    <t>210mm单晶硅片(160um)</t>
  </si>
  <si>
    <t>210mm*210mm 单晶硅片（160 um）</t>
  </si>
  <si>
    <t>210mm单晶硅片(155um)</t>
  </si>
  <si>
    <t>210mm*210mm 单晶硅片（155 um）</t>
  </si>
  <si>
    <t>B12</t>
  </si>
  <si>
    <t>210mm单晶硅片(150um)</t>
  </si>
  <si>
    <t>210mm*210mm 单晶硅片（150 um）</t>
  </si>
  <si>
    <t>B8</t>
  </si>
  <si>
    <t>N型-166mm单晶硅片(150um）</t>
  </si>
  <si>
    <t>166mm x 166mm</t>
  </si>
  <si>
    <t>B13</t>
  </si>
  <si>
    <t>N型-210mm单晶硅片(150um)（New！）</t>
  </si>
  <si>
    <t>C12</t>
  </si>
  <si>
    <t>多晶电池片(＞18.8%)</t>
  </si>
  <si>
    <t>156.75mm x 156.75mm</t>
  </si>
  <si>
    <t>元/瓦</t>
  </si>
  <si>
    <t>C3</t>
  </si>
  <si>
    <t>单晶PERC电池片（21.7-22.1%)</t>
  </si>
  <si>
    <t>C7</t>
  </si>
  <si>
    <t>双面单晶PERC电池片（＞21.9%)</t>
  </si>
  <si>
    <t>166mm x 166mm</t>
  </si>
  <si>
    <t>C8</t>
  </si>
  <si>
    <t>双面单晶PERC电池片(＞22.3%)</t>
  </si>
  <si>
    <t>182mm*182mm</t>
  </si>
  <si>
    <t>C9</t>
  </si>
  <si>
    <t>双面单晶PERC电池片(＞22.4%)</t>
  </si>
  <si>
    <t>C10</t>
  </si>
  <si>
    <t>双面Topcon电池片（＞24.3%）</t>
  </si>
  <si>
    <t>182mm x 183.75mm</t>
  </si>
  <si>
    <t>C11</t>
  </si>
  <si>
    <r>
      <rPr>
        <sz val="11"/>
        <color theme="1"/>
        <rFont val="Calibri"/>
        <charset val="134"/>
        <scheme val="minor"/>
      </rPr>
      <t>双面Topcon电池片（＞24.3%）（</t>
    </r>
    <r>
      <rPr>
        <b/>
        <sz val="11"/>
        <color rgb="FFC00000"/>
        <rFont val="Calibri"/>
        <charset val="134"/>
        <scheme val="minor"/>
      </rPr>
      <t>New！）</t>
    </r>
  </si>
  <si>
    <t>210mm x 210mm</t>
  </si>
  <si>
    <t>D10</t>
  </si>
  <si>
    <t>多晶组件</t>
  </si>
  <si>
    <t>270-275W</t>
  </si>
  <si>
    <t>D9</t>
  </si>
  <si>
    <t>多晶双玻组件</t>
  </si>
  <si>
    <t>D4</t>
  </si>
  <si>
    <t>单晶PERC组件</t>
  </si>
  <si>
    <t>320-330W / 390-410W</t>
  </si>
  <si>
    <t>D5</t>
  </si>
  <si>
    <t>355-365W / 430-440W</t>
  </si>
  <si>
    <t>D14</t>
  </si>
  <si>
    <t>单面单晶perc组件（182系列）</t>
  </si>
  <si>
    <t>530-540W（72片）</t>
  </si>
  <si>
    <t>D7</t>
  </si>
  <si>
    <t>双面单晶perc组件（182系列）</t>
  </si>
  <si>
    <t>D8</t>
  </si>
  <si>
    <t>双面单晶perc组件（210系列）</t>
  </si>
  <si>
    <t>540-550W（50片）</t>
  </si>
  <si>
    <t>D15</t>
  </si>
  <si>
    <t>双面Topcon组件（182系列）</t>
  </si>
  <si>
    <t>550-570W（72片）</t>
  </si>
  <si>
    <t>D1</t>
  </si>
  <si>
    <t>中国区-项目价</t>
  </si>
  <si>
    <t>&gt;385W</t>
  </si>
  <si>
    <t>D2</t>
  </si>
  <si>
    <t>≥630W</t>
  </si>
  <si>
    <t>D11</t>
  </si>
  <si>
    <t>欧洲港口现货</t>
  </si>
  <si>
    <t>≥580w</t>
  </si>
  <si>
    <t>美元/瓦</t>
  </si>
  <si>
    <t>D12</t>
  </si>
  <si>
    <t>印度港口现货</t>
  </si>
  <si>
    <t>D13</t>
  </si>
  <si>
    <t>美国港口现货</t>
  </si>
  <si>
    <t>E2</t>
  </si>
  <si>
    <t>光伏玻璃</t>
  </si>
  <si>
    <t>3.2mm</t>
  </si>
  <si>
    <t>元/平方米</t>
  </si>
  <si>
    <t>E1</t>
  </si>
  <si>
    <t>2.0mm</t>
  </si>
  <si>
    <t>B16</t>
  </si>
  <si>
    <t>N型-182mm单晶硅片</t>
  </si>
  <si>
    <t>182mm x 182mmN型单晶硅片（130 um）</t>
  </si>
  <si>
    <t>B17</t>
  </si>
  <si>
    <t>N型-210mm单晶硅片</t>
  </si>
  <si>
    <t>210mm*210mmN型单晶硅片（130 um）</t>
  </si>
  <si>
    <t>N型料</t>
  </si>
  <si>
    <t>N型用料</t>
  </si>
  <si>
    <r>
      <rPr>
        <sz val="11"/>
        <rFont val="宋体"/>
        <charset val="134"/>
      </rPr>
      <t>元</t>
    </r>
    <r>
      <rPr>
        <sz val="11"/>
        <rFont val="Arial"/>
        <charset val="134"/>
      </rPr>
      <t>/</t>
    </r>
    <r>
      <rPr>
        <sz val="11"/>
        <rFont val="宋体"/>
        <charset val="134"/>
      </rPr>
      <t>公斤</t>
    </r>
  </si>
  <si>
    <t>颗粒硅</t>
  </si>
  <si>
    <t>D16</t>
  </si>
  <si>
    <t>N型双面Topcon 组件（210系列）</t>
  </si>
  <si>
    <t>630-655W（60片）</t>
  </si>
  <si>
    <t>N型双面HJT组件（210系列）</t>
  </si>
  <si>
    <t>615-635W</t>
  </si>
  <si>
    <t>B18</t>
  </si>
  <si>
    <t>N型-210Rmm单晶硅片（130um）</t>
  </si>
  <si>
    <t>182.2*210mm</t>
  </si>
  <si>
    <t>182.2mm x 210mm</t>
  </si>
  <si>
    <t>≥615W</t>
  </si>
  <si>
    <r>
      <rPr>
        <sz val="11"/>
        <color theme="1"/>
        <rFont val="Calibri"/>
        <charset val="134"/>
        <scheme val="minor"/>
      </rPr>
      <t>N型双面BC组件（210R系列）</t>
    </r>
    <r>
      <rPr>
        <b/>
        <sz val="12"/>
        <color rgb="FFFF0000"/>
        <rFont val="Microsoft YaHei Light"/>
        <charset val="134"/>
      </rPr>
      <t>New！</t>
    </r>
  </si>
  <si>
    <t>650-675W</t>
  </si>
  <si>
    <r>
      <rPr>
        <sz val="11"/>
        <color theme="1"/>
        <rFont val="Calibri"/>
        <charset val="134"/>
        <scheme val="minor"/>
      </rPr>
      <t>N型双面BC组件（210R系列）集中式项目价格</t>
    </r>
    <r>
      <rPr>
        <b/>
        <sz val="12"/>
        <color rgb="FFFF0000"/>
        <rFont val="Microsoft YaHei Light"/>
        <charset val="134"/>
      </rPr>
      <t>New！</t>
    </r>
  </si>
  <si>
    <t>640-670W</t>
  </si>
  <si>
    <r>
      <rPr>
        <sz val="11"/>
        <color theme="1"/>
        <rFont val="Calibri"/>
        <charset val="134"/>
        <scheme val="minor"/>
      </rPr>
      <t xml:space="preserve">中国区-项目价 </t>
    </r>
    <r>
      <rPr>
        <sz val="11"/>
        <color rgb="FFFF0000"/>
        <rFont val="Calibri"/>
        <charset val="134"/>
        <scheme val="minor"/>
      </rPr>
      <t>New！</t>
    </r>
  </si>
  <si>
    <r>
      <rPr>
        <sz val="11"/>
        <color theme="1"/>
        <rFont val="Calibri"/>
        <charset val="134"/>
        <scheme val="minor"/>
      </rPr>
      <t>N型双面HJT组件（210系列）</t>
    </r>
    <r>
      <rPr>
        <sz val="11"/>
        <color rgb="FFFF0000"/>
        <rFont val="Calibri"/>
        <charset val="134"/>
        <scheme val="minor"/>
      </rPr>
      <t xml:space="preserve"> New！</t>
    </r>
  </si>
  <si>
    <t>715-730W</t>
  </si>
  <si>
    <t>730-745W（66片）</t>
  </si>
  <si>
    <t>N型双面Topcon 组件（210R系列）</t>
  </si>
  <si>
    <t>620-630W（66片）</t>
  </si>
  <si>
    <t>N型双面Topcon组件（210R系列）</t>
  </si>
  <si>
    <t>635-640W
（三分片/2.0）</t>
  </si>
  <si>
    <t>645-650W（四分片/3.0）</t>
  </si>
  <si>
    <t>Year</t>
  </si>
  <si>
    <t>Week</t>
  </si>
  <si>
    <t>EoY</t>
  </si>
  <si>
    <t>WoW (%)</t>
  </si>
  <si>
    <t>MoM (%)</t>
  </si>
  <si>
    <t>YtD (%)</t>
  </si>
  <si>
    <t>Polysilicon RMB/kg (USD/kg)</t>
  </si>
  <si>
    <t xml:space="preserve">N-Type Silicon in China </t>
  </si>
  <si>
    <t>Reusable Chinese 9N</t>
  </si>
  <si>
    <t>Chinese 9N</t>
  </si>
  <si>
    <t xml:space="preserve">Granular silicon </t>
  </si>
  <si>
    <t>Global (USD/kg)</t>
  </si>
  <si>
    <t>Wafer RMB/piece</t>
  </si>
  <si>
    <t>p-type, 182 mm, 150 µm（下线）</t>
  </si>
  <si>
    <t>-</t>
  </si>
  <si>
    <t>p-type 210 mm, 150 µm（下线）</t>
  </si>
  <si>
    <t>n-type 210 mm, 150 µm</t>
  </si>
  <si>
    <t>n-type 210 mm, 130 µm</t>
  </si>
  <si>
    <t>n-type 182 mm, 130 µm</t>
  </si>
  <si>
    <t>N type wafer-210Rmm(130um)</t>
  </si>
  <si>
    <t>Cells RMB/W</t>
  </si>
  <si>
    <t>PERC bifacial - p-type, 182 mm(下线）</t>
  </si>
  <si>
    <t>PERC bifacial - p-type, 210 mm(下线）</t>
  </si>
  <si>
    <t>TOPCon - n-type, 182 mm</t>
  </si>
  <si>
    <t>TOPCon - n-type, 210 mm</t>
  </si>
  <si>
    <t>Bifacial  210Rmm Topcon cell(above 24.3% )</t>
  </si>
  <si>
    <t>Modules RMB/W</t>
  </si>
  <si>
    <t>PERC monofacial - p-type, 182 mm (540-550W)/(420-495W)</t>
  </si>
  <si>
    <t>PERC bifacial - p-type, 182 mm, 72 cells (540-550W)/(420-495W)</t>
  </si>
  <si>
    <t>PERC bifacial - p-type, 210 mm, 55 cells (540-550W)</t>
  </si>
  <si>
    <t>l</t>
  </si>
  <si>
    <t>TOPCon bifacial - n-type, 182 mm, 72 cells (580-590W)</t>
  </si>
  <si>
    <t>TOPCon bifacial - n-type, 210 mm, 60 cells (620-630W)</t>
  </si>
  <si>
    <t>TOPCon bifacial - n-type, 210 mm, 60 cells (710-735W)</t>
  </si>
  <si>
    <t>210mm HJT  Module (615-635W)</t>
  </si>
  <si>
    <t>210mm HJT  Module (715-730W)</t>
  </si>
  <si>
    <t>BC Module (650-675W)</t>
  </si>
  <si>
    <t xml:space="preserve">BC Module (640-670W) 210R </t>
  </si>
  <si>
    <t>TOPCon bifacial - n-type, 210R, 60 Cell (610-635W)</t>
  </si>
  <si>
    <t>China Project Price (≥615W)</t>
  </si>
  <si>
    <t>China Project Price (≥630W)</t>
  </si>
  <si>
    <r>
      <rPr>
        <b/>
        <sz val="12"/>
        <color theme="1"/>
        <rFont val="Calibri"/>
        <charset val="134"/>
        <scheme val="minor"/>
      </rPr>
      <t>Solar Glass RMB/m</t>
    </r>
    <r>
      <rPr>
        <b/>
        <vertAlign val="superscript"/>
        <sz val="12"/>
        <color theme="1"/>
        <rFont val="Calibri (Body)"/>
        <charset val="134"/>
      </rPr>
      <t>2</t>
    </r>
  </si>
  <si>
    <t>3.2 mm</t>
  </si>
  <si>
    <t>2.0 mm</t>
  </si>
  <si>
    <t>The data was collected by Chinese market research firm Gessey Information Technology Co. Ltd. More details about prices from individual companies and analysis is available for paid subscription from Gessey (pvpriceindex@gessey.info)</t>
  </si>
  <si>
    <t xml:space="preserve">Disclaimer: TaiyangNews does not guarantee reliability, accuracy or completeness of this price index' content. TaiyangNews does not accept responsibility or liability for any errors in this work. </t>
  </si>
  <si>
    <t>On July 2nd, PERC bifacial - p-type, 182 mm and PERC bifacial - p-type, 210 mm came off the production line.</t>
  </si>
  <si>
    <t>September 24, PERC monofacial - p-type, 182 mm(540-555W)/(420-495W)、PERC bifacial - p-type, 182 mm, 72 cells(540-555W)、PERC bifacial - p-type, 210 mm, 72 cells(610-700W) offline</t>
  </si>
  <si>
    <t>On April 8, global polysilicon production came offline.</t>
  </si>
  <si>
    <t>TaiyangNews PV Price Index - from polysilicon to solar modules: CW 37/2026</t>
  </si>
  <si>
    <t>35(1)9.14更新</t>
  </si>
  <si>
    <t>n-Type Silicon in China</t>
  </si>
  <si>
    <t>Granular Silicon</t>
  </si>
  <si>
    <t>p-type, 182 mm, 150 µm</t>
  </si>
  <si>
    <t>p-type 210 mm, 150 µm</t>
  </si>
  <si>
    <t>n-type 210R, 130 µm</t>
  </si>
  <si>
    <t>PERC bifacial - p-type, 182 mm</t>
  </si>
  <si>
    <t>PERC bifacial - p-type, 210 mm</t>
  </si>
  <si>
    <t>Bifacial 210R TOPCon Cell (Above 24.3% )</t>
  </si>
  <si>
    <t>BC Module (655W+)</t>
  </si>
  <si>
    <t xml:space="preserve">BC Module (655W+) 210R </t>
  </si>
  <si>
    <t>China Project Price (≥595W)</t>
  </si>
  <si>
    <t>China Project Price (≥585W)</t>
  </si>
  <si>
    <t>Solar Glass RMB/m²</t>
  </si>
  <si>
    <r>
      <rPr>
        <b/>
        <sz val="12"/>
        <color theme="1"/>
        <rFont val="Calibri"/>
        <charset val="134"/>
        <scheme val="minor"/>
      </rPr>
      <t xml:space="preserve">The data was collected by Chinese market research firm Gessey Information Technology Co. Ltd. More details about prices from individual companies and analysis is available for paid subscription from </t>
    </r>
    <r>
      <rPr>
        <b/>
        <sz val="12"/>
        <color theme="1"/>
        <rFont val="Calibri (Body)"/>
        <charset val="134"/>
      </rPr>
      <t>Gessey (pvpriceindex@gessey.info)</t>
    </r>
    <r>
      <rPr>
        <b/>
        <sz val="12"/>
        <color theme="1"/>
        <rFont val="Calibri"/>
        <charset val="134"/>
        <scheme val="minor"/>
      </rPr>
      <t>.</t>
    </r>
  </si>
  <si>
    <t xml:space="preserve">BC Module（655W+）、BC Module（655W+）210R，New this week </t>
  </si>
  <si>
    <t>June 5th, the China Project price (≥ 6.15 million) was newly added.</t>
  </si>
  <si>
    <t>Bifacial 210R TOPCon Cell (Above 24.3%)</t>
  </si>
  <si>
    <t>TOPCon bifacial - n-type, 210 mm, 60 cells (700-725W)</t>
  </si>
  <si>
    <t>210 mm HJT Module (615-635W)</t>
  </si>
  <si>
    <t>BC Module (655W+) 210R</t>
  </si>
  <si>
    <t>210 mm HJT  Module (715-730W)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</si>
</sst>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0_ "/>
    <numFmt numFmtId="165" formatCode="0.0_ "/>
    <numFmt numFmtId="166" formatCode="0.0"/>
    <numFmt numFmtId="167" formatCode="0.000_ "/>
    <numFmt numFmtId="168" formatCode="yyyy&quot;年&quot;m&quot;月&quot;;@"/>
  </numFmts>
  <fonts count="18">
    <font>
      <sz val="12"/>
      <color theme="1"/>
      <name val="Calibri"/>
      <charset val="134"/>
      <scheme val="minor"/>
    </font>
    <font>
      <sz val="12"/>
      <color rgb="FFFF0000"/>
      <name val="Calibri"/>
      <charset val="134"/>
      <scheme val="minor"/>
    </font>
    <font>
      <sz val="12"/>
      <color theme="0"/>
      <name val="Calibri"/>
      <charset val="134"/>
      <scheme val="minor"/>
    </font>
    <font>
      <b/>
      <sz val="12"/>
      <color theme="1"/>
      <name val="Calibri"/>
      <charset val="134"/>
      <scheme val="minor"/>
    </font>
    <font>
      <b/>
      <sz val="12"/>
      <name val="Calibri"/>
      <charset val="134"/>
      <scheme val="minor"/>
    </font>
    <font>
      <sz val="12"/>
      <name val="Calibri"/>
      <charset val="134"/>
      <scheme val="minor"/>
    </font>
    <font>
      <b/>
      <sz val="12"/>
      <name val="Microsoft YaHei Light"/>
      <charset val="134"/>
    </font>
    <font>
      <sz val="11"/>
      <color theme="1"/>
      <name val="Calibri"/>
      <charset val="134"/>
      <scheme val="minor"/>
    </font>
    <font>
      <sz val="11"/>
      <color indexed="8"/>
      <name val="宋体"/>
      <charset val="134"/>
    </font>
    <font>
      <b/>
      <sz val="11"/>
      <name val="Calibri"/>
      <charset val="134"/>
      <scheme val="minor"/>
    </font>
    <font>
      <b/>
      <sz val="11"/>
      <name val="宋体"/>
      <charset val="134"/>
    </font>
    <font>
      <sz val="11"/>
      <name val="宋体"/>
      <charset val="134"/>
    </font>
    <font>
      <sz val="11"/>
      <name val="Arial"/>
      <charset val="134"/>
    </font>
    <font>
      <b/>
      <sz val="11"/>
      <color rgb="FFC00000"/>
      <name val="Calibri"/>
      <charset val="134"/>
      <scheme val="minor"/>
    </font>
    <font>
      <sz val="11"/>
      <color rgb="FFFF0000"/>
      <name val="Calibri"/>
      <charset val="134"/>
      <scheme val="minor"/>
    </font>
    <font>
      <b/>
      <sz val="12"/>
      <color theme="1"/>
      <name val="Calibri (Body)"/>
      <charset val="134"/>
    </font>
    <font>
      <b/>
      <sz val="12"/>
      <color rgb="FFFF0000"/>
      <name val="Microsoft YaHei Light"/>
      <charset val="134"/>
    </font>
    <font>
      <b/>
      <vertAlign val="superscript"/>
      <sz val="12"/>
      <color theme="1"/>
      <name val="Calibri (Body)"/>
      <charset val="134"/>
    </font>
  </fonts>
  <fills count="7">
    <fill>
      <patternFill patternType="none"/>
    </fill>
    <fill>
      <patternFill patternType="gray125"/>
    </fill>
    <fill>
      <patternFill patternType="solid">
        <fgColor rgb="FFFFFF00"/>
        <bgColor indexed="64"/>
      </patternFill>
    </fill>
    <fill>
      <patternFill patternType="solid">
        <fgColor theme="1"/>
        <bgColor indexed="64"/>
      </patternFill>
    </fill>
    <fill>
      <patternFill patternType="solid">
        <fgColor theme="5" tint="0.79979857783745845"/>
        <bgColor indexed="64"/>
      </patternFill>
    </fill>
    <fill>
      <patternFill patternType="solid">
        <fgColor theme="0"/>
        <bgColor indexed="64"/>
      </patternFill>
    </fill>
    <fill>
      <patternFill patternType="solid">
        <fgColor rgb="FF92D050"/>
        <bgColor indexed="64"/>
      </patternFill>
    </fill>
  </fills>
  <borders count="18">
    <border>
      <left/>
      <right/>
      <top/>
      <bottom/>
      <diagonal/>
    </border>
    <border>
      <left/>
      <right style="thin">
        <color auto="1"/>
      </right>
      <top/>
      <bottom/>
      <diagonal/>
    </border>
    <border>
      <left/>
      <right style="thin">
        <color theme="1"/>
      </right>
      <top style="thin">
        <color theme="1"/>
      </top>
      <bottom/>
      <diagonal/>
    </border>
    <border>
      <left/>
      <right style="medium">
        <color theme="1"/>
      </right>
      <top style="medium">
        <color theme="1"/>
      </top>
      <bottom style="medium">
        <color theme="1"/>
      </bottom>
      <diagonal/>
    </border>
    <border>
      <left style="medium">
        <color theme="1"/>
      </left>
      <right style="medium">
        <color theme="1"/>
      </right>
      <top style="medium">
        <color theme="1"/>
      </top>
      <bottom style="medium">
        <color theme="1"/>
      </bottom>
      <diagonal/>
    </border>
    <border>
      <left style="medium">
        <color theme="1"/>
      </left>
      <right/>
      <top style="medium">
        <color theme="1"/>
      </top>
      <bottom style="medium">
        <color theme="1"/>
      </bottom>
      <diagonal/>
    </border>
    <border>
      <left/>
      <right/>
      <top style="medium">
        <color theme="1"/>
      </top>
      <bottom style="medium">
        <color theme="1"/>
      </bottom>
      <diagonal/>
    </border>
    <border>
      <left style="medium">
        <color theme="1"/>
      </left>
      <right style="thin">
        <color theme="1"/>
      </right>
      <top style="medium">
        <color theme="1"/>
      </top>
      <bottom style="medium">
        <color theme="1"/>
      </bottom>
      <diagonal/>
    </border>
    <border>
      <left/>
      <right style="medium">
        <color theme="1"/>
      </right>
      <top/>
      <bottom/>
      <diagonal/>
    </border>
    <border>
      <left/>
      <right style="medium">
        <color theme="1"/>
      </right>
      <top style="medium">
        <color theme="1"/>
      </top>
      <bottom style="thin">
        <color theme="1"/>
      </bottom>
      <diagonal/>
    </border>
    <border>
      <left/>
      <right style="medium">
        <color theme="1"/>
      </right>
      <top style="medium">
        <color theme="1"/>
      </top>
      <bottom/>
      <diagonal/>
    </border>
    <border>
      <left style="thin">
        <color auto="1"/>
      </left>
      <right style="thin">
        <color auto="1"/>
      </right>
      <top style="thin">
        <color auto="1"/>
      </top>
      <bottom style="thin">
        <color auto="1"/>
      </bottom>
      <diagonal/>
    </border>
    <border>
      <left style="thin">
        <color theme="1"/>
      </left>
      <right style="medium">
        <color theme="1"/>
      </right>
      <top style="thin">
        <color theme="1"/>
      </top>
      <bottom style="thin">
        <color theme="1"/>
      </bottom>
      <diagonal/>
    </border>
    <border>
      <left style="thin">
        <color theme="1"/>
      </left>
      <right style="medium">
        <color theme="1"/>
      </right>
      <top/>
      <bottom/>
      <diagonal/>
    </border>
    <border>
      <left/>
      <right style="medium">
        <color theme="1"/>
      </right>
      <top style="thin">
        <color theme="1"/>
      </top>
      <bottom style="thin">
        <color theme="1"/>
      </bottom>
      <diagonal/>
    </border>
    <border>
      <left/>
      <right style="medium">
        <color theme="1"/>
      </right>
      <top style="thin">
        <color theme="1"/>
      </top>
      <bottom style="medium">
        <color theme="1"/>
      </bottom>
      <diagonal/>
    </border>
    <border>
      <left/>
      <right style="medium">
        <color theme="1"/>
      </right>
      <top/>
      <bottom style="thin">
        <color theme="1"/>
      </bottom>
      <diagonal/>
    </border>
    <border>
      <left style="thin">
        <color theme="0"/>
      </left>
      <right style="thin">
        <color theme="0"/>
      </right>
      <top style="thin">
        <color theme="0"/>
      </top>
      <bottom style="thin">
        <color theme="0"/>
      </bottom>
      <diagonal/>
    </border>
  </borders>
  <cellStyleXfs count="5">
    <xf numFmtId="0" fontId="0" fillId="0" borderId="0"/>
    <xf numFmtId="9" fontId="7" fillId="0" borderId="0" applyFont="0" applyFill="0" applyBorder="0" applyAlignment="0" applyProtection="0">
      <alignment vertical="center"/>
    </xf>
    <xf numFmtId="0" fontId="7" fillId="0" borderId="0">
      <alignment vertical="center"/>
    </xf>
    <xf numFmtId="0" fontId="7" fillId="0" borderId="0">
      <alignment vertical="center"/>
    </xf>
    <xf numFmtId="0" fontId="7" fillId="0" borderId="0">
      <alignment vertical="center"/>
    </xf>
  </cellStyleXfs>
  <cellXfs count="100">
    <xf numFmtId="0" fontId="0" fillId="0" borderId="0" xfId="0"/>
    <xf numFmtId="49" fontId="0" fillId="0" borderId="0" xfId="0" applyNumberFormat="1"/>
    <xf numFmtId="0" fontId="1" fillId="0" borderId="0" xfId="0" applyFont="1"/>
    <xf numFmtId="164" fontId="0" fillId="0" borderId="0" xfId="0" applyNumberFormat="1"/>
    <xf numFmtId="0" fontId="0" fillId="0" borderId="1" xfId="0" applyBorder="1"/>
    <xf numFmtId="0" fontId="0" fillId="2" borderId="0" xfId="0" applyFill="1"/>
    <xf numFmtId="0" fontId="2" fillId="3" borderId="2" xfId="0" applyFont="1" applyFill="1" applyBorder="1"/>
    <xf numFmtId="0" fontId="0" fillId="3" borderId="0" xfId="0" applyFill="1"/>
    <xf numFmtId="164" fontId="0" fillId="3" borderId="0" xfId="0" applyNumberFormat="1" applyFill="1"/>
    <xf numFmtId="0" fontId="3" fillId="4" borderId="3" xfId="0" applyFont="1" applyFill="1" applyBorder="1"/>
    <xf numFmtId="0" fontId="0" fillId="0" borderId="4" xfId="0" applyBorder="1"/>
    <xf numFmtId="1" fontId="3" fillId="0" borderId="4" xfId="0" applyNumberFormat="1" applyFont="1" applyBorder="1" applyAlignment="1">
      <alignment horizontal="center"/>
    </xf>
    <xf numFmtId="0" fontId="3" fillId="0" borderId="7" xfId="0" applyFont="1" applyBorder="1" applyAlignment="1">
      <alignment horizontal="center"/>
    </xf>
    <xf numFmtId="1" fontId="3" fillId="0" borderId="5" xfId="0" applyNumberFormat="1" applyFont="1" applyBorder="1" applyAlignment="1">
      <alignment horizontal="center"/>
    </xf>
    <xf numFmtId="0" fontId="3" fillId="4" borderId="8" xfId="0" applyFont="1" applyFill="1" applyBorder="1"/>
    <xf numFmtId="0" fontId="0" fillId="0" borderId="7" xfId="0" applyBorder="1"/>
    <xf numFmtId="0" fontId="3" fillId="0" borderId="7" xfId="0" applyFont="1" applyBorder="1"/>
    <xf numFmtId="0" fontId="3" fillId="4" borderId="9" xfId="0" applyFont="1" applyFill="1" applyBorder="1"/>
    <xf numFmtId="0" fontId="0" fillId="0" borderId="10" xfId="0" applyBorder="1"/>
    <xf numFmtId="164" fontId="0" fillId="0" borderId="7" xfId="0" applyNumberFormat="1" applyBorder="1"/>
    <xf numFmtId="0" fontId="0" fillId="4" borderId="11" xfId="0" applyFill="1" applyBorder="1"/>
    <xf numFmtId="0" fontId="0" fillId="0" borderId="8" xfId="0" applyBorder="1"/>
    <xf numFmtId="165" fontId="3" fillId="0" borderId="7" xfId="0" applyNumberFormat="1" applyFont="1" applyBorder="1" applyAlignment="1">
      <alignment horizontal="right" indent="3"/>
    </xf>
    <xf numFmtId="166" fontId="3" fillId="0" borderId="7" xfId="0" applyNumberFormat="1" applyFont="1" applyBorder="1" applyAlignment="1">
      <alignment horizontal="right" indent="3"/>
    </xf>
    <xf numFmtId="0" fontId="0" fillId="0" borderId="12" xfId="0" applyBorder="1"/>
    <xf numFmtId="0" fontId="0" fillId="0" borderId="13" xfId="0" applyBorder="1"/>
    <xf numFmtId="166" fontId="0" fillId="0" borderId="7" xfId="0" applyNumberFormat="1" applyBorder="1"/>
    <xf numFmtId="0" fontId="0" fillId="4" borderId="14" xfId="0" applyFill="1" applyBorder="1"/>
    <xf numFmtId="0" fontId="0" fillId="0" borderId="14" xfId="0" applyBorder="1"/>
    <xf numFmtId="164" fontId="3" fillId="0" borderId="7" xfId="0" applyNumberFormat="1" applyFont="1" applyBorder="1" applyAlignment="1">
      <alignment horizontal="right" indent="3"/>
    </xf>
    <xf numFmtId="0" fontId="0" fillId="4" borderId="15" xfId="0" applyFill="1" applyBorder="1"/>
    <xf numFmtId="0" fontId="0" fillId="0" borderId="15" xfId="0" applyBorder="1"/>
    <xf numFmtId="0" fontId="3" fillId="4" borderId="16" xfId="0" applyFont="1" applyFill="1" applyBorder="1"/>
    <xf numFmtId="0" fontId="3" fillId="0" borderId="7" xfId="0" applyFont="1" applyBorder="1" applyAlignment="1">
      <alignment horizontal="right" indent="3"/>
    </xf>
    <xf numFmtId="0" fontId="3" fillId="0" borderId="8" xfId="0" applyFont="1" applyBorder="1"/>
    <xf numFmtId="0" fontId="3" fillId="0" borderId="10" xfId="0" applyFont="1" applyBorder="1"/>
    <xf numFmtId="2" fontId="0" fillId="0" borderId="7" xfId="0" applyNumberFormat="1" applyBorder="1"/>
    <xf numFmtId="0" fontId="3" fillId="0" borderId="0" xfId="0" applyFont="1"/>
    <xf numFmtId="166" fontId="0" fillId="0" borderId="0" xfId="0" applyNumberFormat="1"/>
    <xf numFmtId="0" fontId="0" fillId="0" borderId="0" xfId="0" applyAlignment="1">
      <alignment vertical="center"/>
    </xf>
    <xf numFmtId="0" fontId="0" fillId="0" borderId="0" xfId="0" applyAlignment="1">
      <alignment horizontal="center" vertical="center"/>
    </xf>
    <xf numFmtId="0" fontId="2" fillId="3" borderId="11" xfId="0" applyFont="1" applyFill="1" applyBorder="1"/>
    <xf numFmtId="0" fontId="0" fillId="3" borderId="11" xfId="0" applyFill="1" applyBorder="1"/>
    <xf numFmtId="0" fontId="0" fillId="3" borderId="11" xfId="0" applyFill="1" applyBorder="1" applyAlignment="1">
      <alignment horizontal="center" vertical="center"/>
    </xf>
    <xf numFmtId="0" fontId="3" fillId="4" borderId="11" xfId="0" applyFont="1" applyFill="1" applyBorder="1"/>
    <xf numFmtId="0" fontId="3" fillId="0" borderId="11" xfId="0" applyFont="1" applyBorder="1"/>
    <xf numFmtId="0" fontId="4" fillId="0" borderId="11" xfId="0" applyFont="1" applyBorder="1"/>
    <xf numFmtId="0" fontId="3" fillId="0" borderId="11" xfId="0" applyFont="1" applyBorder="1" applyAlignment="1">
      <alignment horizontal="center" vertical="center"/>
    </xf>
    <xf numFmtId="0" fontId="4" fillId="0" borderId="11" xfId="0" applyFont="1" applyBorder="1" applyAlignment="1">
      <alignment horizontal="center" vertical="center"/>
    </xf>
    <xf numFmtId="0" fontId="0" fillId="0" borderId="11" xfId="0" applyBorder="1" applyAlignment="1">
      <alignment horizontal="center" vertical="center"/>
    </xf>
    <xf numFmtId="0" fontId="3" fillId="5" borderId="11" xfId="0" applyFont="1" applyFill="1" applyBorder="1" applyAlignment="1">
      <alignment horizontal="center" vertical="center"/>
    </xf>
    <xf numFmtId="0" fontId="3" fillId="2" borderId="11" xfId="0" applyFont="1" applyFill="1" applyBorder="1" applyAlignment="1">
      <alignment horizontal="center" vertical="center"/>
    </xf>
    <xf numFmtId="0" fontId="0" fillId="0" borderId="11" xfId="0" applyBorder="1"/>
    <xf numFmtId="0" fontId="5" fillId="0" borderId="11" xfId="0" applyFont="1" applyBorder="1" applyAlignment="1">
      <alignment horizontal="center" vertical="center"/>
    </xf>
    <xf numFmtId="0" fontId="0" fillId="5" borderId="11" xfId="0" applyFill="1" applyBorder="1" applyAlignment="1">
      <alignment horizontal="center" vertical="center"/>
    </xf>
    <xf numFmtId="0" fontId="0" fillId="2" borderId="11" xfId="0" applyFill="1" applyBorder="1" applyAlignment="1">
      <alignment horizontal="center" vertical="center"/>
    </xf>
    <xf numFmtId="0" fontId="5" fillId="0" borderId="11" xfId="0" applyFont="1" applyBorder="1"/>
    <xf numFmtId="164" fontId="0" fillId="0" borderId="11" xfId="0" applyNumberFormat="1" applyBorder="1"/>
    <xf numFmtId="165" fontId="0" fillId="0" borderId="11" xfId="0" applyNumberFormat="1" applyBorder="1"/>
    <xf numFmtId="165" fontId="5" fillId="0" borderId="11" xfId="0" applyNumberFormat="1" applyFont="1" applyBorder="1"/>
    <xf numFmtId="164" fontId="5" fillId="0" borderId="11" xfId="0" applyNumberFormat="1" applyFont="1" applyBorder="1"/>
    <xf numFmtId="164" fontId="0" fillId="5" borderId="11" xfId="0" applyNumberFormat="1" applyFill="1" applyBorder="1"/>
    <xf numFmtId="164" fontId="0" fillId="2" borderId="11" xfId="0" applyNumberFormat="1" applyFill="1" applyBorder="1"/>
    <xf numFmtId="164" fontId="0" fillId="2" borderId="11" xfId="0" applyNumberFormat="1" applyFill="1" applyBorder="1" applyAlignment="1">
      <alignment horizontal="center" vertical="center"/>
    </xf>
    <xf numFmtId="166" fontId="0" fillId="2" borderId="11" xfId="1" applyNumberFormat="1" applyFont="1" applyFill="1" applyBorder="1" applyAlignment="1">
      <alignment horizontal="center" vertical="center"/>
    </xf>
    <xf numFmtId="165" fontId="0" fillId="2" borderId="11" xfId="0" applyNumberFormat="1" applyFill="1" applyBorder="1" applyAlignment="1">
      <alignment horizontal="center" vertical="center"/>
    </xf>
    <xf numFmtId="164" fontId="0" fillId="0" borderId="11" xfId="0" applyNumberFormat="1" applyBorder="1" applyAlignment="1">
      <alignment horizontal="center" vertical="center"/>
    </xf>
    <xf numFmtId="164" fontId="0" fillId="5" borderId="11" xfId="0" applyNumberFormat="1" applyFill="1" applyBorder="1" applyAlignment="1">
      <alignment horizontal="center" vertical="center"/>
    </xf>
    <xf numFmtId="167" fontId="0" fillId="0" borderId="11" xfId="0" applyNumberFormat="1" applyBorder="1"/>
    <xf numFmtId="164" fontId="5" fillId="0" borderId="11" xfId="0" applyNumberFormat="1" applyFont="1" applyBorder="1" applyAlignment="1">
      <alignment horizontal="center" vertical="center"/>
    </xf>
    <xf numFmtId="165" fontId="0" fillId="0" borderId="11" xfId="0" applyNumberFormat="1" applyBorder="1" applyAlignment="1">
      <alignment horizontal="center" vertical="center"/>
    </xf>
    <xf numFmtId="167" fontId="5" fillId="0" borderId="11" xfId="0" applyNumberFormat="1" applyFont="1" applyBorder="1"/>
    <xf numFmtId="167" fontId="0" fillId="5" borderId="11" xfId="0" applyNumberFormat="1" applyFill="1" applyBorder="1"/>
    <xf numFmtId="167" fontId="0" fillId="2" borderId="11" xfId="0" applyNumberFormat="1" applyFill="1" applyBorder="1"/>
    <xf numFmtId="167" fontId="5" fillId="5" borderId="11" xfId="0" applyNumberFormat="1" applyFont="1" applyFill="1" applyBorder="1"/>
    <xf numFmtId="167" fontId="5" fillId="2" borderId="11" xfId="0" applyNumberFormat="1" applyFont="1" applyFill="1" applyBorder="1"/>
    <xf numFmtId="0" fontId="6" fillId="0" borderId="11" xfId="3" applyFont="1" applyBorder="1" applyAlignment="1">
      <alignment horizontal="left" vertical="center" wrapText="1"/>
    </xf>
    <xf numFmtId="0" fontId="5" fillId="0" borderId="0" xfId="0" applyFont="1" applyAlignment="1">
      <alignment horizontal="center" vertical="center"/>
    </xf>
    <xf numFmtId="0" fontId="0" fillId="5" borderId="0" xfId="0" applyFill="1" applyAlignment="1">
      <alignment horizontal="center" vertical="center"/>
    </xf>
    <xf numFmtId="0" fontId="1" fillId="0" borderId="0" xfId="0" applyFont="1" applyAlignment="1">
      <alignment vertical="center"/>
    </xf>
    <xf numFmtId="168" fontId="7" fillId="0" borderId="0" xfId="0" applyNumberFormat="1" applyFont="1" applyAlignment="1">
      <alignment vertical="center"/>
    </xf>
    <xf numFmtId="0" fontId="7" fillId="0" borderId="0" xfId="0" applyFont="1" applyAlignment="1">
      <alignment vertical="center"/>
    </xf>
    <xf numFmtId="0" fontId="8" fillId="0" borderId="0" xfId="0" applyFont="1"/>
    <xf numFmtId="0" fontId="7" fillId="0" borderId="0" xfId="0" applyFont="1"/>
    <xf numFmtId="0" fontId="9" fillId="0" borderId="11" xfId="0" applyFont="1" applyBorder="1" applyAlignment="1">
      <alignment horizontal="center" vertical="top"/>
    </xf>
    <xf numFmtId="0" fontId="9" fillId="0" borderId="11" xfId="0" applyFont="1" applyBorder="1" applyAlignment="1">
      <alignment horizontal="center" vertical="center"/>
    </xf>
    <xf numFmtId="0" fontId="10" fillId="0" borderId="11" xfId="0" applyFont="1" applyBorder="1" applyAlignment="1">
      <alignment horizontal="center" vertical="top"/>
    </xf>
    <xf numFmtId="14" fontId="10" fillId="0" borderId="11" xfId="0" applyNumberFormat="1" applyFont="1" applyBorder="1" applyAlignment="1">
      <alignment horizontal="center" vertical="top"/>
    </xf>
    <xf numFmtId="0" fontId="8" fillId="0" borderId="0" xfId="0" applyFont="1" applyAlignment="1">
      <alignment vertical="center"/>
    </xf>
    <xf numFmtId="0" fontId="7" fillId="0" borderId="17" xfId="0" applyFont="1" applyBorder="1"/>
    <xf numFmtId="166" fontId="7" fillId="0" borderId="0" xfId="0" applyNumberFormat="1" applyFont="1"/>
    <xf numFmtId="0" fontId="6" fillId="6" borderId="11" xfId="3" applyFont="1" applyFill="1" applyBorder="1" applyAlignment="1">
      <alignment horizontal="center" vertical="center" wrapText="1"/>
    </xf>
    <xf numFmtId="0" fontId="11" fillId="0" borderId="0" xfId="0" applyFont="1" applyAlignment="1">
      <alignment horizontal="right" vertical="center" wrapText="1"/>
    </xf>
    <xf numFmtId="0" fontId="11" fillId="0" borderId="0" xfId="0" applyFont="1"/>
    <xf numFmtId="0" fontId="6" fillId="0" borderId="11" xfId="3" applyFont="1" applyBorder="1" applyAlignment="1">
      <alignment horizontal="center" vertical="center" wrapText="1"/>
    </xf>
    <xf numFmtId="0" fontId="6" fillId="0" borderId="0" xfId="3" applyFont="1" applyAlignment="1">
      <alignment horizontal="center" vertical="center" wrapText="1"/>
    </xf>
    <xf numFmtId="0" fontId="3" fillId="0" borderId="5" xfId="0" applyFont="1" applyBorder="1" applyAlignment="1">
      <alignment horizontal="center"/>
    </xf>
    <xf numFmtId="0" fontId="3" fillId="0" borderId="6" xfId="0" applyFont="1" applyBorder="1" applyAlignment="1">
      <alignment horizontal="center"/>
    </xf>
    <xf numFmtId="0" fontId="3" fillId="0" borderId="3" xfId="0" applyFont="1" applyBorder="1" applyAlignment="1">
      <alignment horizontal="center"/>
    </xf>
    <xf numFmtId="0" fontId="0" fillId="0" borderId="0" xfId="0" applyAlignment="1">
      <alignment horizontal="center"/>
    </xf>
  </cellXfs>
  <cellStyles count="5">
    <cellStyle name="Normal" xfId="0" builtinId="0"/>
    <cellStyle name="Percent" xfId="1" builtinId="5"/>
    <cellStyle name="一般 2 2" xfId="2" xr:uid="{00000000-0005-0000-0000-000031000000}"/>
    <cellStyle name="常规 2 2" xfId="3" xr:uid="{00000000-0005-0000-0000-000032000000}"/>
    <cellStyle name="常规 3" xfId="4" xr:uid="{00000000-0005-0000-0000-000033000000}"/>
  </cellStyles>
  <dxfs count="6">
    <dxf>
      <font>
        <color rgb="FFFF0000"/>
      </font>
    </dxf>
    <dxf>
      <font>
        <color rgb="FF00B050"/>
      </font>
    </dxf>
    <dxf>
      <font>
        <color rgb="FFFF0000"/>
      </font>
    </dxf>
    <dxf>
      <font>
        <color rgb="FF00B050"/>
      </font>
    </dxf>
    <dxf>
      <font>
        <color rgb="FFFF0000"/>
      </font>
    </dxf>
    <dxf>
      <font>
        <color rgb="FF00B050"/>
      </font>
    </dxf>
  </dxfs>
  <tableStyles count="0" defaultTableStyle="TableStyleMedium2" defaultPivotStyle="PivotStyleLight16"/>
  <colors>
    <mruColors>
      <color rgb="FF997300"/>
      <color rgb="FF9E480E"/>
      <color rgb="FFFF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2.xml"/><Relationship Id="rId1" Type="http://schemas.microsoft.com/office/2011/relationships/chartStyle" Target="style2.xml"/><Relationship Id="rId4" Type="http://schemas.openxmlformats.org/officeDocument/2006/relationships/chartUserShapes" Target="../drawings/drawing4.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4.xml"/><Relationship Id="rId1" Type="http://schemas.microsoft.com/office/2011/relationships/chartStyle" Target="style4.xml"/><Relationship Id="rId4" Type="http://schemas.openxmlformats.org/officeDocument/2006/relationships/chartUserShapes" Target="../drawings/drawing8.xml"/></Relationships>
</file>

<file path=xl/charts/_rels/chart5.xml.rels><?xml version="1.0" encoding="UTF-8" standalone="yes"?>
<Relationships xmlns="http://schemas.openxmlformats.org/package/2006/relationships"><Relationship Id="rId3" Type="http://schemas.openxmlformats.org/officeDocument/2006/relationships/themeOverride" Target="../theme/themeOverride3.xml"/><Relationship Id="rId2" Type="http://schemas.microsoft.com/office/2011/relationships/chartColorStyle" Target="colors5.xml"/><Relationship Id="rId1" Type="http://schemas.microsoft.com/office/2011/relationships/chartStyle" Target="style5.xml"/><Relationship Id="rId4" Type="http://schemas.openxmlformats.org/officeDocument/2006/relationships/chartUserShapes" Target="../drawings/drawing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zh-CN" sz="3600" b="0" i="0" u="none" strike="noStrike" kern="1200" spc="0" baseline="0">
                <a:solidFill>
                  <a:schemeClr val="bg1"/>
                </a:solidFill>
                <a:latin typeface="+mn-lt"/>
                <a:ea typeface="+mn-ea"/>
                <a:cs typeface="+mn-cs"/>
              </a:defRPr>
            </a:pPr>
            <a:r>
              <a:rPr lang="en-GB" sz="3600" b="0" i="0" u="none" strike="noStrike" kern="1200" spc="0" baseline="0">
                <a:solidFill>
                  <a:schemeClr val="bg1"/>
                </a:solidFill>
              </a:rPr>
              <a:t>Polysilicon Prices - Week </a:t>
            </a:r>
            <a:r>
              <a:rPr lang="en-US" altLang="en-GB" sz="3600" b="0" i="0" u="none" strike="noStrike" kern="1200" spc="0" baseline="0">
                <a:solidFill>
                  <a:schemeClr val="bg1"/>
                </a:solidFill>
              </a:rPr>
              <a:t>3</a:t>
            </a:r>
            <a:r>
              <a:rPr lang="en-US" altLang="zh-CN" sz="3600" b="0" i="0" u="none" strike="noStrike" kern="1200" spc="0" baseline="0">
                <a:solidFill>
                  <a:schemeClr val="bg1"/>
                </a:solidFill>
              </a:rPr>
              <a:t>7 /</a:t>
            </a:r>
            <a:r>
              <a:rPr lang="en-GB" sz="3600" b="0" i="0" u="none" strike="noStrike" kern="1200" spc="0" baseline="0">
                <a:solidFill>
                  <a:schemeClr val="bg1"/>
                </a:solidFill>
              </a:rPr>
              <a:t> 202</a:t>
            </a:r>
            <a:r>
              <a:rPr lang="en-US" altLang="en-GB" sz="3600" b="0" i="0" u="none" strike="noStrike" kern="1200" spc="0" baseline="0">
                <a:solidFill>
                  <a:schemeClr val="bg1"/>
                </a:solidFill>
              </a:rPr>
              <a:t>6</a:t>
            </a:r>
          </a:p>
        </c:rich>
      </c:tx>
      <c:layout>
        <c:manualLayout>
          <c:xMode val="edge"/>
          <c:yMode val="edge"/>
          <c:x val="0.352198946265107"/>
          <c:y val="7.7393075356415302E-3"/>
        </c:manualLayout>
      </c:layout>
      <c:overlay val="0"/>
      <c:spPr>
        <a:noFill/>
        <a:ln>
          <a:noFill/>
        </a:ln>
        <a:effectLst/>
      </c:spPr>
      <c:txPr>
        <a:bodyPr rot="0" spcFirstLastPara="1" vertOverflow="ellipsis" vert="horz" wrap="square" anchor="ctr" anchorCtr="1"/>
        <a:lstStyle/>
        <a:p>
          <a:pPr>
            <a:defRPr lang="zh-CN" sz="3600" b="0" i="0" u="none" strike="noStrike" kern="1200" spc="0" baseline="0">
              <a:solidFill>
                <a:schemeClr val="bg1"/>
              </a:solidFill>
              <a:latin typeface="+mn-lt"/>
              <a:ea typeface="+mn-ea"/>
              <a:cs typeface="+mn-cs"/>
            </a:defRPr>
          </a:pPr>
          <a:endParaRPr lang="en-US" altLang="en-GB"/>
        </a:p>
      </c:txPr>
    </c:title>
    <c:autoTitleDeleted val="0"/>
    <c:plotArea>
      <c:layout>
        <c:manualLayout>
          <c:layoutTarget val="inner"/>
          <c:xMode val="edge"/>
          <c:yMode val="edge"/>
          <c:x val="3.9537066889188101E-2"/>
          <c:y val="0.130548603306227"/>
          <c:w val="0.94578670869231996"/>
          <c:h val="0.72370139172108705"/>
        </c:manualLayout>
      </c:layout>
      <c:lineChart>
        <c:grouping val="standard"/>
        <c:varyColors val="0"/>
        <c:ser>
          <c:idx val="0"/>
          <c:order val="0"/>
          <c:tx>
            <c:strRef>
              <c:f>polysilicon!$A$4</c:f>
              <c:strCache>
                <c:ptCount val="1"/>
                <c:pt idx="0">
                  <c:v>Reusable Chinese 9N</c:v>
                </c:pt>
              </c:strCache>
            </c:strRef>
          </c:tx>
          <c:spPr>
            <a:ln w="28575" cap="rnd">
              <a:solidFill>
                <a:schemeClr val="accent2"/>
              </a:solidFill>
              <a:round/>
            </a:ln>
            <a:effectLst/>
          </c:spPr>
          <c:marker>
            <c:symbol val="none"/>
          </c:marker>
          <c:cat>
            <c:multiLvlStrRef>
              <c:f>polysilicon!$B$2:$GF$3</c:f>
              <c:multiLvlStrCache>
                <c:ptCount val="87"/>
                <c:lvl>
                  <c:pt idx="0">
                    <c:v>1</c:v>
                  </c:pt>
                  <c:pt idx="1">
                    <c:v>2</c:v>
                  </c:pt>
                  <c:pt idx="2">
                    <c:v>3</c:v>
                  </c:pt>
                  <c:pt idx="3">
                    <c:v>4</c:v>
                  </c:pt>
                  <c:pt idx="4">
                    <c:v>6</c:v>
                  </c:pt>
                  <c:pt idx="5">
                    <c:v>7</c:v>
                  </c:pt>
                  <c:pt idx="6">
                    <c:v>8</c:v>
                  </c:pt>
                  <c:pt idx="7">
                    <c:v>9</c:v>
                  </c:pt>
                  <c:pt idx="8">
                    <c:v>10</c:v>
                  </c:pt>
                  <c:pt idx="9">
                    <c:v>11</c:v>
                  </c:pt>
                  <c:pt idx="10">
                    <c:v>12</c:v>
                  </c:pt>
                  <c:pt idx="11">
                    <c:v>13</c:v>
                  </c:pt>
                  <c:pt idx="12">
                    <c:v>14</c:v>
                  </c:pt>
                  <c:pt idx="13">
                    <c:v>15</c:v>
                  </c:pt>
                  <c:pt idx="14">
                    <c:v>16</c:v>
                  </c:pt>
                  <c:pt idx="15">
                    <c:v>17</c:v>
                  </c:pt>
                  <c:pt idx="16">
                    <c:v>18</c:v>
                  </c:pt>
                  <c:pt idx="17">
                    <c:v>19</c:v>
                  </c:pt>
                  <c:pt idx="18">
                    <c:v>20</c:v>
                  </c:pt>
                  <c:pt idx="19">
                    <c:v>21</c:v>
                  </c:pt>
                  <c:pt idx="20">
                    <c:v>22</c:v>
                  </c:pt>
                  <c:pt idx="21">
                    <c:v>23</c:v>
                  </c:pt>
                  <c:pt idx="22">
                    <c:v>24</c:v>
                  </c:pt>
                  <c:pt idx="23">
                    <c:v>25</c:v>
                  </c:pt>
                  <c:pt idx="24">
                    <c:v>26</c:v>
                  </c:pt>
                  <c:pt idx="25">
                    <c:v>27</c:v>
                  </c:pt>
                  <c:pt idx="26">
                    <c:v>28</c:v>
                  </c:pt>
                  <c:pt idx="27">
                    <c:v>29</c:v>
                  </c:pt>
                  <c:pt idx="28">
                    <c:v>30</c:v>
                  </c:pt>
                  <c:pt idx="29">
                    <c:v>31</c:v>
                  </c:pt>
                  <c:pt idx="30">
                    <c:v>32</c:v>
                  </c:pt>
                  <c:pt idx="31">
                    <c:v>33</c:v>
                  </c:pt>
                  <c:pt idx="32">
                    <c:v>34</c:v>
                  </c:pt>
                  <c:pt idx="33">
                    <c:v>35</c:v>
                  </c:pt>
                  <c:pt idx="34">
                    <c:v>36</c:v>
                  </c:pt>
                  <c:pt idx="35">
                    <c:v>37</c:v>
                  </c:pt>
                  <c:pt idx="36">
                    <c:v>38</c:v>
                  </c:pt>
                  <c:pt idx="37">
                    <c:v>39</c:v>
                  </c:pt>
                  <c:pt idx="38">
                    <c:v>41</c:v>
                  </c:pt>
                  <c:pt idx="39">
                    <c:v>42</c:v>
                  </c:pt>
                  <c:pt idx="40">
                    <c:v>43</c:v>
                  </c:pt>
                  <c:pt idx="41">
                    <c:v>44</c:v>
                  </c:pt>
                  <c:pt idx="42">
                    <c:v>45</c:v>
                  </c:pt>
                  <c:pt idx="43">
                    <c:v>46</c:v>
                  </c:pt>
                  <c:pt idx="44">
                    <c:v>47</c:v>
                  </c:pt>
                  <c:pt idx="45">
                    <c:v>48</c:v>
                  </c:pt>
                  <c:pt idx="46">
                    <c:v>49</c:v>
                  </c:pt>
                  <c:pt idx="47">
                    <c:v>50</c:v>
                  </c:pt>
                  <c:pt idx="48">
                    <c:v>51</c:v>
                  </c:pt>
                  <c:pt idx="49">
                    <c:v>52</c:v>
                  </c:pt>
                  <c:pt idx="50">
                    <c:v>EoY</c:v>
                  </c:pt>
                  <c:pt idx="51">
                    <c:v>1</c:v>
                  </c:pt>
                  <c:pt idx="52">
                    <c:v>2</c:v>
                  </c:pt>
                  <c:pt idx="53">
                    <c:v>3</c:v>
                  </c:pt>
                  <c:pt idx="54">
                    <c:v>4</c:v>
                  </c:pt>
                  <c:pt idx="55">
                    <c:v>5</c:v>
                  </c:pt>
                  <c:pt idx="56">
                    <c:v>6</c:v>
                  </c:pt>
                  <c:pt idx="57">
                    <c:v>8</c:v>
                  </c:pt>
                  <c:pt idx="58">
                    <c:v>9</c:v>
                  </c:pt>
                  <c:pt idx="59">
                    <c:v>10</c:v>
                  </c:pt>
                  <c:pt idx="60">
                    <c:v>11</c:v>
                  </c:pt>
                  <c:pt idx="61">
                    <c:v>12</c:v>
                  </c:pt>
                  <c:pt idx="62">
                    <c:v>13</c:v>
                  </c:pt>
                  <c:pt idx="63">
                    <c:v>14</c:v>
                  </c:pt>
                  <c:pt idx="64">
                    <c:v>15</c:v>
                  </c:pt>
                  <c:pt idx="65">
                    <c:v>16</c:v>
                  </c:pt>
                  <c:pt idx="66">
                    <c:v>17</c:v>
                  </c:pt>
                  <c:pt idx="67">
                    <c:v>18</c:v>
                  </c:pt>
                  <c:pt idx="68">
                    <c:v>19</c:v>
                  </c:pt>
                  <c:pt idx="69">
                    <c:v>20</c:v>
                  </c:pt>
                  <c:pt idx="70">
                    <c:v>21</c:v>
                  </c:pt>
                  <c:pt idx="71">
                    <c:v>22</c:v>
                  </c:pt>
                  <c:pt idx="72">
                    <c:v>23</c:v>
                  </c:pt>
                  <c:pt idx="73">
                    <c:v>24</c:v>
                  </c:pt>
                  <c:pt idx="74">
                    <c:v>25</c:v>
                  </c:pt>
                  <c:pt idx="75">
                    <c:v>26</c:v>
                  </c:pt>
                  <c:pt idx="76">
                    <c:v>27</c:v>
                  </c:pt>
                  <c:pt idx="77">
                    <c:v>28</c:v>
                  </c:pt>
                  <c:pt idx="78">
                    <c:v>29</c:v>
                  </c:pt>
                  <c:pt idx="79">
                    <c:v>30</c:v>
                  </c:pt>
                  <c:pt idx="80">
                    <c:v>31</c:v>
                  </c:pt>
                  <c:pt idx="81">
                    <c:v>32</c:v>
                  </c:pt>
                  <c:pt idx="82">
                    <c:v>33</c:v>
                  </c:pt>
                  <c:pt idx="83">
                    <c:v>34</c:v>
                  </c:pt>
                  <c:pt idx="84">
                    <c:v>35</c:v>
                  </c:pt>
                  <c:pt idx="85">
                    <c:v>36</c:v>
                  </c:pt>
                  <c:pt idx="86">
                    <c:v>37</c:v>
                  </c:pt>
                </c:lvl>
                <c:lvl>
                  <c:pt idx="0">
                    <c:v>2025</c:v>
                  </c:pt>
                  <c:pt idx="51">
                    <c:v>2026</c:v>
                  </c:pt>
                </c:lvl>
              </c:multiLvlStrCache>
            </c:multiLvlStrRef>
          </c:cat>
          <c:val>
            <c:numRef>
              <c:f>polysilicon!$B$4:$GF$4</c:f>
              <c:numCache>
                <c:formatCode>General</c:formatCode>
                <c:ptCount val="87"/>
                <c:pt idx="0">
                  <c:v>35</c:v>
                </c:pt>
                <c:pt idx="1">
                  <c:v>35</c:v>
                </c:pt>
                <c:pt idx="2">
                  <c:v>35</c:v>
                </c:pt>
                <c:pt idx="3">
                  <c:v>35</c:v>
                </c:pt>
                <c:pt idx="4">
                  <c:v>35</c:v>
                </c:pt>
                <c:pt idx="5">
                  <c:v>35</c:v>
                </c:pt>
                <c:pt idx="6">
                  <c:v>35</c:v>
                </c:pt>
                <c:pt idx="7">
                  <c:v>35</c:v>
                </c:pt>
                <c:pt idx="8">
                  <c:v>35</c:v>
                </c:pt>
                <c:pt idx="9">
                  <c:v>35</c:v>
                </c:pt>
                <c:pt idx="10">
                  <c:v>35</c:v>
                </c:pt>
                <c:pt idx="11">
                  <c:v>35</c:v>
                </c:pt>
                <c:pt idx="12">
                  <c:v>35</c:v>
                </c:pt>
                <c:pt idx="13">
                  <c:v>35</c:v>
                </c:pt>
                <c:pt idx="14">
                  <c:v>35</c:v>
                </c:pt>
                <c:pt idx="15">
                  <c:v>35</c:v>
                </c:pt>
                <c:pt idx="16">
                  <c:v>35</c:v>
                </c:pt>
                <c:pt idx="17">
                  <c:v>35</c:v>
                </c:pt>
                <c:pt idx="18">
                  <c:v>35</c:v>
                </c:pt>
                <c:pt idx="19">
                  <c:v>35</c:v>
                </c:pt>
                <c:pt idx="20">
                  <c:v>35</c:v>
                </c:pt>
                <c:pt idx="21">
                  <c:v>35</c:v>
                </c:pt>
                <c:pt idx="22">
                  <c:v>35</c:v>
                </c:pt>
                <c:pt idx="23">
                  <c:v>33.5</c:v>
                </c:pt>
                <c:pt idx="24">
                  <c:v>33.5</c:v>
                </c:pt>
                <c:pt idx="25">
                  <c:v>33.5</c:v>
                </c:pt>
                <c:pt idx="26">
                  <c:v>33.5</c:v>
                </c:pt>
                <c:pt idx="27">
                  <c:v>43</c:v>
                </c:pt>
                <c:pt idx="28">
                  <c:v>43</c:v>
                </c:pt>
                <c:pt idx="29">
                  <c:v>43</c:v>
                </c:pt>
                <c:pt idx="30">
                  <c:v>43</c:v>
                </c:pt>
                <c:pt idx="31">
                  <c:v>43</c:v>
                </c:pt>
                <c:pt idx="32">
                  <c:v>43</c:v>
                </c:pt>
                <c:pt idx="33">
                  <c:v>43.5</c:v>
                </c:pt>
                <c:pt idx="34">
                  <c:v>43.5</c:v>
                </c:pt>
                <c:pt idx="35">
                  <c:v>43.5</c:v>
                </c:pt>
                <c:pt idx="36">
                  <c:v>43.5</c:v>
                </c:pt>
                <c:pt idx="37">
                  <c:v>43.5</c:v>
                </c:pt>
                <c:pt idx="38">
                  <c:v>43.5</c:v>
                </c:pt>
                <c:pt idx="39">
                  <c:v>43.5</c:v>
                </c:pt>
                <c:pt idx="40">
                  <c:v>43.5</c:v>
                </c:pt>
                <c:pt idx="41">
                  <c:v>43.5</c:v>
                </c:pt>
                <c:pt idx="42">
                  <c:v>43.5</c:v>
                </c:pt>
                <c:pt idx="43">
                  <c:v>43.5</c:v>
                </c:pt>
                <c:pt idx="44">
                  <c:v>43.5</c:v>
                </c:pt>
                <c:pt idx="45">
                  <c:v>43.5</c:v>
                </c:pt>
                <c:pt idx="46">
                  <c:v>43.5</c:v>
                </c:pt>
                <c:pt idx="47">
                  <c:v>43.5</c:v>
                </c:pt>
                <c:pt idx="48">
                  <c:v>43.5</c:v>
                </c:pt>
                <c:pt idx="49">
                  <c:v>43.5</c:v>
                </c:pt>
                <c:pt idx="50">
                  <c:v>43.5</c:v>
                </c:pt>
                <c:pt idx="51">
                  <c:v>43.5</c:v>
                </c:pt>
                <c:pt idx="52">
                  <c:v>43.5</c:v>
                </c:pt>
                <c:pt idx="53">
                  <c:v>43.5</c:v>
                </c:pt>
                <c:pt idx="54">
                  <c:v>43.5</c:v>
                </c:pt>
                <c:pt idx="55">
                  <c:v>43.5</c:v>
                </c:pt>
                <c:pt idx="56">
                  <c:v>43.5</c:v>
                </c:pt>
                <c:pt idx="57">
                  <c:v>43.5</c:v>
                </c:pt>
                <c:pt idx="58">
                  <c:v>43</c:v>
                </c:pt>
                <c:pt idx="59">
                  <c:v>43</c:v>
                </c:pt>
                <c:pt idx="60">
                  <c:v>42.5</c:v>
                </c:pt>
                <c:pt idx="61">
                  <c:v>42.5</c:v>
                </c:pt>
                <c:pt idx="62">
                  <c:v>36</c:v>
                </c:pt>
                <c:pt idx="63">
                  <c:v>34</c:v>
                </c:pt>
                <c:pt idx="64">
                  <c:v>34</c:v>
                </c:pt>
                <c:pt idx="65">
                  <c:v>34</c:v>
                </c:pt>
                <c:pt idx="66">
                  <c:v>34</c:v>
                </c:pt>
                <c:pt idx="67">
                  <c:v>34</c:v>
                </c:pt>
                <c:pt idx="68">
                  <c:v>34</c:v>
                </c:pt>
                <c:pt idx="69">
                  <c:v>33.5</c:v>
                </c:pt>
                <c:pt idx="70">
                  <c:v>33.5</c:v>
                </c:pt>
                <c:pt idx="71">
                  <c:v>33.5</c:v>
                </c:pt>
                <c:pt idx="72">
                  <c:v>32</c:v>
                </c:pt>
                <c:pt idx="73">
                  <c:v>32</c:v>
                </c:pt>
                <c:pt idx="74">
                  <c:v>31</c:v>
                </c:pt>
                <c:pt idx="75">
                  <c:v>31</c:v>
                </c:pt>
                <c:pt idx="76">
                  <c:v>31</c:v>
                </c:pt>
                <c:pt idx="77">
                  <c:v>31</c:v>
                </c:pt>
                <c:pt idx="78">
                  <c:v>31</c:v>
                </c:pt>
                <c:pt idx="79">
                  <c:v>30</c:v>
                </c:pt>
                <c:pt idx="80">
                  <c:v>30</c:v>
                </c:pt>
                <c:pt idx="81">
                  <c:v>30</c:v>
                </c:pt>
                <c:pt idx="82">
                  <c:v>30</c:v>
                </c:pt>
                <c:pt idx="83">
                  <c:v>30</c:v>
                </c:pt>
                <c:pt idx="84">
                  <c:v>30</c:v>
                </c:pt>
                <c:pt idx="85">
                  <c:v>38</c:v>
                </c:pt>
                <c:pt idx="86">
                  <c:v>38</c:v>
                </c:pt>
              </c:numCache>
            </c:numRef>
          </c:val>
          <c:smooth val="0"/>
          <c:extLst>
            <c:ext xmlns:c16="http://schemas.microsoft.com/office/drawing/2014/chart" uri="{C3380CC4-5D6E-409C-BE32-E72D297353CC}">
              <c16:uniqueId val="{00000000-7F90-4E11-86A6-BCDED99B807D}"/>
            </c:ext>
          </c:extLst>
        </c:ser>
        <c:ser>
          <c:idx val="1"/>
          <c:order val="1"/>
          <c:tx>
            <c:strRef>
              <c:f>polysilicon!$A$5</c:f>
              <c:strCache>
                <c:ptCount val="1"/>
                <c:pt idx="0">
                  <c:v>Chinese 9N</c:v>
                </c:pt>
              </c:strCache>
            </c:strRef>
          </c:tx>
          <c:spPr>
            <a:ln w="28575" cap="rnd">
              <a:solidFill>
                <a:schemeClr val="accent2"/>
              </a:solidFill>
              <a:round/>
            </a:ln>
            <a:effectLst/>
          </c:spPr>
          <c:marker>
            <c:symbol val="none"/>
          </c:marker>
          <c:cat>
            <c:multiLvlStrRef>
              <c:f>polysilicon!$B$2:$GF$3</c:f>
              <c:multiLvlStrCache>
                <c:ptCount val="87"/>
                <c:lvl>
                  <c:pt idx="0">
                    <c:v>1</c:v>
                  </c:pt>
                  <c:pt idx="1">
                    <c:v>2</c:v>
                  </c:pt>
                  <c:pt idx="2">
                    <c:v>3</c:v>
                  </c:pt>
                  <c:pt idx="3">
                    <c:v>4</c:v>
                  </c:pt>
                  <c:pt idx="4">
                    <c:v>6</c:v>
                  </c:pt>
                  <c:pt idx="5">
                    <c:v>7</c:v>
                  </c:pt>
                  <c:pt idx="6">
                    <c:v>8</c:v>
                  </c:pt>
                  <c:pt idx="7">
                    <c:v>9</c:v>
                  </c:pt>
                  <c:pt idx="8">
                    <c:v>10</c:v>
                  </c:pt>
                  <c:pt idx="9">
                    <c:v>11</c:v>
                  </c:pt>
                  <c:pt idx="10">
                    <c:v>12</c:v>
                  </c:pt>
                  <c:pt idx="11">
                    <c:v>13</c:v>
                  </c:pt>
                  <c:pt idx="12">
                    <c:v>14</c:v>
                  </c:pt>
                  <c:pt idx="13">
                    <c:v>15</c:v>
                  </c:pt>
                  <c:pt idx="14">
                    <c:v>16</c:v>
                  </c:pt>
                  <c:pt idx="15">
                    <c:v>17</c:v>
                  </c:pt>
                  <c:pt idx="16">
                    <c:v>18</c:v>
                  </c:pt>
                  <c:pt idx="17">
                    <c:v>19</c:v>
                  </c:pt>
                  <c:pt idx="18">
                    <c:v>20</c:v>
                  </c:pt>
                  <c:pt idx="19">
                    <c:v>21</c:v>
                  </c:pt>
                  <c:pt idx="20">
                    <c:v>22</c:v>
                  </c:pt>
                  <c:pt idx="21">
                    <c:v>23</c:v>
                  </c:pt>
                  <c:pt idx="22">
                    <c:v>24</c:v>
                  </c:pt>
                  <c:pt idx="23">
                    <c:v>25</c:v>
                  </c:pt>
                  <c:pt idx="24">
                    <c:v>26</c:v>
                  </c:pt>
                  <c:pt idx="25">
                    <c:v>27</c:v>
                  </c:pt>
                  <c:pt idx="26">
                    <c:v>28</c:v>
                  </c:pt>
                  <c:pt idx="27">
                    <c:v>29</c:v>
                  </c:pt>
                  <c:pt idx="28">
                    <c:v>30</c:v>
                  </c:pt>
                  <c:pt idx="29">
                    <c:v>31</c:v>
                  </c:pt>
                  <c:pt idx="30">
                    <c:v>32</c:v>
                  </c:pt>
                  <c:pt idx="31">
                    <c:v>33</c:v>
                  </c:pt>
                  <c:pt idx="32">
                    <c:v>34</c:v>
                  </c:pt>
                  <c:pt idx="33">
                    <c:v>35</c:v>
                  </c:pt>
                  <c:pt idx="34">
                    <c:v>36</c:v>
                  </c:pt>
                  <c:pt idx="35">
                    <c:v>37</c:v>
                  </c:pt>
                  <c:pt idx="36">
                    <c:v>38</c:v>
                  </c:pt>
                  <c:pt idx="37">
                    <c:v>39</c:v>
                  </c:pt>
                  <c:pt idx="38">
                    <c:v>41</c:v>
                  </c:pt>
                  <c:pt idx="39">
                    <c:v>42</c:v>
                  </c:pt>
                  <c:pt idx="40">
                    <c:v>43</c:v>
                  </c:pt>
                  <c:pt idx="41">
                    <c:v>44</c:v>
                  </c:pt>
                  <c:pt idx="42">
                    <c:v>45</c:v>
                  </c:pt>
                  <c:pt idx="43">
                    <c:v>46</c:v>
                  </c:pt>
                  <c:pt idx="44">
                    <c:v>47</c:v>
                  </c:pt>
                  <c:pt idx="45">
                    <c:v>48</c:v>
                  </c:pt>
                  <c:pt idx="46">
                    <c:v>49</c:v>
                  </c:pt>
                  <c:pt idx="47">
                    <c:v>50</c:v>
                  </c:pt>
                  <c:pt idx="48">
                    <c:v>51</c:v>
                  </c:pt>
                  <c:pt idx="49">
                    <c:v>52</c:v>
                  </c:pt>
                  <c:pt idx="50">
                    <c:v>EoY</c:v>
                  </c:pt>
                  <c:pt idx="51">
                    <c:v>1</c:v>
                  </c:pt>
                  <c:pt idx="52">
                    <c:v>2</c:v>
                  </c:pt>
                  <c:pt idx="53">
                    <c:v>3</c:v>
                  </c:pt>
                  <c:pt idx="54">
                    <c:v>4</c:v>
                  </c:pt>
                  <c:pt idx="55">
                    <c:v>5</c:v>
                  </c:pt>
                  <c:pt idx="56">
                    <c:v>6</c:v>
                  </c:pt>
                  <c:pt idx="57">
                    <c:v>8</c:v>
                  </c:pt>
                  <c:pt idx="58">
                    <c:v>9</c:v>
                  </c:pt>
                  <c:pt idx="59">
                    <c:v>10</c:v>
                  </c:pt>
                  <c:pt idx="60">
                    <c:v>11</c:v>
                  </c:pt>
                  <c:pt idx="61">
                    <c:v>12</c:v>
                  </c:pt>
                  <c:pt idx="62">
                    <c:v>13</c:v>
                  </c:pt>
                  <c:pt idx="63">
                    <c:v>14</c:v>
                  </c:pt>
                  <c:pt idx="64">
                    <c:v>15</c:v>
                  </c:pt>
                  <c:pt idx="65">
                    <c:v>16</c:v>
                  </c:pt>
                  <c:pt idx="66">
                    <c:v>17</c:v>
                  </c:pt>
                  <c:pt idx="67">
                    <c:v>18</c:v>
                  </c:pt>
                  <c:pt idx="68">
                    <c:v>19</c:v>
                  </c:pt>
                  <c:pt idx="69">
                    <c:v>20</c:v>
                  </c:pt>
                  <c:pt idx="70">
                    <c:v>21</c:v>
                  </c:pt>
                  <c:pt idx="71">
                    <c:v>22</c:v>
                  </c:pt>
                  <c:pt idx="72">
                    <c:v>23</c:v>
                  </c:pt>
                  <c:pt idx="73">
                    <c:v>24</c:v>
                  </c:pt>
                  <c:pt idx="74">
                    <c:v>25</c:v>
                  </c:pt>
                  <c:pt idx="75">
                    <c:v>26</c:v>
                  </c:pt>
                  <c:pt idx="76">
                    <c:v>27</c:v>
                  </c:pt>
                  <c:pt idx="77">
                    <c:v>28</c:v>
                  </c:pt>
                  <c:pt idx="78">
                    <c:v>29</c:v>
                  </c:pt>
                  <c:pt idx="79">
                    <c:v>30</c:v>
                  </c:pt>
                  <c:pt idx="80">
                    <c:v>31</c:v>
                  </c:pt>
                  <c:pt idx="81">
                    <c:v>32</c:v>
                  </c:pt>
                  <c:pt idx="82">
                    <c:v>33</c:v>
                  </c:pt>
                  <c:pt idx="83">
                    <c:v>34</c:v>
                  </c:pt>
                  <c:pt idx="84">
                    <c:v>35</c:v>
                  </c:pt>
                  <c:pt idx="85">
                    <c:v>36</c:v>
                  </c:pt>
                  <c:pt idx="86">
                    <c:v>37</c:v>
                  </c:pt>
                </c:lvl>
                <c:lvl>
                  <c:pt idx="0">
                    <c:v>2025</c:v>
                  </c:pt>
                  <c:pt idx="51">
                    <c:v>2026</c:v>
                  </c:pt>
                </c:lvl>
              </c:multiLvlStrCache>
            </c:multiLvlStrRef>
          </c:cat>
          <c:val>
            <c:numRef>
              <c:f>polysilicon!$B$5:$GF$5</c:f>
              <c:numCache>
                <c:formatCode>General</c:formatCode>
                <c:ptCount val="87"/>
                <c:pt idx="0">
                  <c:v>34</c:v>
                </c:pt>
                <c:pt idx="1">
                  <c:v>34</c:v>
                </c:pt>
                <c:pt idx="2">
                  <c:v>34</c:v>
                </c:pt>
                <c:pt idx="3">
                  <c:v>34</c:v>
                </c:pt>
                <c:pt idx="4">
                  <c:v>34</c:v>
                </c:pt>
                <c:pt idx="5">
                  <c:v>34</c:v>
                </c:pt>
                <c:pt idx="6">
                  <c:v>34</c:v>
                </c:pt>
                <c:pt idx="7">
                  <c:v>34</c:v>
                </c:pt>
                <c:pt idx="8">
                  <c:v>34</c:v>
                </c:pt>
                <c:pt idx="9">
                  <c:v>34</c:v>
                </c:pt>
                <c:pt idx="10">
                  <c:v>34</c:v>
                </c:pt>
                <c:pt idx="11">
                  <c:v>34</c:v>
                </c:pt>
                <c:pt idx="12">
                  <c:v>34</c:v>
                </c:pt>
                <c:pt idx="13">
                  <c:v>34</c:v>
                </c:pt>
                <c:pt idx="14">
                  <c:v>34</c:v>
                </c:pt>
                <c:pt idx="15">
                  <c:v>34</c:v>
                </c:pt>
                <c:pt idx="16">
                  <c:v>34</c:v>
                </c:pt>
                <c:pt idx="17">
                  <c:v>34</c:v>
                </c:pt>
                <c:pt idx="18">
                  <c:v>34</c:v>
                </c:pt>
                <c:pt idx="19">
                  <c:v>34</c:v>
                </c:pt>
                <c:pt idx="20">
                  <c:v>34</c:v>
                </c:pt>
                <c:pt idx="21">
                  <c:v>34</c:v>
                </c:pt>
                <c:pt idx="22">
                  <c:v>34</c:v>
                </c:pt>
                <c:pt idx="23">
                  <c:v>32.5</c:v>
                </c:pt>
                <c:pt idx="24">
                  <c:v>32.5</c:v>
                </c:pt>
                <c:pt idx="25">
                  <c:v>32.5</c:v>
                </c:pt>
                <c:pt idx="26">
                  <c:v>32.5</c:v>
                </c:pt>
                <c:pt idx="27">
                  <c:v>42</c:v>
                </c:pt>
                <c:pt idx="28">
                  <c:v>42</c:v>
                </c:pt>
                <c:pt idx="29">
                  <c:v>42</c:v>
                </c:pt>
                <c:pt idx="30">
                  <c:v>42</c:v>
                </c:pt>
                <c:pt idx="31">
                  <c:v>42</c:v>
                </c:pt>
                <c:pt idx="32">
                  <c:v>42</c:v>
                </c:pt>
                <c:pt idx="33">
                  <c:v>42.5</c:v>
                </c:pt>
                <c:pt idx="34">
                  <c:v>42.5</c:v>
                </c:pt>
                <c:pt idx="35">
                  <c:v>42.5</c:v>
                </c:pt>
                <c:pt idx="36">
                  <c:v>42.5</c:v>
                </c:pt>
                <c:pt idx="37">
                  <c:v>42.5</c:v>
                </c:pt>
                <c:pt idx="38">
                  <c:v>42.5</c:v>
                </c:pt>
                <c:pt idx="39">
                  <c:v>42.5</c:v>
                </c:pt>
                <c:pt idx="40">
                  <c:v>42.5</c:v>
                </c:pt>
                <c:pt idx="41">
                  <c:v>42.5</c:v>
                </c:pt>
                <c:pt idx="42">
                  <c:v>42.5</c:v>
                </c:pt>
                <c:pt idx="43">
                  <c:v>42.5</c:v>
                </c:pt>
                <c:pt idx="44">
                  <c:v>42.5</c:v>
                </c:pt>
                <c:pt idx="45">
                  <c:v>42.5</c:v>
                </c:pt>
                <c:pt idx="46">
                  <c:v>42.5</c:v>
                </c:pt>
                <c:pt idx="47">
                  <c:v>42.5</c:v>
                </c:pt>
                <c:pt idx="48">
                  <c:v>42.5</c:v>
                </c:pt>
                <c:pt idx="49">
                  <c:v>42.5</c:v>
                </c:pt>
                <c:pt idx="50">
                  <c:v>42.5</c:v>
                </c:pt>
                <c:pt idx="51">
                  <c:v>42.5</c:v>
                </c:pt>
                <c:pt idx="52">
                  <c:v>42.5</c:v>
                </c:pt>
                <c:pt idx="53">
                  <c:v>42.5</c:v>
                </c:pt>
                <c:pt idx="54">
                  <c:v>42.5</c:v>
                </c:pt>
                <c:pt idx="55">
                  <c:v>42.5</c:v>
                </c:pt>
                <c:pt idx="56">
                  <c:v>42.5</c:v>
                </c:pt>
                <c:pt idx="57">
                  <c:v>42.5</c:v>
                </c:pt>
                <c:pt idx="58">
                  <c:v>42</c:v>
                </c:pt>
                <c:pt idx="59">
                  <c:v>42</c:v>
                </c:pt>
                <c:pt idx="60">
                  <c:v>39.9</c:v>
                </c:pt>
                <c:pt idx="61">
                  <c:v>39.9</c:v>
                </c:pt>
                <c:pt idx="62">
                  <c:v>35.5</c:v>
                </c:pt>
                <c:pt idx="63">
                  <c:v>33</c:v>
                </c:pt>
                <c:pt idx="64">
                  <c:v>33</c:v>
                </c:pt>
                <c:pt idx="65">
                  <c:v>33</c:v>
                </c:pt>
                <c:pt idx="66">
                  <c:v>33</c:v>
                </c:pt>
                <c:pt idx="67">
                  <c:v>33</c:v>
                </c:pt>
                <c:pt idx="68">
                  <c:v>33</c:v>
                </c:pt>
                <c:pt idx="69">
                  <c:v>33</c:v>
                </c:pt>
                <c:pt idx="70">
                  <c:v>32</c:v>
                </c:pt>
                <c:pt idx="71">
                  <c:v>32</c:v>
                </c:pt>
                <c:pt idx="72">
                  <c:v>31</c:v>
                </c:pt>
                <c:pt idx="73">
                  <c:v>31</c:v>
                </c:pt>
                <c:pt idx="74">
                  <c:v>30</c:v>
                </c:pt>
                <c:pt idx="75">
                  <c:v>30</c:v>
                </c:pt>
                <c:pt idx="76">
                  <c:v>30</c:v>
                </c:pt>
                <c:pt idx="77">
                  <c:v>30</c:v>
                </c:pt>
                <c:pt idx="78">
                  <c:v>30</c:v>
                </c:pt>
                <c:pt idx="79">
                  <c:v>28</c:v>
                </c:pt>
                <c:pt idx="80">
                  <c:v>28</c:v>
                </c:pt>
                <c:pt idx="81">
                  <c:v>28</c:v>
                </c:pt>
                <c:pt idx="82">
                  <c:v>28</c:v>
                </c:pt>
                <c:pt idx="83">
                  <c:v>28</c:v>
                </c:pt>
                <c:pt idx="84">
                  <c:v>28</c:v>
                </c:pt>
                <c:pt idx="85">
                  <c:v>36</c:v>
                </c:pt>
                <c:pt idx="86">
                  <c:v>36</c:v>
                </c:pt>
              </c:numCache>
            </c:numRef>
          </c:val>
          <c:smooth val="0"/>
          <c:extLst>
            <c:ext xmlns:c16="http://schemas.microsoft.com/office/drawing/2014/chart" uri="{C3380CC4-5D6E-409C-BE32-E72D297353CC}">
              <c16:uniqueId val="{00000001-7F90-4E11-86A6-BCDED99B807D}"/>
            </c:ext>
          </c:extLst>
        </c:ser>
        <c:ser>
          <c:idx val="3"/>
          <c:order val="2"/>
          <c:tx>
            <c:strRef>
              <c:f>polysilicon!$A$7</c:f>
              <c:strCache>
                <c:ptCount val="1"/>
                <c:pt idx="0">
                  <c:v>n-Type Silicon in China</c:v>
                </c:pt>
              </c:strCache>
            </c:strRef>
          </c:tx>
          <c:spPr>
            <a:ln w="28575" cap="rnd">
              <a:solidFill>
                <a:schemeClr val="accent4"/>
              </a:solidFill>
              <a:round/>
            </a:ln>
            <a:effectLst/>
          </c:spPr>
          <c:marker>
            <c:symbol val="none"/>
          </c:marker>
          <c:cat>
            <c:multiLvlStrRef>
              <c:f>polysilicon!$B$2:$GF$3</c:f>
              <c:multiLvlStrCache>
                <c:ptCount val="87"/>
                <c:lvl>
                  <c:pt idx="0">
                    <c:v>1</c:v>
                  </c:pt>
                  <c:pt idx="1">
                    <c:v>2</c:v>
                  </c:pt>
                  <c:pt idx="2">
                    <c:v>3</c:v>
                  </c:pt>
                  <c:pt idx="3">
                    <c:v>4</c:v>
                  </c:pt>
                  <c:pt idx="4">
                    <c:v>6</c:v>
                  </c:pt>
                  <c:pt idx="5">
                    <c:v>7</c:v>
                  </c:pt>
                  <c:pt idx="6">
                    <c:v>8</c:v>
                  </c:pt>
                  <c:pt idx="7">
                    <c:v>9</c:v>
                  </c:pt>
                  <c:pt idx="8">
                    <c:v>10</c:v>
                  </c:pt>
                  <c:pt idx="9">
                    <c:v>11</c:v>
                  </c:pt>
                  <c:pt idx="10">
                    <c:v>12</c:v>
                  </c:pt>
                  <c:pt idx="11">
                    <c:v>13</c:v>
                  </c:pt>
                  <c:pt idx="12">
                    <c:v>14</c:v>
                  </c:pt>
                  <c:pt idx="13">
                    <c:v>15</c:v>
                  </c:pt>
                  <c:pt idx="14">
                    <c:v>16</c:v>
                  </c:pt>
                  <c:pt idx="15">
                    <c:v>17</c:v>
                  </c:pt>
                  <c:pt idx="16">
                    <c:v>18</c:v>
                  </c:pt>
                  <c:pt idx="17">
                    <c:v>19</c:v>
                  </c:pt>
                  <c:pt idx="18">
                    <c:v>20</c:v>
                  </c:pt>
                  <c:pt idx="19">
                    <c:v>21</c:v>
                  </c:pt>
                  <c:pt idx="20">
                    <c:v>22</c:v>
                  </c:pt>
                  <c:pt idx="21">
                    <c:v>23</c:v>
                  </c:pt>
                  <c:pt idx="22">
                    <c:v>24</c:v>
                  </c:pt>
                  <c:pt idx="23">
                    <c:v>25</c:v>
                  </c:pt>
                  <c:pt idx="24">
                    <c:v>26</c:v>
                  </c:pt>
                  <c:pt idx="25">
                    <c:v>27</c:v>
                  </c:pt>
                  <c:pt idx="26">
                    <c:v>28</c:v>
                  </c:pt>
                  <c:pt idx="27">
                    <c:v>29</c:v>
                  </c:pt>
                  <c:pt idx="28">
                    <c:v>30</c:v>
                  </c:pt>
                  <c:pt idx="29">
                    <c:v>31</c:v>
                  </c:pt>
                  <c:pt idx="30">
                    <c:v>32</c:v>
                  </c:pt>
                  <c:pt idx="31">
                    <c:v>33</c:v>
                  </c:pt>
                  <c:pt idx="32">
                    <c:v>34</c:v>
                  </c:pt>
                  <c:pt idx="33">
                    <c:v>35</c:v>
                  </c:pt>
                  <c:pt idx="34">
                    <c:v>36</c:v>
                  </c:pt>
                  <c:pt idx="35">
                    <c:v>37</c:v>
                  </c:pt>
                  <c:pt idx="36">
                    <c:v>38</c:v>
                  </c:pt>
                  <c:pt idx="37">
                    <c:v>39</c:v>
                  </c:pt>
                  <c:pt idx="38">
                    <c:v>41</c:v>
                  </c:pt>
                  <c:pt idx="39">
                    <c:v>42</c:v>
                  </c:pt>
                  <c:pt idx="40">
                    <c:v>43</c:v>
                  </c:pt>
                  <c:pt idx="41">
                    <c:v>44</c:v>
                  </c:pt>
                  <c:pt idx="42">
                    <c:v>45</c:v>
                  </c:pt>
                  <c:pt idx="43">
                    <c:v>46</c:v>
                  </c:pt>
                  <c:pt idx="44">
                    <c:v>47</c:v>
                  </c:pt>
                  <c:pt idx="45">
                    <c:v>48</c:v>
                  </c:pt>
                  <c:pt idx="46">
                    <c:v>49</c:v>
                  </c:pt>
                  <c:pt idx="47">
                    <c:v>50</c:v>
                  </c:pt>
                  <c:pt idx="48">
                    <c:v>51</c:v>
                  </c:pt>
                  <c:pt idx="49">
                    <c:v>52</c:v>
                  </c:pt>
                  <c:pt idx="50">
                    <c:v>EoY</c:v>
                  </c:pt>
                  <c:pt idx="51">
                    <c:v>1</c:v>
                  </c:pt>
                  <c:pt idx="52">
                    <c:v>2</c:v>
                  </c:pt>
                  <c:pt idx="53">
                    <c:v>3</c:v>
                  </c:pt>
                  <c:pt idx="54">
                    <c:v>4</c:v>
                  </c:pt>
                  <c:pt idx="55">
                    <c:v>5</c:v>
                  </c:pt>
                  <c:pt idx="56">
                    <c:v>6</c:v>
                  </c:pt>
                  <c:pt idx="57">
                    <c:v>8</c:v>
                  </c:pt>
                  <c:pt idx="58">
                    <c:v>9</c:v>
                  </c:pt>
                  <c:pt idx="59">
                    <c:v>10</c:v>
                  </c:pt>
                  <c:pt idx="60">
                    <c:v>11</c:v>
                  </c:pt>
                  <c:pt idx="61">
                    <c:v>12</c:v>
                  </c:pt>
                  <c:pt idx="62">
                    <c:v>13</c:v>
                  </c:pt>
                  <c:pt idx="63">
                    <c:v>14</c:v>
                  </c:pt>
                  <c:pt idx="64">
                    <c:v>15</c:v>
                  </c:pt>
                  <c:pt idx="65">
                    <c:v>16</c:v>
                  </c:pt>
                  <c:pt idx="66">
                    <c:v>17</c:v>
                  </c:pt>
                  <c:pt idx="67">
                    <c:v>18</c:v>
                  </c:pt>
                  <c:pt idx="68">
                    <c:v>19</c:v>
                  </c:pt>
                  <c:pt idx="69">
                    <c:v>20</c:v>
                  </c:pt>
                  <c:pt idx="70">
                    <c:v>21</c:v>
                  </c:pt>
                  <c:pt idx="71">
                    <c:v>22</c:v>
                  </c:pt>
                  <c:pt idx="72">
                    <c:v>23</c:v>
                  </c:pt>
                  <c:pt idx="73">
                    <c:v>24</c:v>
                  </c:pt>
                  <c:pt idx="74">
                    <c:v>25</c:v>
                  </c:pt>
                  <c:pt idx="75">
                    <c:v>26</c:v>
                  </c:pt>
                  <c:pt idx="76">
                    <c:v>27</c:v>
                  </c:pt>
                  <c:pt idx="77">
                    <c:v>28</c:v>
                  </c:pt>
                  <c:pt idx="78">
                    <c:v>29</c:v>
                  </c:pt>
                  <c:pt idx="79">
                    <c:v>30</c:v>
                  </c:pt>
                  <c:pt idx="80">
                    <c:v>31</c:v>
                  </c:pt>
                  <c:pt idx="81">
                    <c:v>32</c:v>
                  </c:pt>
                  <c:pt idx="82">
                    <c:v>33</c:v>
                  </c:pt>
                  <c:pt idx="83">
                    <c:v>34</c:v>
                  </c:pt>
                  <c:pt idx="84">
                    <c:v>35</c:v>
                  </c:pt>
                  <c:pt idx="85">
                    <c:v>36</c:v>
                  </c:pt>
                  <c:pt idx="86">
                    <c:v>37</c:v>
                  </c:pt>
                </c:lvl>
                <c:lvl>
                  <c:pt idx="0">
                    <c:v>2025</c:v>
                  </c:pt>
                  <c:pt idx="51">
                    <c:v>2026</c:v>
                  </c:pt>
                </c:lvl>
              </c:multiLvlStrCache>
            </c:multiLvlStrRef>
          </c:cat>
          <c:val>
            <c:numRef>
              <c:f>polysilicon!$B$7:$GF$7</c:f>
              <c:numCache>
                <c:formatCode>General</c:formatCode>
                <c:ptCount val="87"/>
                <c:pt idx="0">
                  <c:v>40.5</c:v>
                </c:pt>
                <c:pt idx="1">
                  <c:v>42</c:v>
                </c:pt>
                <c:pt idx="2">
                  <c:v>42</c:v>
                </c:pt>
                <c:pt idx="3">
                  <c:v>42</c:v>
                </c:pt>
                <c:pt idx="4">
                  <c:v>42</c:v>
                </c:pt>
                <c:pt idx="5">
                  <c:v>42</c:v>
                </c:pt>
                <c:pt idx="6">
                  <c:v>42</c:v>
                </c:pt>
                <c:pt idx="7">
                  <c:v>42</c:v>
                </c:pt>
                <c:pt idx="8">
                  <c:v>42</c:v>
                </c:pt>
                <c:pt idx="9">
                  <c:v>42</c:v>
                </c:pt>
                <c:pt idx="10">
                  <c:v>42</c:v>
                </c:pt>
                <c:pt idx="11">
                  <c:v>42</c:v>
                </c:pt>
                <c:pt idx="12">
                  <c:v>42</c:v>
                </c:pt>
                <c:pt idx="13">
                  <c:v>42</c:v>
                </c:pt>
                <c:pt idx="14">
                  <c:v>42</c:v>
                </c:pt>
                <c:pt idx="15">
                  <c:v>39.5</c:v>
                </c:pt>
                <c:pt idx="16">
                  <c:v>39.5</c:v>
                </c:pt>
                <c:pt idx="17">
                  <c:v>39.5</c:v>
                </c:pt>
                <c:pt idx="18">
                  <c:v>39.5</c:v>
                </c:pt>
                <c:pt idx="19">
                  <c:v>38.5</c:v>
                </c:pt>
                <c:pt idx="20">
                  <c:v>36.5</c:v>
                </c:pt>
                <c:pt idx="21">
                  <c:v>36.5</c:v>
                </c:pt>
                <c:pt idx="22">
                  <c:v>36.5</c:v>
                </c:pt>
                <c:pt idx="23">
                  <c:v>35.5</c:v>
                </c:pt>
                <c:pt idx="24">
                  <c:v>35.5</c:v>
                </c:pt>
                <c:pt idx="25">
                  <c:v>35.5</c:v>
                </c:pt>
                <c:pt idx="26">
                  <c:v>36</c:v>
                </c:pt>
                <c:pt idx="27">
                  <c:v>46</c:v>
                </c:pt>
                <c:pt idx="28">
                  <c:v>46</c:v>
                </c:pt>
                <c:pt idx="29">
                  <c:v>48</c:v>
                </c:pt>
                <c:pt idx="30">
                  <c:v>48</c:v>
                </c:pt>
                <c:pt idx="31">
                  <c:v>48</c:v>
                </c:pt>
                <c:pt idx="32">
                  <c:v>48</c:v>
                </c:pt>
                <c:pt idx="33">
                  <c:v>50</c:v>
                </c:pt>
                <c:pt idx="34">
                  <c:v>50</c:v>
                </c:pt>
                <c:pt idx="35">
                  <c:v>51</c:v>
                </c:pt>
                <c:pt idx="36">
                  <c:v>51</c:v>
                </c:pt>
                <c:pt idx="37">
                  <c:v>51.5</c:v>
                </c:pt>
                <c:pt idx="38">
                  <c:v>52</c:v>
                </c:pt>
                <c:pt idx="39">
                  <c:v>52.5</c:v>
                </c:pt>
                <c:pt idx="40">
                  <c:v>52.5</c:v>
                </c:pt>
                <c:pt idx="41">
                  <c:v>52.5</c:v>
                </c:pt>
                <c:pt idx="42">
                  <c:v>52.5</c:v>
                </c:pt>
                <c:pt idx="43">
                  <c:v>52.5</c:v>
                </c:pt>
                <c:pt idx="44">
                  <c:v>52.5</c:v>
                </c:pt>
                <c:pt idx="45">
                  <c:v>52.5</c:v>
                </c:pt>
                <c:pt idx="46">
                  <c:v>52.5</c:v>
                </c:pt>
                <c:pt idx="47">
                  <c:v>52.5</c:v>
                </c:pt>
                <c:pt idx="48">
                  <c:v>52.5</c:v>
                </c:pt>
                <c:pt idx="49">
                  <c:v>52.5</c:v>
                </c:pt>
                <c:pt idx="50">
                  <c:v>52.5</c:v>
                </c:pt>
                <c:pt idx="51">
                  <c:v>52.5</c:v>
                </c:pt>
                <c:pt idx="52">
                  <c:v>52.5</c:v>
                </c:pt>
                <c:pt idx="53">
                  <c:v>52.5</c:v>
                </c:pt>
                <c:pt idx="54">
                  <c:v>52.5</c:v>
                </c:pt>
                <c:pt idx="55">
                  <c:v>52.5</c:v>
                </c:pt>
                <c:pt idx="56">
                  <c:v>52.5</c:v>
                </c:pt>
                <c:pt idx="57">
                  <c:v>52.5</c:v>
                </c:pt>
                <c:pt idx="58">
                  <c:v>48</c:v>
                </c:pt>
                <c:pt idx="59">
                  <c:v>48</c:v>
                </c:pt>
                <c:pt idx="60">
                  <c:v>43.5</c:v>
                </c:pt>
                <c:pt idx="61">
                  <c:v>43.5</c:v>
                </c:pt>
                <c:pt idx="62">
                  <c:v>39</c:v>
                </c:pt>
                <c:pt idx="63">
                  <c:v>36</c:v>
                </c:pt>
                <c:pt idx="64">
                  <c:v>36</c:v>
                </c:pt>
                <c:pt idx="65">
                  <c:v>36</c:v>
                </c:pt>
                <c:pt idx="66">
                  <c:v>36</c:v>
                </c:pt>
                <c:pt idx="67">
                  <c:v>36</c:v>
                </c:pt>
                <c:pt idx="68">
                  <c:v>36</c:v>
                </c:pt>
                <c:pt idx="69">
                  <c:v>35.5</c:v>
                </c:pt>
                <c:pt idx="70">
                  <c:v>35</c:v>
                </c:pt>
                <c:pt idx="71">
                  <c:v>35</c:v>
                </c:pt>
                <c:pt idx="72">
                  <c:v>34.5</c:v>
                </c:pt>
                <c:pt idx="73">
                  <c:v>34.5</c:v>
                </c:pt>
                <c:pt idx="74">
                  <c:v>34</c:v>
                </c:pt>
                <c:pt idx="75">
                  <c:v>33.700000000000003</c:v>
                </c:pt>
                <c:pt idx="76">
                  <c:v>33.700000000000003</c:v>
                </c:pt>
                <c:pt idx="77">
                  <c:v>33.700000000000003</c:v>
                </c:pt>
                <c:pt idx="78">
                  <c:v>33.700000000000003</c:v>
                </c:pt>
                <c:pt idx="79">
                  <c:v>32.5</c:v>
                </c:pt>
                <c:pt idx="80">
                  <c:v>32.5</c:v>
                </c:pt>
                <c:pt idx="81">
                  <c:v>32.5</c:v>
                </c:pt>
                <c:pt idx="82">
                  <c:v>32.5</c:v>
                </c:pt>
                <c:pt idx="83">
                  <c:v>32.5</c:v>
                </c:pt>
                <c:pt idx="84">
                  <c:v>32.5</c:v>
                </c:pt>
                <c:pt idx="85">
                  <c:v>43</c:v>
                </c:pt>
                <c:pt idx="86">
                  <c:v>43</c:v>
                </c:pt>
              </c:numCache>
            </c:numRef>
          </c:val>
          <c:smooth val="0"/>
          <c:extLst>
            <c:ext xmlns:c16="http://schemas.microsoft.com/office/drawing/2014/chart" uri="{C3380CC4-5D6E-409C-BE32-E72D297353CC}">
              <c16:uniqueId val="{00000003-7F90-4E11-86A6-BCDED99B807D}"/>
            </c:ext>
          </c:extLst>
        </c:ser>
        <c:ser>
          <c:idx val="4"/>
          <c:order val="3"/>
          <c:tx>
            <c:strRef>
              <c:f>polysilicon!$A$8</c:f>
              <c:strCache>
                <c:ptCount val="1"/>
                <c:pt idx="0">
                  <c:v>Granular Silicon</c:v>
                </c:pt>
              </c:strCache>
            </c:strRef>
          </c:tx>
          <c:spPr>
            <a:ln w="28575" cap="rnd">
              <a:solidFill>
                <a:schemeClr val="accent5"/>
              </a:solidFill>
              <a:round/>
            </a:ln>
            <a:effectLst/>
          </c:spPr>
          <c:marker>
            <c:symbol val="none"/>
          </c:marker>
          <c:cat>
            <c:multiLvlStrRef>
              <c:f>polysilicon!$B$2:$GF$3</c:f>
              <c:multiLvlStrCache>
                <c:ptCount val="87"/>
                <c:lvl>
                  <c:pt idx="0">
                    <c:v>1</c:v>
                  </c:pt>
                  <c:pt idx="1">
                    <c:v>2</c:v>
                  </c:pt>
                  <c:pt idx="2">
                    <c:v>3</c:v>
                  </c:pt>
                  <c:pt idx="3">
                    <c:v>4</c:v>
                  </c:pt>
                  <c:pt idx="4">
                    <c:v>6</c:v>
                  </c:pt>
                  <c:pt idx="5">
                    <c:v>7</c:v>
                  </c:pt>
                  <c:pt idx="6">
                    <c:v>8</c:v>
                  </c:pt>
                  <c:pt idx="7">
                    <c:v>9</c:v>
                  </c:pt>
                  <c:pt idx="8">
                    <c:v>10</c:v>
                  </c:pt>
                  <c:pt idx="9">
                    <c:v>11</c:v>
                  </c:pt>
                  <c:pt idx="10">
                    <c:v>12</c:v>
                  </c:pt>
                  <c:pt idx="11">
                    <c:v>13</c:v>
                  </c:pt>
                  <c:pt idx="12">
                    <c:v>14</c:v>
                  </c:pt>
                  <c:pt idx="13">
                    <c:v>15</c:v>
                  </c:pt>
                  <c:pt idx="14">
                    <c:v>16</c:v>
                  </c:pt>
                  <c:pt idx="15">
                    <c:v>17</c:v>
                  </c:pt>
                  <c:pt idx="16">
                    <c:v>18</c:v>
                  </c:pt>
                  <c:pt idx="17">
                    <c:v>19</c:v>
                  </c:pt>
                  <c:pt idx="18">
                    <c:v>20</c:v>
                  </c:pt>
                  <c:pt idx="19">
                    <c:v>21</c:v>
                  </c:pt>
                  <c:pt idx="20">
                    <c:v>22</c:v>
                  </c:pt>
                  <c:pt idx="21">
                    <c:v>23</c:v>
                  </c:pt>
                  <c:pt idx="22">
                    <c:v>24</c:v>
                  </c:pt>
                  <c:pt idx="23">
                    <c:v>25</c:v>
                  </c:pt>
                  <c:pt idx="24">
                    <c:v>26</c:v>
                  </c:pt>
                  <c:pt idx="25">
                    <c:v>27</c:v>
                  </c:pt>
                  <c:pt idx="26">
                    <c:v>28</c:v>
                  </c:pt>
                  <c:pt idx="27">
                    <c:v>29</c:v>
                  </c:pt>
                  <c:pt idx="28">
                    <c:v>30</c:v>
                  </c:pt>
                  <c:pt idx="29">
                    <c:v>31</c:v>
                  </c:pt>
                  <c:pt idx="30">
                    <c:v>32</c:v>
                  </c:pt>
                  <c:pt idx="31">
                    <c:v>33</c:v>
                  </c:pt>
                  <c:pt idx="32">
                    <c:v>34</c:v>
                  </c:pt>
                  <c:pt idx="33">
                    <c:v>35</c:v>
                  </c:pt>
                  <c:pt idx="34">
                    <c:v>36</c:v>
                  </c:pt>
                  <c:pt idx="35">
                    <c:v>37</c:v>
                  </c:pt>
                  <c:pt idx="36">
                    <c:v>38</c:v>
                  </c:pt>
                  <c:pt idx="37">
                    <c:v>39</c:v>
                  </c:pt>
                  <c:pt idx="38">
                    <c:v>41</c:v>
                  </c:pt>
                  <c:pt idx="39">
                    <c:v>42</c:v>
                  </c:pt>
                  <c:pt idx="40">
                    <c:v>43</c:v>
                  </c:pt>
                  <c:pt idx="41">
                    <c:v>44</c:v>
                  </c:pt>
                  <c:pt idx="42">
                    <c:v>45</c:v>
                  </c:pt>
                  <c:pt idx="43">
                    <c:v>46</c:v>
                  </c:pt>
                  <c:pt idx="44">
                    <c:v>47</c:v>
                  </c:pt>
                  <c:pt idx="45">
                    <c:v>48</c:v>
                  </c:pt>
                  <c:pt idx="46">
                    <c:v>49</c:v>
                  </c:pt>
                  <c:pt idx="47">
                    <c:v>50</c:v>
                  </c:pt>
                  <c:pt idx="48">
                    <c:v>51</c:v>
                  </c:pt>
                  <c:pt idx="49">
                    <c:v>52</c:v>
                  </c:pt>
                  <c:pt idx="50">
                    <c:v>EoY</c:v>
                  </c:pt>
                  <c:pt idx="51">
                    <c:v>1</c:v>
                  </c:pt>
                  <c:pt idx="52">
                    <c:v>2</c:v>
                  </c:pt>
                  <c:pt idx="53">
                    <c:v>3</c:v>
                  </c:pt>
                  <c:pt idx="54">
                    <c:v>4</c:v>
                  </c:pt>
                  <c:pt idx="55">
                    <c:v>5</c:v>
                  </c:pt>
                  <c:pt idx="56">
                    <c:v>6</c:v>
                  </c:pt>
                  <c:pt idx="57">
                    <c:v>8</c:v>
                  </c:pt>
                  <c:pt idx="58">
                    <c:v>9</c:v>
                  </c:pt>
                  <c:pt idx="59">
                    <c:v>10</c:v>
                  </c:pt>
                  <c:pt idx="60">
                    <c:v>11</c:v>
                  </c:pt>
                  <c:pt idx="61">
                    <c:v>12</c:v>
                  </c:pt>
                  <c:pt idx="62">
                    <c:v>13</c:v>
                  </c:pt>
                  <c:pt idx="63">
                    <c:v>14</c:v>
                  </c:pt>
                  <c:pt idx="64">
                    <c:v>15</c:v>
                  </c:pt>
                  <c:pt idx="65">
                    <c:v>16</c:v>
                  </c:pt>
                  <c:pt idx="66">
                    <c:v>17</c:v>
                  </c:pt>
                  <c:pt idx="67">
                    <c:v>18</c:v>
                  </c:pt>
                  <c:pt idx="68">
                    <c:v>19</c:v>
                  </c:pt>
                  <c:pt idx="69">
                    <c:v>20</c:v>
                  </c:pt>
                  <c:pt idx="70">
                    <c:v>21</c:v>
                  </c:pt>
                  <c:pt idx="71">
                    <c:v>22</c:v>
                  </c:pt>
                  <c:pt idx="72">
                    <c:v>23</c:v>
                  </c:pt>
                  <c:pt idx="73">
                    <c:v>24</c:v>
                  </c:pt>
                  <c:pt idx="74">
                    <c:v>25</c:v>
                  </c:pt>
                  <c:pt idx="75">
                    <c:v>26</c:v>
                  </c:pt>
                  <c:pt idx="76">
                    <c:v>27</c:v>
                  </c:pt>
                  <c:pt idx="77">
                    <c:v>28</c:v>
                  </c:pt>
                  <c:pt idx="78">
                    <c:v>29</c:v>
                  </c:pt>
                  <c:pt idx="79">
                    <c:v>30</c:v>
                  </c:pt>
                  <c:pt idx="80">
                    <c:v>31</c:v>
                  </c:pt>
                  <c:pt idx="81">
                    <c:v>32</c:v>
                  </c:pt>
                  <c:pt idx="82">
                    <c:v>33</c:v>
                  </c:pt>
                  <c:pt idx="83">
                    <c:v>34</c:v>
                  </c:pt>
                  <c:pt idx="84">
                    <c:v>35</c:v>
                  </c:pt>
                  <c:pt idx="85">
                    <c:v>36</c:v>
                  </c:pt>
                  <c:pt idx="86">
                    <c:v>37</c:v>
                  </c:pt>
                </c:lvl>
                <c:lvl>
                  <c:pt idx="0">
                    <c:v>2025</c:v>
                  </c:pt>
                  <c:pt idx="51">
                    <c:v>2026</c:v>
                  </c:pt>
                </c:lvl>
              </c:multiLvlStrCache>
            </c:multiLvlStrRef>
          </c:cat>
          <c:val>
            <c:numRef>
              <c:f>polysilicon!$B$8:$GF$8</c:f>
              <c:numCache>
                <c:formatCode>General</c:formatCode>
                <c:ptCount val="87"/>
                <c:pt idx="0">
                  <c:v>37</c:v>
                </c:pt>
                <c:pt idx="1">
                  <c:v>39</c:v>
                </c:pt>
                <c:pt idx="2">
                  <c:v>39</c:v>
                </c:pt>
                <c:pt idx="3">
                  <c:v>39</c:v>
                </c:pt>
                <c:pt idx="4">
                  <c:v>39</c:v>
                </c:pt>
                <c:pt idx="5">
                  <c:v>39</c:v>
                </c:pt>
                <c:pt idx="6">
                  <c:v>39</c:v>
                </c:pt>
                <c:pt idx="7">
                  <c:v>39</c:v>
                </c:pt>
                <c:pt idx="8">
                  <c:v>39</c:v>
                </c:pt>
                <c:pt idx="9">
                  <c:v>39</c:v>
                </c:pt>
                <c:pt idx="10">
                  <c:v>39</c:v>
                </c:pt>
                <c:pt idx="11">
                  <c:v>39</c:v>
                </c:pt>
                <c:pt idx="12">
                  <c:v>39</c:v>
                </c:pt>
                <c:pt idx="13">
                  <c:v>39</c:v>
                </c:pt>
                <c:pt idx="14">
                  <c:v>39</c:v>
                </c:pt>
                <c:pt idx="15">
                  <c:v>37.5</c:v>
                </c:pt>
                <c:pt idx="16">
                  <c:v>37.5</c:v>
                </c:pt>
                <c:pt idx="17">
                  <c:v>36.5</c:v>
                </c:pt>
                <c:pt idx="18">
                  <c:v>35.5</c:v>
                </c:pt>
                <c:pt idx="19">
                  <c:v>35.5</c:v>
                </c:pt>
                <c:pt idx="20">
                  <c:v>35.5</c:v>
                </c:pt>
                <c:pt idx="21">
                  <c:v>35.5</c:v>
                </c:pt>
                <c:pt idx="22">
                  <c:v>35.5</c:v>
                </c:pt>
                <c:pt idx="23">
                  <c:v>34</c:v>
                </c:pt>
                <c:pt idx="24">
                  <c:v>34</c:v>
                </c:pt>
                <c:pt idx="25">
                  <c:v>36</c:v>
                </c:pt>
                <c:pt idx="26">
                  <c:v>34</c:v>
                </c:pt>
                <c:pt idx="27">
                  <c:v>44</c:v>
                </c:pt>
                <c:pt idx="28">
                  <c:v>44</c:v>
                </c:pt>
                <c:pt idx="29">
                  <c:v>45</c:v>
                </c:pt>
                <c:pt idx="30">
                  <c:v>45</c:v>
                </c:pt>
                <c:pt idx="31">
                  <c:v>45</c:v>
                </c:pt>
                <c:pt idx="32">
                  <c:v>45</c:v>
                </c:pt>
                <c:pt idx="33">
                  <c:v>47</c:v>
                </c:pt>
                <c:pt idx="34">
                  <c:v>47</c:v>
                </c:pt>
                <c:pt idx="35">
                  <c:v>49</c:v>
                </c:pt>
                <c:pt idx="36">
                  <c:v>49</c:v>
                </c:pt>
                <c:pt idx="37">
                  <c:v>50</c:v>
                </c:pt>
                <c:pt idx="38">
                  <c:v>50</c:v>
                </c:pt>
                <c:pt idx="39">
                  <c:v>50</c:v>
                </c:pt>
                <c:pt idx="40">
                  <c:v>50</c:v>
                </c:pt>
                <c:pt idx="41">
                  <c:v>50</c:v>
                </c:pt>
                <c:pt idx="42">
                  <c:v>50</c:v>
                </c:pt>
                <c:pt idx="43">
                  <c:v>50</c:v>
                </c:pt>
                <c:pt idx="44">
                  <c:v>50</c:v>
                </c:pt>
                <c:pt idx="45">
                  <c:v>50</c:v>
                </c:pt>
                <c:pt idx="46">
                  <c:v>50</c:v>
                </c:pt>
                <c:pt idx="47">
                  <c:v>50</c:v>
                </c:pt>
                <c:pt idx="48">
                  <c:v>50</c:v>
                </c:pt>
                <c:pt idx="49">
                  <c:v>50</c:v>
                </c:pt>
                <c:pt idx="50">
                  <c:v>50</c:v>
                </c:pt>
                <c:pt idx="51">
                  <c:v>50</c:v>
                </c:pt>
                <c:pt idx="52">
                  <c:v>50</c:v>
                </c:pt>
                <c:pt idx="53">
                  <c:v>50</c:v>
                </c:pt>
                <c:pt idx="54">
                  <c:v>50</c:v>
                </c:pt>
                <c:pt idx="55">
                  <c:v>50</c:v>
                </c:pt>
                <c:pt idx="56">
                  <c:v>50</c:v>
                </c:pt>
                <c:pt idx="57">
                  <c:v>50</c:v>
                </c:pt>
                <c:pt idx="58">
                  <c:v>46</c:v>
                </c:pt>
                <c:pt idx="59">
                  <c:v>46</c:v>
                </c:pt>
                <c:pt idx="60">
                  <c:v>42.5</c:v>
                </c:pt>
                <c:pt idx="61">
                  <c:v>42.5</c:v>
                </c:pt>
                <c:pt idx="62">
                  <c:v>38</c:v>
                </c:pt>
                <c:pt idx="63">
                  <c:v>35</c:v>
                </c:pt>
                <c:pt idx="64">
                  <c:v>35</c:v>
                </c:pt>
                <c:pt idx="65">
                  <c:v>35</c:v>
                </c:pt>
                <c:pt idx="66">
                  <c:v>35</c:v>
                </c:pt>
                <c:pt idx="67">
                  <c:v>35</c:v>
                </c:pt>
                <c:pt idx="68">
                  <c:v>35</c:v>
                </c:pt>
                <c:pt idx="69">
                  <c:v>35</c:v>
                </c:pt>
                <c:pt idx="70">
                  <c:v>33.5</c:v>
                </c:pt>
                <c:pt idx="71">
                  <c:v>33.5</c:v>
                </c:pt>
                <c:pt idx="72">
                  <c:v>33.5</c:v>
                </c:pt>
                <c:pt idx="73">
                  <c:v>33.5</c:v>
                </c:pt>
                <c:pt idx="74">
                  <c:v>33</c:v>
                </c:pt>
                <c:pt idx="75">
                  <c:v>33</c:v>
                </c:pt>
                <c:pt idx="76">
                  <c:v>33</c:v>
                </c:pt>
                <c:pt idx="77">
                  <c:v>33</c:v>
                </c:pt>
                <c:pt idx="78">
                  <c:v>33</c:v>
                </c:pt>
                <c:pt idx="79">
                  <c:v>31.5</c:v>
                </c:pt>
                <c:pt idx="80">
                  <c:v>31.5</c:v>
                </c:pt>
                <c:pt idx="81">
                  <c:v>31.5</c:v>
                </c:pt>
                <c:pt idx="82">
                  <c:v>31.5</c:v>
                </c:pt>
                <c:pt idx="83">
                  <c:v>31.5</c:v>
                </c:pt>
                <c:pt idx="84">
                  <c:v>31.5</c:v>
                </c:pt>
                <c:pt idx="85">
                  <c:v>41</c:v>
                </c:pt>
                <c:pt idx="86">
                  <c:v>41</c:v>
                </c:pt>
              </c:numCache>
            </c:numRef>
          </c:val>
          <c:smooth val="0"/>
          <c:extLst>
            <c:ext xmlns:c16="http://schemas.microsoft.com/office/drawing/2014/chart" uri="{C3380CC4-5D6E-409C-BE32-E72D297353CC}">
              <c16:uniqueId val="{00000004-7F90-4E11-86A6-BCDED99B807D}"/>
            </c:ext>
          </c:extLst>
        </c:ser>
        <c:dLbls>
          <c:showLegendKey val="0"/>
          <c:showVal val="0"/>
          <c:showCatName val="0"/>
          <c:showSerName val="0"/>
          <c:showPercent val="0"/>
          <c:showBubbleSize val="0"/>
        </c:dLbls>
        <c:smooth val="0"/>
        <c:axId val="1846869999"/>
        <c:axId val="1847551151"/>
      </c:lineChart>
      <c:catAx>
        <c:axId val="18468699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1"/>
          <a:lstStyle/>
          <a:p>
            <a:pPr>
              <a:defRPr lang="zh-CN" sz="1200" b="0" i="0" u="none" strike="noStrike" kern="1200" baseline="0">
                <a:solidFill>
                  <a:schemeClr val="bg1"/>
                </a:solidFill>
                <a:latin typeface="+mn-lt"/>
                <a:ea typeface="+mn-ea"/>
                <a:cs typeface="+mn-cs"/>
              </a:defRPr>
            </a:pPr>
            <a:endParaRPr lang="en-US"/>
          </a:p>
        </c:txPr>
        <c:crossAx val="1847551151"/>
        <c:crosses val="autoZero"/>
        <c:auto val="1"/>
        <c:lblAlgn val="ctr"/>
        <c:lblOffset val="100"/>
        <c:tickLblSkip val="1"/>
        <c:noMultiLvlLbl val="0"/>
      </c:catAx>
      <c:valAx>
        <c:axId val="1847551151"/>
        <c:scaling>
          <c:orientation val="minMax"/>
        </c:scaling>
        <c:delete val="0"/>
        <c:axPos val="l"/>
        <c:title>
          <c:tx>
            <c:rich>
              <a:bodyPr rot="-5400000" spcFirstLastPara="1" vertOverflow="ellipsis" vert="horz" wrap="square" anchor="ctr" anchorCtr="1"/>
              <a:lstStyle/>
              <a:p>
                <a:pPr>
                  <a:defRPr lang="zh-CN" sz="1600" b="0" i="0" u="none" strike="noStrike" kern="1200" baseline="0">
                    <a:solidFill>
                      <a:schemeClr val="bg1"/>
                    </a:solidFill>
                    <a:latin typeface="+mn-lt"/>
                    <a:ea typeface="+mn-ea"/>
                    <a:cs typeface="+mn-cs"/>
                  </a:defRPr>
                </a:pPr>
                <a:r>
                  <a:rPr lang="en-GB" sz="1600" b="0" i="0" u="none" strike="noStrike" kern="1200" baseline="0">
                    <a:solidFill>
                      <a:schemeClr val="bg1"/>
                    </a:solidFill>
                  </a:rPr>
                  <a:t>Price (RMB/kg)</a:t>
                </a:r>
              </a:p>
            </c:rich>
          </c:tx>
          <c:overlay val="0"/>
          <c:spPr>
            <a:noFill/>
            <a:ln>
              <a:noFill/>
            </a:ln>
            <a:effectLst/>
          </c:spPr>
          <c:txPr>
            <a:bodyPr rot="-5400000" spcFirstLastPara="1" vertOverflow="ellipsis" vert="horz" wrap="square" anchor="ctr" anchorCtr="1"/>
            <a:lstStyle/>
            <a:p>
              <a:pPr>
                <a:defRPr lang="zh-CN" sz="1600" b="0" i="0" u="none" strike="noStrike" kern="1200" baseline="0">
                  <a:solidFill>
                    <a:schemeClr val="bg1"/>
                  </a:solidFill>
                  <a:latin typeface="+mn-lt"/>
                  <a:ea typeface="+mn-ea"/>
                  <a:cs typeface="+mn-cs"/>
                </a:defRPr>
              </a:pPr>
              <a:endParaRPr lang="en-GB"/>
            </a:p>
          </c:txPr>
        </c:title>
        <c:numFmt formatCode="General" sourceLinked="1"/>
        <c:majorTickMark val="out"/>
        <c:minorTickMark val="none"/>
        <c:tickLblPos val="nextTo"/>
        <c:spPr>
          <a:noFill/>
          <a:ln>
            <a:solidFill>
              <a:schemeClr val="bg1"/>
            </a:solidFill>
          </a:ln>
          <a:effectLst/>
        </c:spPr>
        <c:txPr>
          <a:bodyPr rot="-60000000" spcFirstLastPara="1" vertOverflow="ellipsis" vert="horz" wrap="square" anchor="ctr" anchorCtr="1"/>
          <a:lstStyle/>
          <a:p>
            <a:pPr>
              <a:defRPr lang="zh-CN" sz="1400" b="0" i="0" u="none" strike="noStrike" kern="1200" baseline="0">
                <a:solidFill>
                  <a:schemeClr val="bg1"/>
                </a:solidFill>
                <a:latin typeface="+mn-lt"/>
                <a:ea typeface="+mn-ea"/>
                <a:cs typeface="+mn-cs"/>
              </a:defRPr>
            </a:pPr>
            <a:endParaRPr lang="en-US"/>
          </a:p>
        </c:txPr>
        <c:crossAx val="184686999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lang="zh-CN" sz="1600" b="0" i="0" u="none" strike="noStrike" kern="1200" baseline="0">
              <a:solidFill>
                <a:schemeClr val="bg1"/>
              </a:solidFill>
              <a:latin typeface="+mn-lt"/>
              <a:ea typeface="+mn-ea"/>
              <a:cs typeface="+mn-cs"/>
            </a:defRPr>
          </a:pPr>
          <a:endParaRPr lang="en-US"/>
        </a:p>
      </c:txPr>
    </c:legend>
    <c:plotVisOnly val="1"/>
    <c:dispBlanksAs val="gap"/>
    <c:showDLblsOverMax val="0"/>
    <c:extLst>
      <c:ext uri="{0b15fc19-7d7d-44ad-8c2d-2c3a37ce22c3}">
        <chartProps xmlns="https://web.wps.cn/et/2018/main" chartId="{7369e189-45df-4429-b509-f0a91594108e}"/>
      </c:ext>
    </c:extLst>
  </c:chart>
  <c:spPr>
    <a:solidFill>
      <a:schemeClr val="tx1"/>
    </a:solidFill>
    <a:ln w="9525" cap="flat" cmpd="sng" algn="ctr">
      <a:solidFill>
        <a:schemeClr val="tx1">
          <a:lumMod val="15000"/>
          <a:lumOff val="85000"/>
        </a:schemeClr>
      </a:solidFill>
      <a:round/>
    </a:ln>
    <a:effectLst/>
  </c:spPr>
  <c:txPr>
    <a:bodyPr/>
    <a:lstStyle/>
    <a:p>
      <a:pPr>
        <a:defRPr lang="zh-CN" sz="1400">
          <a:solidFill>
            <a:schemeClr val="bg1"/>
          </a:solidFill>
        </a:defRPr>
      </a:pPr>
      <a:endParaRPr lang="en-US"/>
    </a:p>
  </c:txPr>
  <c:printSettings>
    <c:headerFooter/>
    <c:pageMargins b="0.75" l="0.7" r="0.7" t="0.75" header="0.3" footer="0.3"/>
    <c:pageSetup/>
  </c:printSettings>
  <c:userShapes r:id="rId3"/>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lang="zh-CN" sz="1680" b="0" i="0" u="none" strike="noStrike" kern="1200" spc="0" baseline="0">
                <a:solidFill>
                  <a:schemeClr val="bg1"/>
                </a:solidFill>
                <a:latin typeface="+mn-lt"/>
                <a:ea typeface="+mn-ea"/>
                <a:cs typeface="+mn-cs"/>
              </a:defRPr>
            </a:pPr>
            <a:r>
              <a:rPr lang="en-IN" sz="3600"/>
              <a:t>Solar Wafer Prices  - Week </a:t>
            </a:r>
            <a:r>
              <a:rPr lang="en-US" altLang="en-IN" sz="3600"/>
              <a:t>37 </a:t>
            </a:r>
            <a:r>
              <a:rPr lang="en-IN" sz="3600"/>
              <a:t>/ 202</a:t>
            </a:r>
            <a:r>
              <a:rPr lang="en-US" altLang="en-IN" sz="3600"/>
              <a:t>6</a:t>
            </a:r>
          </a:p>
        </c:rich>
      </c:tx>
      <c:layout>
        <c:manualLayout>
          <c:xMode val="edge"/>
          <c:yMode val="edge"/>
          <c:x val="0.29246968083555147"/>
          <c:y val="1.2945575351778454E-3"/>
        </c:manualLayout>
      </c:layout>
      <c:overlay val="0"/>
      <c:spPr>
        <a:noFill/>
        <a:ln>
          <a:noFill/>
        </a:ln>
        <a:effectLst/>
      </c:spPr>
      <c:txPr>
        <a:bodyPr rot="0" spcFirstLastPara="1" vertOverflow="ellipsis" vert="horz" wrap="square" anchor="ctr" anchorCtr="1"/>
        <a:lstStyle/>
        <a:p>
          <a:pPr>
            <a:defRPr lang="zh-CN" sz="1680" b="0" i="0" u="none" strike="noStrike" kern="1200" spc="0" baseline="0">
              <a:solidFill>
                <a:schemeClr val="bg1"/>
              </a:solidFill>
              <a:latin typeface="+mn-lt"/>
              <a:ea typeface="+mn-ea"/>
              <a:cs typeface="+mn-cs"/>
            </a:defRPr>
          </a:pPr>
          <a:endParaRPr lang="en-US" altLang="en-IN"/>
        </a:p>
      </c:txPr>
    </c:title>
    <c:autoTitleDeleted val="0"/>
    <c:plotArea>
      <c:layout>
        <c:manualLayout>
          <c:layoutTarget val="inner"/>
          <c:xMode val="edge"/>
          <c:yMode val="edge"/>
          <c:x val="4.3173675612487999E-2"/>
          <c:y val="0.13318418297728499"/>
          <c:w val="0.94755176006221498"/>
          <c:h val="0.61527373237637295"/>
        </c:manualLayout>
      </c:layout>
      <c:lineChart>
        <c:grouping val="standard"/>
        <c:varyColors val="0"/>
        <c:ser>
          <c:idx val="0"/>
          <c:order val="0"/>
          <c:tx>
            <c:strRef>
              <c:f>Wafer!$A$4</c:f>
              <c:strCache>
                <c:ptCount val="1"/>
                <c:pt idx="0">
                  <c:v>p-type, 182 mm, 150 µm</c:v>
                </c:pt>
              </c:strCache>
            </c:strRef>
          </c:tx>
          <c:spPr>
            <a:ln w="28575" cap="rnd">
              <a:solidFill>
                <a:schemeClr val="accent2"/>
              </a:solidFill>
              <a:round/>
            </a:ln>
            <a:effectLst/>
          </c:spPr>
          <c:marker>
            <c:symbol val="none"/>
          </c:marker>
          <c:cat>
            <c:multiLvlStrRef>
              <c:f>Wafer!$CX$2:$GF$3</c:f>
              <c:multiLvlStrCache>
                <c:ptCount val="87"/>
                <c:lvl>
                  <c:pt idx="0">
                    <c:v>1</c:v>
                  </c:pt>
                  <c:pt idx="1">
                    <c:v>2</c:v>
                  </c:pt>
                  <c:pt idx="2">
                    <c:v>3</c:v>
                  </c:pt>
                  <c:pt idx="3">
                    <c:v>4</c:v>
                  </c:pt>
                  <c:pt idx="4">
                    <c:v>6</c:v>
                  </c:pt>
                  <c:pt idx="5">
                    <c:v>7</c:v>
                  </c:pt>
                  <c:pt idx="6">
                    <c:v>8</c:v>
                  </c:pt>
                  <c:pt idx="7">
                    <c:v>9</c:v>
                  </c:pt>
                  <c:pt idx="8">
                    <c:v>10</c:v>
                  </c:pt>
                  <c:pt idx="9">
                    <c:v>11</c:v>
                  </c:pt>
                  <c:pt idx="10">
                    <c:v>12</c:v>
                  </c:pt>
                  <c:pt idx="11">
                    <c:v>13</c:v>
                  </c:pt>
                  <c:pt idx="12">
                    <c:v>14</c:v>
                  </c:pt>
                  <c:pt idx="13">
                    <c:v>15</c:v>
                  </c:pt>
                  <c:pt idx="14">
                    <c:v>16</c:v>
                  </c:pt>
                  <c:pt idx="15">
                    <c:v>17</c:v>
                  </c:pt>
                  <c:pt idx="16">
                    <c:v>18</c:v>
                  </c:pt>
                  <c:pt idx="17">
                    <c:v>19</c:v>
                  </c:pt>
                  <c:pt idx="18">
                    <c:v>20</c:v>
                  </c:pt>
                  <c:pt idx="19">
                    <c:v>21</c:v>
                  </c:pt>
                  <c:pt idx="20">
                    <c:v>22</c:v>
                  </c:pt>
                  <c:pt idx="21">
                    <c:v>23</c:v>
                  </c:pt>
                  <c:pt idx="22">
                    <c:v>24</c:v>
                  </c:pt>
                  <c:pt idx="23">
                    <c:v>25</c:v>
                  </c:pt>
                  <c:pt idx="24">
                    <c:v>26</c:v>
                  </c:pt>
                  <c:pt idx="25">
                    <c:v>27</c:v>
                  </c:pt>
                  <c:pt idx="26">
                    <c:v>28</c:v>
                  </c:pt>
                  <c:pt idx="27">
                    <c:v>29</c:v>
                  </c:pt>
                  <c:pt idx="28">
                    <c:v>30</c:v>
                  </c:pt>
                  <c:pt idx="29">
                    <c:v>31</c:v>
                  </c:pt>
                  <c:pt idx="30">
                    <c:v>32</c:v>
                  </c:pt>
                  <c:pt idx="31">
                    <c:v>33</c:v>
                  </c:pt>
                  <c:pt idx="32">
                    <c:v>34</c:v>
                  </c:pt>
                  <c:pt idx="33">
                    <c:v>35</c:v>
                  </c:pt>
                  <c:pt idx="34">
                    <c:v>36</c:v>
                  </c:pt>
                  <c:pt idx="35">
                    <c:v>37</c:v>
                  </c:pt>
                  <c:pt idx="36">
                    <c:v>38</c:v>
                  </c:pt>
                  <c:pt idx="37">
                    <c:v>39</c:v>
                  </c:pt>
                  <c:pt idx="38">
                    <c:v>41</c:v>
                  </c:pt>
                  <c:pt idx="39">
                    <c:v>42</c:v>
                  </c:pt>
                  <c:pt idx="40">
                    <c:v>43</c:v>
                  </c:pt>
                  <c:pt idx="41">
                    <c:v>44</c:v>
                  </c:pt>
                  <c:pt idx="42">
                    <c:v>45</c:v>
                  </c:pt>
                  <c:pt idx="43">
                    <c:v>46</c:v>
                  </c:pt>
                  <c:pt idx="44">
                    <c:v>47</c:v>
                  </c:pt>
                  <c:pt idx="45">
                    <c:v>48</c:v>
                  </c:pt>
                  <c:pt idx="46">
                    <c:v>49</c:v>
                  </c:pt>
                  <c:pt idx="47">
                    <c:v>50</c:v>
                  </c:pt>
                  <c:pt idx="48">
                    <c:v>51</c:v>
                  </c:pt>
                  <c:pt idx="49">
                    <c:v>52</c:v>
                  </c:pt>
                  <c:pt idx="50">
                    <c:v>EoY</c:v>
                  </c:pt>
                  <c:pt idx="51">
                    <c:v>1</c:v>
                  </c:pt>
                  <c:pt idx="52">
                    <c:v>2</c:v>
                  </c:pt>
                  <c:pt idx="53">
                    <c:v>3</c:v>
                  </c:pt>
                  <c:pt idx="54">
                    <c:v>4</c:v>
                  </c:pt>
                  <c:pt idx="55">
                    <c:v>5</c:v>
                  </c:pt>
                  <c:pt idx="56">
                    <c:v>6</c:v>
                  </c:pt>
                  <c:pt idx="57">
                    <c:v>8</c:v>
                  </c:pt>
                  <c:pt idx="58">
                    <c:v>9</c:v>
                  </c:pt>
                  <c:pt idx="59">
                    <c:v>10</c:v>
                  </c:pt>
                  <c:pt idx="60">
                    <c:v>11</c:v>
                  </c:pt>
                  <c:pt idx="61">
                    <c:v>12</c:v>
                  </c:pt>
                  <c:pt idx="62">
                    <c:v>13</c:v>
                  </c:pt>
                  <c:pt idx="63">
                    <c:v>14</c:v>
                  </c:pt>
                  <c:pt idx="64">
                    <c:v>15</c:v>
                  </c:pt>
                  <c:pt idx="65">
                    <c:v>16</c:v>
                  </c:pt>
                  <c:pt idx="66">
                    <c:v>17</c:v>
                  </c:pt>
                  <c:pt idx="67">
                    <c:v>18</c:v>
                  </c:pt>
                  <c:pt idx="68">
                    <c:v>19</c:v>
                  </c:pt>
                  <c:pt idx="69">
                    <c:v>20</c:v>
                  </c:pt>
                  <c:pt idx="70">
                    <c:v>21</c:v>
                  </c:pt>
                  <c:pt idx="71">
                    <c:v>22</c:v>
                  </c:pt>
                  <c:pt idx="72">
                    <c:v>23</c:v>
                  </c:pt>
                  <c:pt idx="73">
                    <c:v>24</c:v>
                  </c:pt>
                  <c:pt idx="74">
                    <c:v>25</c:v>
                  </c:pt>
                  <c:pt idx="75">
                    <c:v>26</c:v>
                  </c:pt>
                  <c:pt idx="76">
                    <c:v>27</c:v>
                  </c:pt>
                  <c:pt idx="77">
                    <c:v>28</c:v>
                  </c:pt>
                  <c:pt idx="78">
                    <c:v>29</c:v>
                  </c:pt>
                  <c:pt idx="79">
                    <c:v>30</c:v>
                  </c:pt>
                  <c:pt idx="80">
                    <c:v>31</c:v>
                  </c:pt>
                  <c:pt idx="81">
                    <c:v>32</c:v>
                  </c:pt>
                  <c:pt idx="82">
                    <c:v>33</c:v>
                  </c:pt>
                  <c:pt idx="83">
                    <c:v>34</c:v>
                  </c:pt>
                  <c:pt idx="84">
                    <c:v>35</c:v>
                  </c:pt>
                  <c:pt idx="85">
                    <c:v>36</c:v>
                  </c:pt>
                  <c:pt idx="86">
                    <c:v>37</c:v>
                  </c:pt>
                </c:lvl>
                <c:lvl>
                  <c:pt idx="0">
                    <c:v>2025</c:v>
                  </c:pt>
                  <c:pt idx="51">
                    <c:v>2026</c:v>
                  </c:pt>
                </c:lvl>
              </c:multiLvlStrCache>
            </c:multiLvlStrRef>
          </c:cat>
          <c:val>
            <c:numRef>
              <c:f>Wafer!$CX$4:$GF$4</c:f>
              <c:numCache>
                <c:formatCode>General</c:formatCode>
                <c:ptCount val="87"/>
                <c:pt idx="0">
                  <c:v>1.08</c:v>
                </c:pt>
                <c:pt idx="1">
                  <c:v>1.08</c:v>
                </c:pt>
                <c:pt idx="2">
                  <c:v>1.08</c:v>
                </c:pt>
                <c:pt idx="3">
                  <c:v>1.08</c:v>
                </c:pt>
                <c:pt idx="4">
                  <c:v>1.08</c:v>
                </c:pt>
                <c:pt idx="5">
                  <c:v>1.08</c:v>
                </c:pt>
                <c:pt idx="6">
                  <c:v>1.08</c:v>
                </c:pt>
                <c:pt idx="7">
                  <c:v>1.08</c:v>
                </c:pt>
                <c:pt idx="8">
                  <c:v>1.08</c:v>
                </c:pt>
                <c:pt idx="9">
                  <c:v>1.08</c:v>
                </c:pt>
                <c:pt idx="10">
                  <c:v>1.08</c:v>
                </c:pt>
                <c:pt idx="11">
                  <c:v>1.08</c:v>
                </c:pt>
              </c:numCache>
            </c:numRef>
          </c:val>
          <c:smooth val="0"/>
          <c:extLst>
            <c:ext xmlns:c16="http://schemas.microsoft.com/office/drawing/2014/chart" uri="{C3380CC4-5D6E-409C-BE32-E72D297353CC}">
              <c16:uniqueId val="{00000000-BB79-405B-8881-68DFA2F36E9D}"/>
            </c:ext>
          </c:extLst>
        </c:ser>
        <c:ser>
          <c:idx val="1"/>
          <c:order val="1"/>
          <c:tx>
            <c:strRef>
              <c:f>Wafer!$A$5</c:f>
              <c:strCache>
                <c:ptCount val="1"/>
                <c:pt idx="0">
                  <c:v>p-type 210 mm, 150 µm</c:v>
                </c:pt>
              </c:strCache>
            </c:strRef>
          </c:tx>
          <c:spPr>
            <a:ln w="28575" cap="rnd">
              <a:solidFill>
                <a:schemeClr val="accent6"/>
              </a:solidFill>
              <a:round/>
            </a:ln>
            <a:effectLst/>
          </c:spPr>
          <c:marker>
            <c:symbol val="none"/>
          </c:marker>
          <c:cat>
            <c:multiLvlStrRef>
              <c:f>Wafer!$CX$2:$GF$3</c:f>
              <c:multiLvlStrCache>
                <c:ptCount val="87"/>
                <c:lvl>
                  <c:pt idx="0">
                    <c:v>1</c:v>
                  </c:pt>
                  <c:pt idx="1">
                    <c:v>2</c:v>
                  </c:pt>
                  <c:pt idx="2">
                    <c:v>3</c:v>
                  </c:pt>
                  <c:pt idx="3">
                    <c:v>4</c:v>
                  </c:pt>
                  <c:pt idx="4">
                    <c:v>6</c:v>
                  </c:pt>
                  <c:pt idx="5">
                    <c:v>7</c:v>
                  </c:pt>
                  <c:pt idx="6">
                    <c:v>8</c:v>
                  </c:pt>
                  <c:pt idx="7">
                    <c:v>9</c:v>
                  </c:pt>
                  <c:pt idx="8">
                    <c:v>10</c:v>
                  </c:pt>
                  <c:pt idx="9">
                    <c:v>11</c:v>
                  </c:pt>
                  <c:pt idx="10">
                    <c:v>12</c:v>
                  </c:pt>
                  <c:pt idx="11">
                    <c:v>13</c:v>
                  </c:pt>
                  <c:pt idx="12">
                    <c:v>14</c:v>
                  </c:pt>
                  <c:pt idx="13">
                    <c:v>15</c:v>
                  </c:pt>
                  <c:pt idx="14">
                    <c:v>16</c:v>
                  </c:pt>
                  <c:pt idx="15">
                    <c:v>17</c:v>
                  </c:pt>
                  <c:pt idx="16">
                    <c:v>18</c:v>
                  </c:pt>
                  <c:pt idx="17">
                    <c:v>19</c:v>
                  </c:pt>
                  <c:pt idx="18">
                    <c:v>20</c:v>
                  </c:pt>
                  <c:pt idx="19">
                    <c:v>21</c:v>
                  </c:pt>
                  <c:pt idx="20">
                    <c:v>22</c:v>
                  </c:pt>
                  <c:pt idx="21">
                    <c:v>23</c:v>
                  </c:pt>
                  <c:pt idx="22">
                    <c:v>24</c:v>
                  </c:pt>
                  <c:pt idx="23">
                    <c:v>25</c:v>
                  </c:pt>
                  <c:pt idx="24">
                    <c:v>26</c:v>
                  </c:pt>
                  <c:pt idx="25">
                    <c:v>27</c:v>
                  </c:pt>
                  <c:pt idx="26">
                    <c:v>28</c:v>
                  </c:pt>
                  <c:pt idx="27">
                    <c:v>29</c:v>
                  </c:pt>
                  <c:pt idx="28">
                    <c:v>30</c:v>
                  </c:pt>
                  <c:pt idx="29">
                    <c:v>31</c:v>
                  </c:pt>
                  <c:pt idx="30">
                    <c:v>32</c:v>
                  </c:pt>
                  <c:pt idx="31">
                    <c:v>33</c:v>
                  </c:pt>
                  <c:pt idx="32">
                    <c:v>34</c:v>
                  </c:pt>
                  <c:pt idx="33">
                    <c:v>35</c:v>
                  </c:pt>
                  <c:pt idx="34">
                    <c:v>36</c:v>
                  </c:pt>
                  <c:pt idx="35">
                    <c:v>37</c:v>
                  </c:pt>
                  <c:pt idx="36">
                    <c:v>38</c:v>
                  </c:pt>
                  <c:pt idx="37">
                    <c:v>39</c:v>
                  </c:pt>
                  <c:pt idx="38">
                    <c:v>41</c:v>
                  </c:pt>
                  <c:pt idx="39">
                    <c:v>42</c:v>
                  </c:pt>
                  <c:pt idx="40">
                    <c:v>43</c:v>
                  </c:pt>
                  <c:pt idx="41">
                    <c:v>44</c:v>
                  </c:pt>
                  <c:pt idx="42">
                    <c:v>45</c:v>
                  </c:pt>
                  <c:pt idx="43">
                    <c:v>46</c:v>
                  </c:pt>
                  <c:pt idx="44">
                    <c:v>47</c:v>
                  </c:pt>
                  <c:pt idx="45">
                    <c:v>48</c:v>
                  </c:pt>
                  <c:pt idx="46">
                    <c:v>49</c:v>
                  </c:pt>
                  <c:pt idx="47">
                    <c:v>50</c:v>
                  </c:pt>
                  <c:pt idx="48">
                    <c:v>51</c:v>
                  </c:pt>
                  <c:pt idx="49">
                    <c:v>52</c:v>
                  </c:pt>
                  <c:pt idx="50">
                    <c:v>EoY</c:v>
                  </c:pt>
                  <c:pt idx="51">
                    <c:v>1</c:v>
                  </c:pt>
                  <c:pt idx="52">
                    <c:v>2</c:v>
                  </c:pt>
                  <c:pt idx="53">
                    <c:v>3</c:v>
                  </c:pt>
                  <c:pt idx="54">
                    <c:v>4</c:v>
                  </c:pt>
                  <c:pt idx="55">
                    <c:v>5</c:v>
                  </c:pt>
                  <c:pt idx="56">
                    <c:v>6</c:v>
                  </c:pt>
                  <c:pt idx="57">
                    <c:v>8</c:v>
                  </c:pt>
                  <c:pt idx="58">
                    <c:v>9</c:v>
                  </c:pt>
                  <c:pt idx="59">
                    <c:v>10</c:v>
                  </c:pt>
                  <c:pt idx="60">
                    <c:v>11</c:v>
                  </c:pt>
                  <c:pt idx="61">
                    <c:v>12</c:v>
                  </c:pt>
                  <c:pt idx="62">
                    <c:v>13</c:v>
                  </c:pt>
                  <c:pt idx="63">
                    <c:v>14</c:v>
                  </c:pt>
                  <c:pt idx="64">
                    <c:v>15</c:v>
                  </c:pt>
                  <c:pt idx="65">
                    <c:v>16</c:v>
                  </c:pt>
                  <c:pt idx="66">
                    <c:v>17</c:v>
                  </c:pt>
                  <c:pt idx="67">
                    <c:v>18</c:v>
                  </c:pt>
                  <c:pt idx="68">
                    <c:v>19</c:v>
                  </c:pt>
                  <c:pt idx="69">
                    <c:v>20</c:v>
                  </c:pt>
                  <c:pt idx="70">
                    <c:v>21</c:v>
                  </c:pt>
                  <c:pt idx="71">
                    <c:v>22</c:v>
                  </c:pt>
                  <c:pt idx="72">
                    <c:v>23</c:v>
                  </c:pt>
                  <c:pt idx="73">
                    <c:v>24</c:v>
                  </c:pt>
                  <c:pt idx="74">
                    <c:v>25</c:v>
                  </c:pt>
                  <c:pt idx="75">
                    <c:v>26</c:v>
                  </c:pt>
                  <c:pt idx="76">
                    <c:v>27</c:v>
                  </c:pt>
                  <c:pt idx="77">
                    <c:v>28</c:v>
                  </c:pt>
                  <c:pt idx="78">
                    <c:v>29</c:v>
                  </c:pt>
                  <c:pt idx="79">
                    <c:v>30</c:v>
                  </c:pt>
                  <c:pt idx="80">
                    <c:v>31</c:v>
                  </c:pt>
                  <c:pt idx="81">
                    <c:v>32</c:v>
                  </c:pt>
                  <c:pt idx="82">
                    <c:v>33</c:v>
                  </c:pt>
                  <c:pt idx="83">
                    <c:v>34</c:v>
                  </c:pt>
                  <c:pt idx="84">
                    <c:v>35</c:v>
                  </c:pt>
                  <c:pt idx="85">
                    <c:v>36</c:v>
                  </c:pt>
                  <c:pt idx="86">
                    <c:v>37</c:v>
                  </c:pt>
                </c:lvl>
                <c:lvl>
                  <c:pt idx="0">
                    <c:v>2025</c:v>
                  </c:pt>
                  <c:pt idx="51">
                    <c:v>2026</c:v>
                  </c:pt>
                </c:lvl>
              </c:multiLvlStrCache>
            </c:multiLvlStrRef>
          </c:cat>
          <c:val>
            <c:numRef>
              <c:f>Wafer!$CX$5:$GF$5</c:f>
              <c:numCache>
                <c:formatCode>General</c:formatCode>
                <c:ptCount val="87"/>
                <c:pt idx="0">
                  <c:v>1.65</c:v>
                </c:pt>
                <c:pt idx="1">
                  <c:v>1.65</c:v>
                </c:pt>
                <c:pt idx="2">
                  <c:v>1.65</c:v>
                </c:pt>
                <c:pt idx="3">
                  <c:v>1.65</c:v>
                </c:pt>
                <c:pt idx="4">
                  <c:v>1.65</c:v>
                </c:pt>
                <c:pt idx="5">
                  <c:v>1.65</c:v>
                </c:pt>
                <c:pt idx="6">
                  <c:v>1.65</c:v>
                </c:pt>
                <c:pt idx="7">
                  <c:v>1.65</c:v>
                </c:pt>
                <c:pt idx="8">
                  <c:v>1.65</c:v>
                </c:pt>
                <c:pt idx="9">
                  <c:v>1.65</c:v>
                </c:pt>
                <c:pt idx="10">
                  <c:v>1.65</c:v>
                </c:pt>
                <c:pt idx="11">
                  <c:v>1.58</c:v>
                </c:pt>
              </c:numCache>
            </c:numRef>
          </c:val>
          <c:smooth val="0"/>
          <c:extLst>
            <c:ext xmlns:c16="http://schemas.microsoft.com/office/drawing/2014/chart" uri="{C3380CC4-5D6E-409C-BE32-E72D297353CC}">
              <c16:uniqueId val="{00000001-BB79-405B-8881-68DFA2F36E9D}"/>
            </c:ext>
          </c:extLst>
        </c:ser>
        <c:ser>
          <c:idx val="3"/>
          <c:order val="3"/>
          <c:tx>
            <c:strRef>
              <c:f>Wafer!$A$7</c:f>
              <c:strCache>
                <c:ptCount val="1"/>
                <c:pt idx="0">
                  <c:v>n-type 210 mm, 130 µm</c:v>
                </c:pt>
              </c:strCache>
            </c:strRef>
          </c:tx>
          <c:spPr>
            <a:ln w="28575" cap="rnd">
              <a:solidFill>
                <a:srgbClr val="9E480E"/>
              </a:solidFill>
              <a:round/>
            </a:ln>
            <a:effectLst/>
          </c:spPr>
          <c:marker>
            <c:symbol val="none"/>
          </c:marker>
          <c:cat>
            <c:multiLvlStrRef>
              <c:f>Wafer!$CX$2:$GF$3</c:f>
              <c:multiLvlStrCache>
                <c:ptCount val="87"/>
                <c:lvl>
                  <c:pt idx="0">
                    <c:v>1</c:v>
                  </c:pt>
                  <c:pt idx="1">
                    <c:v>2</c:v>
                  </c:pt>
                  <c:pt idx="2">
                    <c:v>3</c:v>
                  </c:pt>
                  <c:pt idx="3">
                    <c:v>4</c:v>
                  </c:pt>
                  <c:pt idx="4">
                    <c:v>6</c:v>
                  </c:pt>
                  <c:pt idx="5">
                    <c:v>7</c:v>
                  </c:pt>
                  <c:pt idx="6">
                    <c:v>8</c:v>
                  </c:pt>
                  <c:pt idx="7">
                    <c:v>9</c:v>
                  </c:pt>
                  <c:pt idx="8">
                    <c:v>10</c:v>
                  </c:pt>
                  <c:pt idx="9">
                    <c:v>11</c:v>
                  </c:pt>
                  <c:pt idx="10">
                    <c:v>12</c:v>
                  </c:pt>
                  <c:pt idx="11">
                    <c:v>13</c:v>
                  </c:pt>
                  <c:pt idx="12">
                    <c:v>14</c:v>
                  </c:pt>
                  <c:pt idx="13">
                    <c:v>15</c:v>
                  </c:pt>
                  <c:pt idx="14">
                    <c:v>16</c:v>
                  </c:pt>
                  <c:pt idx="15">
                    <c:v>17</c:v>
                  </c:pt>
                  <c:pt idx="16">
                    <c:v>18</c:v>
                  </c:pt>
                  <c:pt idx="17">
                    <c:v>19</c:v>
                  </c:pt>
                  <c:pt idx="18">
                    <c:v>20</c:v>
                  </c:pt>
                  <c:pt idx="19">
                    <c:v>21</c:v>
                  </c:pt>
                  <c:pt idx="20">
                    <c:v>22</c:v>
                  </c:pt>
                  <c:pt idx="21">
                    <c:v>23</c:v>
                  </c:pt>
                  <c:pt idx="22">
                    <c:v>24</c:v>
                  </c:pt>
                  <c:pt idx="23">
                    <c:v>25</c:v>
                  </c:pt>
                  <c:pt idx="24">
                    <c:v>26</c:v>
                  </c:pt>
                  <c:pt idx="25">
                    <c:v>27</c:v>
                  </c:pt>
                  <c:pt idx="26">
                    <c:v>28</c:v>
                  </c:pt>
                  <c:pt idx="27">
                    <c:v>29</c:v>
                  </c:pt>
                  <c:pt idx="28">
                    <c:v>30</c:v>
                  </c:pt>
                  <c:pt idx="29">
                    <c:v>31</c:v>
                  </c:pt>
                  <c:pt idx="30">
                    <c:v>32</c:v>
                  </c:pt>
                  <c:pt idx="31">
                    <c:v>33</c:v>
                  </c:pt>
                  <c:pt idx="32">
                    <c:v>34</c:v>
                  </c:pt>
                  <c:pt idx="33">
                    <c:v>35</c:v>
                  </c:pt>
                  <c:pt idx="34">
                    <c:v>36</c:v>
                  </c:pt>
                  <c:pt idx="35">
                    <c:v>37</c:v>
                  </c:pt>
                  <c:pt idx="36">
                    <c:v>38</c:v>
                  </c:pt>
                  <c:pt idx="37">
                    <c:v>39</c:v>
                  </c:pt>
                  <c:pt idx="38">
                    <c:v>41</c:v>
                  </c:pt>
                  <c:pt idx="39">
                    <c:v>42</c:v>
                  </c:pt>
                  <c:pt idx="40">
                    <c:v>43</c:v>
                  </c:pt>
                  <c:pt idx="41">
                    <c:v>44</c:v>
                  </c:pt>
                  <c:pt idx="42">
                    <c:v>45</c:v>
                  </c:pt>
                  <c:pt idx="43">
                    <c:v>46</c:v>
                  </c:pt>
                  <c:pt idx="44">
                    <c:v>47</c:v>
                  </c:pt>
                  <c:pt idx="45">
                    <c:v>48</c:v>
                  </c:pt>
                  <c:pt idx="46">
                    <c:v>49</c:v>
                  </c:pt>
                  <c:pt idx="47">
                    <c:v>50</c:v>
                  </c:pt>
                  <c:pt idx="48">
                    <c:v>51</c:v>
                  </c:pt>
                  <c:pt idx="49">
                    <c:v>52</c:v>
                  </c:pt>
                  <c:pt idx="50">
                    <c:v>EoY</c:v>
                  </c:pt>
                  <c:pt idx="51">
                    <c:v>1</c:v>
                  </c:pt>
                  <c:pt idx="52">
                    <c:v>2</c:v>
                  </c:pt>
                  <c:pt idx="53">
                    <c:v>3</c:v>
                  </c:pt>
                  <c:pt idx="54">
                    <c:v>4</c:v>
                  </c:pt>
                  <c:pt idx="55">
                    <c:v>5</c:v>
                  </c:pt>
                  <c:pt idx="56">
                    <c:v>6</c:v>
                  </c:pt>
                  <c:pt idx="57">
                    <c:v>8</c:v>
                  </c:pt>
                  <c:pt idx="58">
                    <c:v>9</c:v>
                  </c:pt>
                  <c:pt idx="59">
                    <c:v>10</c:v>
                  </c:pt>
                  <c:pt idx="60">
                    <c:v>11</c:v>
                  </c:pt>
                  <c:pt idx="61">
                    <c:v>12</c:v>
                  </c:pt>
                  <c:pt idx="62">
                    <c:v>13</c:v>
                  </c:pt>
                  <c:pt idx="63">
                    <c:v>14</c:v>
                  </c:pt>
                  <c:pt idx="64">
                    <c:v>15</c:v>
                  </c:pt>
                  <c:pt idx="65">
                    <c:v>16</c:v>
                  </c:pt>
                  <c:pt idx="66">
                    <c:v>17</c:v>
                  </c:pt>
                  <c:pt idx="67">
                    <c:v>18</c:v>
                  </c:pt>
                  <c:pt idx="68">
                    <c:v>19</c:v>
                  </c:pt>
                  <c:pt idx="69">
                    <c:v>20</c:v>
                  </c:pt>
                  <c:pt idx="70">
                    <c:v>21</c:v>
                  </c:pt>
                  <c:pt idx="71">
                    <c:v>22</c:v>
                  </c:pt>
                  <c:pt idx="72">
                    <c:v>23</c:v>
                  </c:pt>
                  <c:pt idx="73">
                    <c:v>24</c:v>
                  </c:pt>
                  <c:pt idx="74">
                    <c:v>25</c:v>
                  </c:pt>
                  <c:pt idx="75">
                    <c:v>26</c:v>
                  </c:pt>
                  <c:pt idx="76">
                    <c:v>27</c:v>
                  </c:pt>
                  <c:pt idx="77">
                    <c:v>28</c:v>
                  </c:pt>
                  <c:pt idx="78">
                    <c:v>29</c:v>
                  </c:pt>
                  <c:pt idx="79">
                    <c:v>30</c:v>
                  </c:pt>
                  <c:pt idx="80">
                    <c:v>31</c:v>
                  </c:pt>
                  <c:pt idx="81">
                    <c:v>32</c:v>
                  </c:pt>
                  <c:pt idx="82">
                    <c:v>33</c:v>
                  </c:pt>
                  <c:pt idx="83">
                    <c:v>34</c:v>
                  </c:pt>
                  <c:pt idx="84">
                    <c:v>35</c:v>
                  </c:pt>
                  <c:pt idx="85">
                    <c:v>36</c:v>
                  </c:pt>
                  <c:pt idx="86">
                    <c:v>37</c:v>
                  </c:pt>
                </c:lvl>
                <c:lvl>
                  <c:pt idx="0">
                    <c:v>2025</c:v>
                  </c:pt>
                  <c:pt idx="51">
                    <c:v>2026</c:v>
                  </c:pt>
                </c:lvl>
              </c:multiLvlStrCache>
            </c:multiLvlStrRef>
          </c:cat>
          <c:val>
            <c:numRef>
              <c:f>Wafer!$CX$7:$GF$7</c:f>
              <c:numCache>
                <c:formatCode>General</c:formatCode>
                <c:ptCount val="87"/>
                <c:pt idx="0">
                  <c:v>1.45</c:v>
                </c:pt>
                <c:pt idx="1">
                  <c:v>1.55</c:v>
                </c:pt>
                <c:pt idx="2">
                  <c:v>1.55</c:v>
                </c:pt>
                <c:pt idx="3">
                  <c:v>1.55</c:v>
                </c:pt>
                <c:pt idx="4">
                  <c:v>1.55</c:v>
                </c:pt>
                <c:pt idx="5">
                  <c:v>1.55</c:v>
                </c:pt>
                <c:pt idx="6">
                  <c:v>1.55</c:v>
                </c:pt>
                <c:pt idx="7">
                  <c:v>1.55</c:v>
                </c:pt>
                <c:pt idx="8">
                  <c:v>1.55</c:v>
                </c:pt>
                <c:pt idx="9">
                  <c:v>1.55</c:v>
                </c:pt>
                <c:pt idx="10">
                  <c:v>1.55</c:v>
                </c:pt>
                <c:pt idx="11">
                  <c:v>1.55</c:v>
                </c:pt>
                <c:pt idx="12">
                  <c:v>1.58</c:v>
                </c:pt>
                <c:pt idx="13">
                  <c:v>1.58</c:v>
                </c:pt>
                <c:pt idx="14">
                  <c:v>1.55</c:v>
                </c:pt>
                <c:pt idx="15">
                  <c:v>1.45</c:v>
                </c:pt>
                <c:pt idx="16">
                  <c:v>1.45</c:v>
                </c:pt>
                <c:pt idx="17">
                  <c:v>1.35</c:v>
                </c:pt>
                <c:pt idx="18">
                  <c:v>1.3</c:v>
                </c:pt>
                <c:pt idx="19">
                  <c:v>1.3</c:v>
                </c:pt>
                <c:pt idx="20">
                  <c:v>1.3</c:v>
                </c:pt>
                <c:pt idx="21">
                  <c:v>1.3</c:v>
                </c:pt>
                <c:pt idx="22">
                  <c:v>1.3</c:v>
                </c:pt>
                <c:pt idx="23">
                  <c:v>1.25</c:v>
                </c:pt>
                <c:pt idx="24">
                  <c:v>1.23</c:v>
                </c:pt>
                <c:pt idx="25">
                  <c:v>1.23</c:v>
                </c:pt>
                <c:pt idx="26">
                  <c:v>1.3</c:v>
                </c:pt>
                <c:pt idx="27">
                  <c:v>1.4</c:v>
                </c:pt>
                <c:pt idx="28">
                  <c:v>1.45</c:v>
                </c:pt>
                <c:pt idx="29">
                  <c:v>1.55</c:v>
                </c:pt>
                <c:pt idx="30">
                  <c:v>1.55</c:v>
                </c:pt>
                <c:pt idx="31">
                  <c:v>1.55</c:v>
                </c:pt>
                <c:pt idx="32">
                  <c:v>1.55</c:v>
                </c:pt>
                <c:pt idx="33">
                  <c:v>1.6</c:v>
                </c:pt>
                <c:pt idx="34">
                  <c:v>1.6</c:v>
                </c:pt>
                <c:pt idx="35">
                  <c:v>1.65</c:v>
                </c:pt>
                <c:pt idx="36">
                  <c:v>1.7</c:v>
                </c:pt>
                <c:pt idx="37">
                  <c:v>1.7</c:v>
                </c:pt>
                <c:pt idx="38">
                  <c:v>1.7</c:v>
                </c:pt>
                <c:pt idx="39">
                  <c:v>1.7</c:v>
                </c:pt>
                <c:pt idx="40">
                  <c:v>1.7</c:v>
                </c:pt>
                <c:pt idx="41">
                  <c:v>1.7</c:v>
                </c:pt>
                <c:pt idx="42">
                  <c:v>1.65</c:v>
                </c:pt>
                <c:pt idx="43">
                  <c:v>1.65</c:v>
                </c:pt>
                <c:pt idx="44">
                  <c:v>1.65</c:v>
                </c:pt>
                <c:pt idx="45">
                  <c:v>1.55</c:v>
                </c:pt>
                <c:pt idx="46">
                  <c:v>1.53</c:v>
                </c:pt>
                <c:pt idx="47">
                  <c:v>1.5</c:v>
                </c:pt>
                <c:pt idx="48">
                  <c:v>1.5</c:v>
                </c:pt>
                <c:pt idx="49">
                  <c:v>1.55</c:v>
                </c:pt>
                <c:pt idx="50">
                  <c:v>1.55</c:v>
                </c:pt>
                <c:pt idx="51">
                  <c:v>1.55</c:v>
                </c:pt>
                <c:pt idx="52">
                  <c:v>1.55</c:v>
                </c:pt>
                <c:pt idx="53">
                  <c:v>1.55</c:v>
                </c:pt>
                <c:pt idx="54">
                  <c:v>1.5</c:v>
                </c:pt>
                <c:pt idx="55">
                  <c:v>1.48</c:v>
                </c:pt>
                <c:pt idx="56">
                  <c:v>1.4</c:v>
                </c:pt>
                <c:pt idx="57">
                  <c:v>1.4</c:v>
                </c:pt>
                <c:pt idx="58">
                  <c:v>1.35</c:v>
                </c:pt>
                <c:pt idx="59">
                  <c:v>1.35</c:v>
                </c:pt>
                <c:pt idx="60">
                  <c:v>1.3</c:v>
                </c:pt>
                <c:pt idx="61">
                  <c:v>1.3</c:v>
                </c:pt>
                <c:pt idx="62">
                  <c:v>1.28</c:v>
                </c:pt>
                <c:pt idx="63">
                  <c:v>1.23</c:v>
                </c:pt>
                <c:pt idx="64">
                  <c:v>1.1850000000000001</c:v>
                </c:pt>
                <c:pt idx="65">
                  <c:v>1.1850000000000001</c:v>
                </c:pt>
                <c:pt idx="66">
                  <c:v>1.1850000000000001</c:v>
                </c:pt>
                <c:pt idx="67">
                  <c:v>1.19</c:v>
                </c:pt>
                <c:pt idx="68">
                  <c:v>1.19</c:v>
                </c:pt>
                <c:pt idx="69">
                  <c:v>1.19</c:v>
                </c:pt>
                <c:pt idx="70">
                  <c:v>1.19</c:v>
                </c:pt>
                <c:pt idx="71">
                  <c:v>1.19</c:v>
                </c:pt>
                <c:pt idx="72">
                  <c:v>1.19</c:v>
                </c:pt>
                <c:pt idx="73">
                  <c:v>1.19</c:v>
                </c:pt>
                <c:pt idx="74">
                  <c:v>1.19</c:v>
                </c:pt>
                <c:pt idx="75">
                  <c:v>1.18</c:v>
                </c:pt>
                <c:pt idx="76">
                  <c:v>1.18</c:v>
                </c:pt>
                <c:pt idx="77">
                  <c:v>1.1599999999999999</c:v>
                </c:pt>
                <c:pt idx="78">
                  <c:v>1.1599999999999999</c:v>
                </c:pt>
                <c:pt idx="79">
                  <c:v>1.1000000000000001</c:v>
                </c:pt>
                <c:pt idx="80">
                  <c:v>1.1000000000000001</c:v>
                </c:pt>
                <c:pt idx="81">
                  <c:v>1.1000000000000001</c:v>
                </c:pt>
                <c:pt idx="82">
                  <c:v>1.2</c:v>
                </c:pt>
                <c:pt idx="83">
                  <c:v>1.25</c:v>
                </c:pt>
                <c:pt idx="84">
                  <c:v>1.2</c:v>
                </c:pt>
                <c:pt idx="85">
                  <c:v>1.2</c:v>
                </c:pt>
                <c:pt idx="86">
                  <c:v>1.1499999999999999</c:v>
                </c:pt>
              </c:numCache>
            </c:numRef>
          </c:val>
          <c:smooth val="0"/>
          <c:extLst>
            <c:ext xmlns:c16="http://schemas.microsoft.com/office/drawing/2014/chart" uri="{C3380CC4-5D6E-409C-BE32-E72D297353CC}">
              <c16:uniqueId val="{00000002-BB79-405B-8881-68DFA2F36E9D}"/>
            </c:ext>
          </c:extLst>
        </c:ser>
        <c:ser>
          <c:idx val="4"/>
          <c:order val="4"/>
          <c:tx>
            <c:strRef>
              <c:f>Wafer!$A$8</c:f>
              <c:strCache>
                <c:ptCount val="1"/>
                <c:pt idx="0">
                  <c:v>n-type 182 mm, 130 µm</c:v>
                </c:pt>
              </c:strCache>
            </c:strRef>
          </c:tx>
          <c:spPr>
            <a:ln w="28575" cap="rnd">
              <a:solidFill>
                <a:srgbClr val="997300"/>
              </a:solidFill>
              <a:round/>
            </a:ln>
            <a:effectLst/>
          </c:spPr>
          <c:marker>
            <c:symbol val="none"/>
          </c:marker>
          <c:cat>
            <c:multiLvlStrRef>
              <c:f>Wafer!$CX$2:$GF$3</c:f>
              <c:multiLvlStrCache>
                <c:ptCount val="87"/>
                <c:lvl>
                  <c:pt idx="0">
                    <c:v>1</c:v>
                  </c:pt>
                  <c:pt idx="1">
                    <c:v>2</c:v>
                  </c:pt>
                  <c:pt idx="2">
                    <c:v>3</c:v>
                  </c:pt>
                  <c:pt idx="3">
                    <c:v>4</c:v>
                  </c:pt>
                  <c:pt idx="4">
                    <c:v>6</c:v>
                  </c:pt>
                  <c:pt idx="5">
                    <c:v>7</c:v>
                  </c:pt>
                  <c:pt idx="6">
                    <c:v>8</c:v>
                  </c:pt>
                  <c:pt idx="7">
                    <c:v>9</c:v>
                  </c:pt>
                  <c:pt idx="8">
                    <c:v>10</c:v>
                  </c:pt>
                  <c:pt idx="9">
                    <c:v>11</c:v>
                  </c:pt>
                  <c:pt idx="10">
                    <c:v>12</c:v>
                  </c:pt>
                  <c:pt idx="11">
                    <c:v>13</c:v>
                  </c:pt>
                  <c:pt idx="12">
                    <c:v>14</c:v>
                  </c:pt>
                  <c:pt idx="13">
                    <c:v>15</c:v>
                  </c:pt>
                  <c:pt idx="14">
                    <c:v>16</c:v>
                  </c:pt>
                  <c:pt idx="15">
                    <c:v>17</c:v>
                  </c:pt>
                  <c:pt idx="16">
                    <c:v>18</c:v>
                  </c:pt>
                  <c:pt idx="17">
                    <c:v>19</c:v>
                  </c:pt>
                  <c:pt idx="18">
                    <c:v>20</c:v>
                  </c:pt>
                  <c:pt idx="19">
                    <c:v>21</c:v>
                  </c:pt>
                  <c:pt idx="20">
                    <c:v>22</c:v>
                  </c:pt>
                  <c:pt idx="21">
                    <c:v>23</c:v>
                  </c:pt>
                  <c:pt idx="22">
                    <c:v>24</c:v>
                  </c:pt>
                  <c:pt idx="23">
                    <c:v>25</c:v>
                  </c:pt>
                  <c:pt idx="24">
                    <c:v>26</c:v>
                  </c:pt>
                  <c:pt idx="25">
                    <c:v>27</c:v>
                  </c:pt>
                  <c:pt idx="26">
                    <c:v>28</c:v>
                  </c:pt>
                  <c:pt idx="27">
                    <c:v>29</c:v>
                  </c:pt>
                  <c:pt idx="28">
                    <c:v>30</c:v>
                  </c:pt>
                  <c:pt idx="29">
                    <c:v>31</c:v>
                  </c:pt>
                  <c:pt idx="30">
                    <c:v>32</c:v>
                  </c:pt>
                  <c:pt idx="31">
                    <c:v>33</c:v>
                  </c:pt>
                  <c:pt idx="32">
                    <c:v>34</c:v>
                  </c:pt>
                  <c:pt idx="33">
                    <c:v>35</c:v>
                  </c:pt>
                  <c:pt idx="34">
                    <c:v>36</c:v>
                  </c:pt>
                  <c:pt idx="35">
                    <c:v>37</c:v>
                  </c:pt>
                  <c:pt idx="36">
                    <c:v>38</c:v>
                  </c:pt>
                  <c:pt idx="37">
                    <c:v>39</c:v>
                  </c:pt>
                  <c:pt idx="38">
                    <c:v>41</c:v>
                  </c:pt>
                  <c:pt idx="39">
                    <c:v>42</c:v>
                  </c:pt>
                  <c:pt idx="40">
                    <c:v>43</c:v>
                  </c:pt>
                  <c:pt idx="41">
                    <c:v>44</c:v>
                  </c:pt>
                  <c:pt idx="42">
                    <c:v>45</c:v>
                  </c:pt>
                  <c:pt idx="43">
                    <c:v>46</c:v>
                  </c:pt>
                  <c:pt idx="44">
                    <c:v>47</c:v>
                  </c:pt>
                  <c:pt idx="45">
                    <c:v>48</c:v>
                  </c:pt>
                  <c:pt idx="46">
                    <c:v>49</c:v>
                  </c:pt>
                  <c:pt idx="47">
                    <c:v>50</c:v>
                  </c:pt>
                  <c:pt idx="48">
                    <c:v>51</c:v>
                  </c:pt>
                  <c:pt idx="49">
                    <c:v>52</c:v>
                  </c:pt>
                  <c:pt idx="50">
                    <c:v>EoY</c:v>
                  </c:pt>
                  <c:pt idx="51">
                    <c:v>1</c:v>
                  </c:pt>
                  <c:pt idx="52">
                    <c:v>2</c:v>
                  </c:pt>
                  <c:pt idx="53">
                    <c:v>3</c:v>
                  </c:pt>
                  <c:pt idx="54">
                    <c:v>4</c:v>
                  </c:pt>
                  <c:pt idx="55">
                    <c:v>5</c:v>
                  </c:pt>
                  <c:pt idx="56">
                    <c:v>6</c:v>
                  </c:pt>
                  <c:pt idx="57">
                    <c:v>8</c:v>
                  </c:pt>
                  <c:pt idx="58">
                    <c:v>9</c:v>
                  </c:pt>
                  <c:pt idx="59">
                    <c:v>10</c:v>
                  </c:pt>
                  <c:pt idx="60">
                    <c:v>11</c:v>
                  </c:pt>
                  <c:pt idx="61">
                    <c:v>12</c:v>
                  </c:pt>
                  <c:pt idx="62">
                    <c:v>13</c:v>
                  </c:pt>
                  <c:pt idx="63">
                    <c:v>14</c:v>
                  </c:pt>
                  <c:pt idx="64">
                    <c:v>15</c:v>
                  </c:pt>
                  <c:pt idx="65">
                    <c:v>16</c:v>
                  </c:pt>
                  <c:pt idx="66">
                    <c:v>17</c:v>
                  </c:pt>
                  <c:pt idx="67">
                    <c:v>18</c:v>
                  </c:pt>
                  <c:pt idx="68">
                    <c:v>19</c:v>
                  </c:pt>
                  <c:pt idx="69">
                    <c:v>20</c:v>
                  </c:pt>
                  <c:pt idx="70">
                    <c:v>21</c:v>
                  </c:pt>
                  <c:pt idx="71">
                    <c:v>22</c:v>
                  </c:pt>
                  <c:pt idx="72">
                    <c:v>23</c:v>
                  </c:pt>
                  <c:pt idx="73">
                    <c:v>24</c:v>
                  </c:pt>
                  <c:pt idx="74">
                    <c:v>25</c:v>
                  </c:pt>
                  <c:pt idx="75">
                    <c:v>26</c:v>
                  </c:pt>
                  <c:pt idx="76">
                    <c:v>27</c:v>
                  </c:pt>
                  <c:pt idx="77">
                    <c:v>28</c:v>
                  </c:pt>
                  <c:pt idx="78">
                    <c:v>29</c:v>
                  </c:pt>
                  <c:pt idx="79">
                    <c:v>30</c:v>
                  </c:pt>
                  <c:pt idx="80">
                    <c:v>31</c:v>
                  </c:pt>
                  <c:pt idx="81">
                    <c:v>32</c:v>
                  </c:pt>
                  <c:pt idx="82">
                    <c:v>33</c:v>
                  </c:pt>
                  <c:pt idx="83">
                    <c:v>34</c:v>
                  </c:pt>
                  <c:pt idx="84">
                    <c:v>35</c:v>
                  </c:pt>
                  <c:pt idx="85">
                    <c:v>36</c:v>
                  </c:pt>
                  <c:pt idx="86">
                    <c:v>37</c:v>
                  </c:pt>
                </c:lvl>
                <c:lvl>
                  <c:pt idx="0">
                    <c:v>2025</c:v>
                  </c:pt>
                  <c:pt idx="51">
                    <c:v>2026</c:v>
                  </c:pt>
                </c:lvl>
              </c:multiLvlStrCache>
            </c:multiLvlStrRef>
          </c:cat>
          <c:val>
            <c:numRef>
              <c:f>Wafer!$CX$8:$GF$8</c:f>
              <c:numCache>
                <c:formatCode>General</c:formatCode>
                <c:ptCount val="87"/>
                <c:pt idx="0">
                  <c:v>1.08</c:v>
                </c:pt>
                <c:pt idx="1">
                  <c:v>1.18</c:v>
                </c:pt>
                <c:pt idx="2">
                  <c:v>1.18</c:v>
                </c:pt>
                <c:pt idx="3">
                  <c:v>1.18</c:v>
                </c:pt>
                <c:pt idx="4">
                  <c:v>1.18</c:v>
                </c:pt>
                <c:pt idx="5">
                  <c:v>1.18</c:v>
                </c:pt>
                <c:pt idx="6">
                  <c:v>1.18</c:v>
                </c:pt>
                <c:pt idx="7">
                  <c:v>1.18</c:v>
                </c:pt>
                <c:pt idx="8">
                  <c:v>1.18</c:v>
                </c:pt>
                <c:pt idx="9">
                  <c:v>1.2</c:v>
                </c:pt>
                <c:pt idx="10">
                  <c:v>1.2</c:v>
                </c:pt>
                <c:pt idx="11">
                  <c:v>1.23</c:v>
                </c:pt>
                <c:pt idx="12">
                  <c:v>1.28</c:v>
                </c:pt>
                <c:pt idx="13">
                  <c:v>1.28</c:v>
                </c:pt>
                <c:pt idx="14">
                  <c:v>1.28</c:v>
                </c:pt>
                <c:pt idx="15">
                  <c:v>1.1499999999999999</c:v>
                </c:pt>
                <c:pt idx="16">
                  <c:v>1.1499999999999999</c:v>
                </c:pt>
                <c:pt idx="17">
                  <c:v>1.02</c:v>
                </c:pt>
                <c:pt idx="18">
                  <c:v>0.98</c:v>
                </c:pt>
                <c:pt idx="19">
                  <c:v>0.98</c:v>
                </c:pt>
                <c:pt idx="20">
                  <c:v>0.98</c:v>
                </c:pt>
                <c:pt idx="21">
                  <c:v>0.98</c:v>
                </c:pt>
                <c:pt idx="22">
                  <c:v>0.98</c:v>
                </c:pt>
                <c:pt idx="23">
                  <c:v>0.9</c:v>
                </c:pt>
                <c:pt idx="24">
                  <c:v>0.86</c:v>
                </c:pt>
                <c:pt idx="25">
                  <c:v>0.86</c:v>
                </c:pt>
                <c:pt idx="26">
                  <c:v>0.95</c:v>
                </c:pt>
                <c:pt idx="27">
                  <c:v>1.05</c:v>
                </c:pt>
                <c:pt idx="28">
                  <c:v>1.1000000000000001</c:v>
                </c:pt>
                <c:pt idx="29">
                  <c:v>1.2</c:v>
                </c:pt>
                <c:pt idx="30">
                  <c:v>1.2</c:v>
                </c:pt>
                <c:pt idx="31">
                  <c:v>1.2</c:v>
                </c:pt>
                <c:pt idx="32">
                  <c:v>1.2</c:v>
                </c:pt>
                <c:pt idx="33">
                  <c:v>1.25</c:v>
                </c:pt>
                <c:pt idx="34">
                  <c:v>1.25</c:v>
                </c:pt>
                <c:pt idx="35">
                  <c:v>1.3</c:v>
                </c:pt>
                <c:pt idx="36">
                  <c:v>1.35</c:v>
                </c:pt>
                <c:pt idx="37">
                  <c:v>1.35</c:v>
                </c:pt>
                <c:pt idx="38">
                  <c:v>1.35</c:v>
                </c:pt>
                <c:pt idx="39">
                  <c:v>1.35</c:v>
                </c:pt>
                <c:pt idx="40">
                  <c:v>1.35</c:v>
                </c:pt>
                <c:pt idx="41">
                  <c:v>1.35</c:v>
                </c:pt>
                <c:pt idx="42">
                  <c:v>1.3</c:v>
                </c:pt>
                <c:pt idx="43">
                  <c:v>1.3</c:v>
                </c:pt>
                <c:pt idx="44">
                  <c:v>1.3</c:v>
                </c:pt>
                <c:pt idx="45">
                  <c:v>1.2</c:v>
                </c:pt>
                <c:pt idx="46">
                  <c:v>1.18</c:v>
                </c:pt>
                <c:pt idx="47">
                  <c:v>1.18</c:v>
                </c:pt>
                <c:pt idx="48">
                  <c:v>1.18</c:v>
                </c:pt>
                <c:pt idx="49">
                  <c:v>1.24</c:v>
                </c:pt>
                <c:pt idx="50">
                  <c:v>1.24</c:v>
                </c:pt>
                <c:pt idx="51">
                  <c:v>1.25</c:v>
                </c:pt>
                <c:pt idx="52">
                  <c:v>1.25</c:v>
                </c:pt>
                <c:pt idx="53">
                  <c:v>1.25</c:v>
                </c:pt>
                <c:pt idx="54">
                  <c:v>1.25</c:v>
                </c:pt>
                <c:pt idx="55">
                  <c:v>1.2</c:v>
                </c:pt>
                <c:pt idx="56">
                  <c:v>1.1200000000000001</c:v>
                </c:pt>
                <c:pt idx="57">
                  <c:v>1.1200000000000001</c:v>
                </c:pt>
                <c:pt idx="58">
                  <c:v>1.05</c:v>
                </c:pt>
                <c:pt idx="59">
                  <c:v>1.05</c:v>
                </c:pt>
                <c:pt idx="60">
                  <c:v>1</c:v>
                </c:pt>
                <c:pt idx="61">
                  <c:v>0.98</c:v>
                </c:pt>
                <c:pt idx="62">
                  <c:v>0.96</c:v>
                </c:pt>
                <c:pt idx="63">
                  <c:v>0.92</c:v>
                </c:pt>
                <c:pt idx="64">
                  <c:v>0.9</c:v>
                </c:pt>
                <c:pt idx="65">
                  <c:v>0.9</c:v>
                </c:pt>
                <c:pt idx="66">
                  <c:v>0.9</c:v>
                </c:pt>
                <c:pt idx="67">
                  <c:v>0.9</c:v>
                </c:pt>
                <c:pt idx="68">
                  <c:v>0.9</c:v>
                </c:pt>
                <c:pt idx="69">
                  <c:v>0.9</c:v>
                </c:pt>
                <c:pt idx="70">
                  <c:v>0.9</c:v>
                </c:pt>
                <c:pt idx="71">
                  <c:v>0.9</c:v>
                </c:pt>
                <c:pt idx="72">
                  <c:v>0.9</c:v>
                </c:pt>
                <c:pt idx="73">
                  <c:v>0.9</c:v>
                </c:pt>
                <c:pt idx="74">
                  <c:v>0.9</c:v>
                </c:pt>
                <c:pt idx="75">
                  <c:v>0.9</c:v>
                </c:pt>
                <c:pt idx="76">
                  <c:v>0.9</c:v>
                </c:pt>
                <c:pt idx="77">
                  <c:v>0.87</c:v>
                </c:pt>
                <c:pt idx="78">
                  <c:v>0.87</c:v>
                </c:pt>
                <c:pt idx="79">
                  <c:v>0.8</c:v>
                </c:pt>
                <c:pt idx="80">
                  <c:v>0.8</c:v>
                </c:pt>
                <c:pt idx="81">
                  <c:v>0.8</c:v>
                </c:pt>
                <c:pt idx="82">
                  <c:v>0.9</c:v>
                </c:pt>
                <c:pt idx="83">
                  <c:v>1.1200000000000001</c:v>
                </c:pt>
                <c:pt idx="84">
                  <c:v>1.1000000000000001</c:v>
                </c:pt>
                <c:pt idx="85">
                  <c:v>1.08</c:v>
                </c:pt>
                <c:pt idx="86">
                  <c:v>1.02</c:v>
                </c:pt>
              </c:numCache>
            </c:numRef>
          </c:val>
          <c:smooth val="0"/>
          <c:extLst>
            <c:ext xmlns:c16="http://schemas.microsoft.com/office/drawing/2014/chart" uri="{C3380CC4-5D6E-409C-BE32-E72D297353CC}">
              <c16:uniqueId val="{00000003-BB79-405B-8881-68DFA2F36E9D}"/>
            </c:ext>
          </c:extLst>
        </c:ser>
        <c:dLbls>
          <c:showLegendKey val="0"/>
          <c:showVal val="0"/>
          <c:showCatName val="0"/>
          <c:showSerName val="0"/>
          <c:showPercent val="0"/>
          <c:showBubbleSize val="0"/>
        </c:dLbls>
        <c:marker val="1"/>
        <c:smooth val="0"/>
        <c:axId val="1846869999"/>
        <c:axId val="1847551151"/>
      </c:lineChart>
      <c:lineChart>
        <c:grouping val="standard"/>
        <c:varyColors val="0"/>
        <c:ser>
          <c:idx val="2"/>
          <c:order val="2"/>
          <c:tx>
            <c:strRef>
              <c:f>Wafer!$A$6</c:f>
              <c:strCache>
                <c:ptCount val="1"/>
                <c:pt idx="0">
                  <c:v>n-type 210 mm, 150 µm</c:v>
                </c:pt>
              </c:strCache>
            </c:strRef>
          </c:tx>
          <c:spPr>
            <a:ln w="28575" cap="rnd">
              <a:solidFill>
                <a:srgbClr val="C00000"/>
              </a:solidFill>
              <a:round/>
            </a:ln>
            <a:effectLst/>
          </c:spPr>
          <c:marker>
            <c:symbol val="none"/>
          </c:marker>
          <c:cat>
            <c:multiLvlStrRef>
              <c:f>Wafer!$CX$2:$GF$3</c:f>
              <c:multiLvlStrCache>
                <c:ptCount val="87"/>
                <c:lvl>
                  <c:pt idx="0">
                    <c:v>1</c:v>
                  </c:pt>
                  <c:pt idx="1">
                    <c:v>2</c:v>
                  </c:pt>
                  <c:pt idx="2">
                    <c:v>3</c:v>
                  </c:pt>
                  <c:pt idx="3">
                    <c:v>4</c:v>
                  </c:pt>
                  <c:pt idx="4">
                    <c:v>6</c:v>
                  </c:pt>
                  <c:pt idx="5">
                    <c:v>7</c:v>
                  </c:pt>
                  <c:pt idx="6">
                    <c:v>8</c:v>
                  </c:pt>
                  <c:pt idx="7">
                    <c:v>9</c:v>
                  </c:pt>
                  <c:pt idx="8">
                    <c:v>10</c:v>
                  </c:pt>
                  <c:pt idx="9">
                    <c:v>11</c:v>
                  </c:pt>
                  <c:pt idx="10">
                    <c:v>12</c:v>
                  </c:pt>
                  <c:pt idx="11">
                    <c:v>13</c:v>
                  </c:pt>
                  <c:pt idx="12">
                    <c:v>14</c:v>
                  </c:pt>
                  <c:pt idx="13">
                    <c:v>15</c:v>
                  </c:pt>
                  <c:pt idx="14">
                    <c:v>16</c:v>
                  </c:pt>
                  <c:pt idx="15">
                    <c:v>17</c:v>
                  </c:pt>
                  <c:pt idx="16">
                    <c:v>18</c:v>
                  </c:pt>
                  <c:pt idx="17">
                    <c:v>19</c:v>
                  </c:pt>
                  <c:pt idx="18">
                    <c:v>20</c:v>
                  </c:pt>
                  <c:pt idx="19">
                    <c:v>21</c:v>
                  </c:pt>
                  <c:pt idx="20">
                    <c:v>22</c:v>
                  </c:pt>
                  <c:pt idx="21">
                    <c:v>23</c:v>
                  </c:pt>
                  <c:pt idx="22">
                    <c:v>24</c:v>
                  </c:pt>
                  <c:pt idx="23">
                    <c:v>25</c:v>
                  </c:pt>
                  <c:pt idx="24">
                    <c:v>26</c:v>
                  </c:pt>
                  <c:pt idx="25">
                    <c:v>27</c:v>
                  </c:pt>
                  <c:pt idx="26">
                    <c:v>28</c:v>
                  </c:pt>
                  <c:pt idx="27">
                    <c:v>29</c:v>
                  </c:pt>
                  <c:pt idx="28">
                    <c:v>30</c:v>
                  </c:pt>
                  <c:pt idx="29">
                    <c:v>31</c:v>
                  </c:pt>
                  <c:pt idx="30">
                    <c:v>32</c:v>
                  </c:pt>
                  <c:pt idx="31">
                    <c:v>33</c:v>
                  </c:pt>
                  <c:pt idx="32">
                    <c:v>34</c:v>
                  </c:pt>
                  <c:pt idx="33">
                    <c:v>35</c:v>
                  </c:pt>
                  <c:pt idx="34">
                    <c:v>36</c:v>
                  </c:pt>
                  <c:pt idx="35">
                    <c:v>37</c:v>
                  </c:pt>
                  <c:pt idx="36">
                    <c:v>38</c:v>
                  </c:pt>
                  <c:pt idx="37">
                    <c:v>39</c:v>
                  </c:pt>
                  <c:pt idx="38">
                    <c:v>41</c:v>
                  </c:pt>
                  <c:pt idx="39">
                    <c:v>42</c:v>
                  </c:pt>
                  <c:pt idx="40">
                    <c:v>43</c:v>
                  </c:pt>
                  <c:pt idx="41">
                    <c:v>44</c:v>
                  </c:pt>
                  <c:pt idx="42">
                    <c:v>45</c:v>
                  </c:pt>
                  <c:pt idx="43">
                    <c:v>46</c:v>
                  </c:pt>
                  <c:pt idx="44">
                    <c:v>47</c:v>
                  </c:pt>
                  <c:pt idx="45">
                    <c:v>48</c:v>
                  </c:pt>
                  <c:pt idx="46">
                    <c:v>49</c:v>
                  </c:pt>
                  <c:pt idx="47">
                    <c:v>50</c:v>
                  </c:pt>
                  <c:pt idx="48">
                    <c:v>51</c:v>
                  </c:pt>
                  <c:pt idx="49">
                    <c:v>52</c:v>
                  </c:pt>
                  <c:pt idx="50">
                    <c:v>EoY</c:v>
                  </c:pt>
                  <c:pt idx="51">
                    <c:v>1</c:v>
                  </c:pt>
                  <c:pt idx="52">
                    <c:v>2</c:v>
                  </c:pt>
                  <c:pt idx="53">
                    <c:v>3</c:v>
                  </c:pt>
                  <c:pt idx="54">
                    <c:v>4</c:v>
                  </c:pt>
                  <c:pt idx="55">
                    <c:v>5</c:v>
                  </c:pt>
                  <c:pt idx="56">
                    <c:v>6</c:v>
                  </c:pt>
                  <c:pt idx="57">
                    <c:v>8</c:v>
                  </c:pt>
                  <c:pt idx="58">
                    <c:v>9</c:v>
                  </c:pt>
                  <c:pt idx="59">
                    <c:v>10</c:v>
                  </c:pt>
                  <c:pt idx="60">
                    <c:v>11</c:v>
                  </c:pt>
                  <c:pt idx="61">
                    <c:v>12</c:v>
                  </c:pt>
                  <c:pt idx="62">
                    <c:v>13</c:v>
                  </c:pt>
                  <c:pt idx="63">
                    <c:v>14</c:v>
                  </c:pt>
                  <c:pt idx="64">
                    <c:v>15</c:v>
                  </c:pt>
                  <c:pt idx="65">
                    <c:v>16</c:v>
                  </c:pt>
                  <c:pt idx="66">
                    <c:v>17</c:v>
                  </c:pt>
                  <c:pt idx="67">
                    <c:v>18</c:v>
                  </c:pt>
                  <c:pt idx="68">
                    <c:v>19</c:v>
                  </c:pt>
                  <c:pt idx="69">
                    <c:v>20</c:v>
                  </c:pt>
                  <c:pt idx="70">
                    <c:v>21</c:v>
                  </c:pt>
                  <c:pt idx="71">
                    <c:v>22</c:v>
                  </c:pt>
                  <c:pt idx="72">
                    <c:v>23</c:v>
                  </c:pt>
                  <c:pt idx="73">
                    <c:v>24</c:v>
                  </c:pt>
                  <c:pt idx="74">
                    <c:v>25</c:v>
                  </c:pt>
                  <c:pt idx="75">
                    <c:v>26</c:v>
                  </c:pt>
                  <c:pt idx="76">
                    <c:v>27</c:v>
                  </c:pt>
                  <c:pt idx="77">
                    <c:v>28</c:v>
                  </c:pt>
                  <c:pt idx="78">
                    <c:v>29</c:v>
                  </c:pt>
                  <c:pt idx="79">
                    <c:v>30</c:v>
                  </c:pt>
                  <c:pt idx="80">
                    <c:v>31</c:v>
                  </c:pt>
                  <c:pt idx="81">
                    <c:v>32</c:v>
                  </c:pt>
                  <c:pt idx="82">
                    <c:v>33</c:v>
                  </c:pt>
                  <c:pt idx="83">
                    <c:v>34</c:v>
                  </c:pt>
                  <c:pt idx="84">
                    <c:v>35</c:v>
                  </c:pt>
                  <c:pt idx="85">
                    <c:v>36</c:v>
                  </c:pt>
                  <c:pt idx="86">
                    <c:v>37</c:v>
                  </c:pt>
                </c:lvl>
                <c:lvl>
                  <c:pt idx="0">
                    <c:v>2025</c:v>
                  </c:pt>
                  <c:pt idx="51">
                    <c:v>2026</c:v>
                  </c:pt>
                </c:lvl>
              </c:multiLvlStrCache>
            </c:multiLvlStrRef>
          </c:cat>
          <c:val>
            <c:numRef>
              <c:f>Wafer!$CX$6:$GF$6</c:f>
              <c:numCache>
                <c:formatCode>General</c:formatCode>
                <c:ptCount val="87"/>
              </c:numCache>
            </c:numRef>
          </c:val>
          <c:smooth val="0"/>
          <c:extLst>
            <c:ext xmlns:c16="http://schemas.microsoft.com/office/drawing/2014/chart" uri="{C3380CC4-5D6E-409C-BE32-E72D297353CC}">
              <c16:uniqueId val="{00000004-BB79-405B-8881-68DFA2F36E9D}"/>
            </c:ext>
          </c:extLst>
        </c:ser>
        <c:ser>
          <c:idx val="5"/>
          <c:order val="5"/>
          <c:tx>
            <c:strRef>
              <c:f>Wafer!$A$9</c:f>
              <c:strCache>
                <c:ptCount val="1"/>
                <c:pt idx="0">
                  <c:v>n-type 210R, 130 µm</c:v>
                </c:pt>
              </c:strCache>
            </c:strRef>
          </c:tx>
          <c:spPr>
            <a:ln w="28575" cap="rnd">
              <a:solidFill>
                <a:schemeClr val="accent6"/>
              </a:solidFill>
              <a:round/>
            </a:ln>
            <a:effectLst/>
          </c:spPr>
          <c:marker>
            <c:symbol val="none"/>
          </c:marker>
          <c:cat>
            <c:multiLvlStrRef>
              <c:f>Wafer!$CX$2:$GF$3</c:f>
              <c:multiLvlStrCache>
                <c:ptCount val="87"/>
                <c:lvl>
                  <c:pt idx="0">
                    <c:v>1</c:v>
                  </c:pt>
                  <c:pt idx="1">
                    <c:v>2</c:v>
                  </c:pt>
                  <c:pt idx="2">
                    <c:v>3</c:v>
                  </c:pt>
                  <c:pt idx="3">
                    <c:v>4</c:v>
                  </c:pt>
                  <c:pt idx="4">
                    <c:v>6</c:v>
                  </c:pt>
                  <c:pt idx="5">
                    <c:v>7</c:v>
                  </c:pt>
                  <c:pt idx="6">
                    <c:v>8</c:v>
                  </c:pt>
                  <c:pt idx="7">
                    <c:v>9</c:v>
                  </c:pt>
                  <c:pt idx="8">
                    <c:v>10</c:v>
                  </c:pt>
                  <c:pt idx="9">
                    <c:v>11</c:v>
                  </c:pt>
                  <c:pt idx="10">
                    <c:v>12</c:v>
                  </c:pt>
                  <c:pt idx="11">
                    <c:v>13</c:v>
                  </c:pt>
                  <c:pt idx="12">
                    <c:v>14</c:v>
                  </c:pt>
                  <c:pt idx="13">
                    <c:v>15</c:v>
                  </c:pt>
                  <c:pt idx="14">
                    <c:v>16</c:v>
                  </c:pt>
                  <c:pt idx="15">
                    <c:v>17</c:v>
                  </c:pt>
                  <c:pt idx="16">
                    <c:v>18</c:v>
                  </c:pt>
                  <c:pt idx="17">
                    <c:v>19</c:v>
                  </c:pt>
                  <c:pt idx="18">
                    <c:v>20</c:v>
                  </c:pt>
                  <c:pt idx="19">
                    <c:v>21</c:v>
                  </c:pt>
                  <c:pt idx="20">
                    <c:v>22</c:v>
                  </c:pt>
                  <c:pt idx="21">
                    <c:v>23</c:v>
                  </c:pt>
                  <c:pt idx="22">
                    <c:v>24</c:v>
                  </c:pt>
                  <c:pt idx="23">
                    <c:v>25</c:v>
                  </c:pt>
                  <c:pt idx="24">
                    <c:v>26</c:v>
                  </c:pt>
                  <c:pt idx="25">
                    <c:v>27</c:v>
                  </c:pt>
                  <c:pt idx="26">
                    <c:v>28</c:v>
                  </c:pt>
                  <c:pt idx="27">
                    <c:v>29</c:v>
                  </c:pt>
                  <c:pt idx="28">
                    <c:v>30</c:v>
                  </c:pt>
                  <c:pt idx="29">
                    <c:v>31</c:v>
                  </c:pt>
                  <c:pt idx="30">
                    <c:v>32</c:v>
                  </c:pt>
                  <c:pt idx="31">
                    <c:v>33</c:v>
                  </c:pt>
                  <c:pt idx="32">
                    <c:v>34</c:v>
                  </c:pt>
                  <c:pt idx="33">
                    <c:v>35</c:v>
                  </c:pt>
                  <c:pt idx="34">
                    <c:v>36</c:v>
                  </c:pt>
                  <c:pt idx="35">
                    <c:v>37</c:v>
                  </c:pt>
                  <c:pt idx="36">
                    <c:v>38</c:v>
                  </c:pt>
                  <c:pt idx="37">
                    <c:v>39</c:v>
                  </c:pt>
                  <c:pt idx="38">
                    <c:v>41</c:v>
                  </c:pt>
                  <c:pt idx="39">
                    <c:v>42</c:v>
                  </c:pt>
                  <c:pt idx="40">
                    <c:v>43</c:v>
                  </c:pt>
                  <c:pt idx="41">
                    <c:v>44</c:v>
                  </c:pt>
                  <c:pt idx="42">
                    <c:v>45</c:v>
                  </c:pt>
                  <c:pt idx="43">
                    <c:v>46</c:v>
                  </c:pt>
                  <c:pt idx="44">
                    <c:v>47</c:v>
                  </c:pt>
                  <c:pt idx="45">
                    <c:v>48</c:v>
                  </c:pt>
                  <c:pt idx="46">
                    <c:v>49</c:v>
                  </c:pt>
                  <c:pt idx="47">
                    <c:v>50</c:v>
                  </c:pt>
                  <c:pt idx="48">
                    <c:v>51</c:v>
                  </c:pt>
                  <c:pt idx="49">
                    <c:v>52</c:v>
                  </c:pt>
                  <c:pt idx="50">
                    <c:v>EoY</c:v>
                  </c:pt>
                  <c:pt idx="51">
                    <c:v>1</c:v>
                  </c:pt>
                  <c:pt idx="52">
                    <c:v>2</c:v>
                  </c:pt>
                  <c:pt idx="53">
                    <c:v>3</c:v>
                  </c:pt>
                  <c:pt idx="54">
                    <c:v>4</c:v>
                  </c:pt>
                  <c:pt idx="55">
                    <c:v>5</c:v>
                  </c:pt>
                  <c:pt idx="56">
                    <c:v>6</c:v>
                  </c:pt>
                  <c:pt idx="57">
                    <c:v>8</c:v>
                  </c:pt>
                  <c:pt idx="58">
                    <c:v>9</c:v>
                  </c:pt>
                  <c:pt idx="59">
                    <c:v>10</c:v>
                  </c:pt>
                  <c:pt idx="60">
                    <c:v>11</c:v>
                  </c:pt>
                  <c:pt idx="61">
                    <c:v>12</c:v>
                  </c:pt>
                  <c:pt idx="62">
                    <c:v>13</c:v>
                  </c:pt>
                  <c:pt idx="63">
                    <c:v>14</c:v>
                  </c:pt>
                  <c:pt idx="64">
                    <c:v>15</c:v>
                  </c:pt>
                  <c:pt idx="65">
                    <c:v>16</c:v>
                  </c:pt>
                  <c:pt idx="66">
                    <c:v>17</c:v>
                  </c:pt>
                  <c:pt idx="67">
                    <c:v>18</c:v>
                  </c:pt>
                  <c:pt idx="68">
                    <c:v>19</c:v>
                  </c:pt>
                  <c:pt idx="69">
                    <c:v>20</c:v>
                  </c:pt>
                  <c:pt idx="70">
                    <c:v>21</c:v>
                  </c:pt>
                  <c:pt idx="71">
                    <c:v>22</c:v>
                  </c:pt>
                  <c:pt idx="72">
                    <c:v>23</c:v>
                  </c:pt>
                  <c:pt idx="73">
                    <c:v>24</c:v>
                  </c:pt>
                  <c:pt idx="74">
                    <c:v>25</c:v>
                  </c:pt>
                  <c:pt idx="75">
                    <c:v>26</c:v>
                  </c:pt>
                  <c:pt idx="76">
                    <c:v>27</c:v>
                  </c:pt>
                  <c:pt idx="77">
                    <c:v>28</c:v>
                  </c:pt>
                  <c:pt idx="78">
                    <c:v>29</c:v>
                  </c:pt>
                  <c:pt idx="79">
                    <c:v>30</c:v>
                  </c:pt>
                  <c:pt idx="80">
                    <c:v>31</c:v>
                  </c:pt>
                  <c:pt idx="81">
                    <c:v>32</c:v>
                  </c:pt>
                  <c:pt idx="82">
                    <c:v>33</c:v>
                  </c:pt>
                  <c:pt idx="83">
                    <c:v>34</c:v>
                  </c:pt>
                  <c:pt idx="84">
                    <c:v>35</c:v>
                  </c:pt>
                  <c:pt idx="85">
                    <c:v>36</c:v>
                  </c:pt>
                  <c:pt idx="86">
                    <c:v>37</c:v>
                  </c:pt>
                </c:lvl>
                <c:lvl>
                  <c:pt idx="0">
                    <c:v>2025</c:v>
                  </c:pt>
                  <c:pt idx="51">
                    <c:v>2026</c:v>
                  </c:pt>
                </c:lvl>
              </c:multiLvlStrCache>
            </c:multiLvlStrRef>
          </c:cat>
          <c:val>
            <c:numRef>
              <c:f>Wafer!$CX$9:$GF$9</c:f>
              <c:numCache>
                <c:formatCode>General</c:formatCode>
                <c:ptCount val="87"/>
                <c:pt idx="0">
                  <c:v>1.25</c:v>
                </c:pt>
                <c:pt idx="1">
                  <c:v>1.33</c:v>
                </c:pt>
                <c:pt idx="2">
                  <c:v>1.33</c:v>
                </c:pt>
                <c:pt idx="3">
                  <c:v>1.33</c:v>
                </c:pt>
                <c:pt idx="4">
                  <c:v>1.33</c:v>
                </c:pt>
                <c:pt idx="5">
                  <c:v>1.33</c:v>
                </c:pt>
                <c:pt idx="6">
                  <c:v>1.3</c:v>
                </c:pt>
                <c:pt idx="7">
                  <c:v>1.3</c:v>
                </c:pt>
                <c:pt idx="8">
                  <c:v>1.35</c:v>
                </c:pt>
                <c:pt idx="9">
                  <c:v>1.4</c:v>
                </c:pt>
                <c:pt idx="10">
                  <c:v>1.4</c:v>
                </c:pt>
                <c:pt idx="11">
                  <c:v>1.45</c:v>
                </c:pt>
                <c:pt idx="12">
                  <c:v>1.55</c:v>
                </c:pt>
                <c:pt idx="13">
                  <c:v>1.53</c:v>
                </c:pt>
                <c:pt idx="14">
                  <c:v>1.5</c:v>
                </c:pt>
                <c:pt idx="15">
                  <c:v>1.3</c:v>
                </c:pt>
                <c:pt idx="16">
                  <c:v>1.3</c:v>
                </c:pt>
                <c:pt idx="17">
                  <c:v>1.1499999999999999</c:v>
                </c:pt>
                <c:pt idx="18">
                  <c:v>1.1000000000000001</c:v>
                </c:pt>
                <c:pt idx="19">
                  <c:v>1.0900000000000001</c:v>
                </c:pt>
                <c:pt idx="20">
                  <c:v>1.08</c:v>
                </c:pt>
                <c:pt idx="21">
                  <c:v>1.08</c:v>
                </c:pt>
                <c:pt idx="22">
                  <c:v>1.08</c:v>
                </c:pt>
                <c:pt idx="23">
                  <c:v>1.03</c:v>
                </c:pt>
                <c:pt idx="24">
                  <c:v>1.0249999999999999</c:v>
                </c:pt>
                <c:pt idx="25">
                  <c:v>1.0249999999999999</c:v>
                </c:pt>
                <c:pt idx="26">
                  <c:v>1.1000000000000001</c:v>
                </c:pt>
                <c:pt idx="27">
                  <c:v>1.2</c:v>
                </c:pt>
                <c:pt idx="28">
                  <c:v>1.25</c:v>
                </c:pt>
                <c:pt idx="29">
                  <c:v>1.35</c:v>
                </c:pt>
                <c:pt idx="30">
                  <c:v>1.35</c:v>
                </c:pt>
                <c:pt idx="31">
                  <c:v>1.35</c:v>
                </c:pt>
                <c:pt idx="32">
                  <c:v>1.35</c:v>
                </c:pt>
                <c:pt idx="33">
                  <c:v>1.4</c:v>
                </c:pt>
                <c:pt idx="34">
                  <c:v>1.4</c:v>
                </c:pt>
                <c:pt idx="35">
                  <c:v>1.4</c:v>
                </c:pt>
                <c:pt idx="36">
                  <c:v>1.4</c:v>
                </c:pt>
                <c:pt idx="37">
                  <c:v>1.4</c:v>
                </c:pt>
                <c:pt idx="38">
                  <c:v>1.4</c:v>
                </c:pt>
                <c:pt idx="39">
                  <c:v>1.4</c:v>
                </c:pt>
                <c:pt idx="40">
                  <c:v>1.4</c:v>
                </c:pt>
                <c:pt idx="41">
                  <c:v>1.4</c:v>
                </c:pt>
                <c:pt idx="42">
                  <c:v>1.33</c:v>
                </c:pt>
                <c:pt idx="43">
                  <c:v>1.3</c:v>
                </c:pt>
                <c:pt idx="44">
                  <c:v>1.3</c:v>
                </c:pt>
                <c:pt idx="45">
                  <c:v>1.25</c:v>
                </c:pt>
                <c:pt idx="46">
                  <c:v>1.23</c:v>
                </c:pt>
                <c:pt idx="47">
                  <c:v>1.2</c:v>
                </c:pt>
                <c:pt idx="48">
                  <c:v>1.2</c:v>
                </c:pt>
                <c:pt idx="49">
                  <c:v>1.3</c:v>
                </c:pt>
                <c:pt idx="50">
                  <c:v>1.3</c:v>
                </c:pt>
                <c:pt idx="51">
                  <c:v>1.35</c:v>
                </c:pt>
                <c:pt idx="52">
                  <c:v>1.35</c:v>
                </c:pt>
                <c:pt idx="53">
                  <c:v>1.35</c:v>
                </c:pt>
                <c:pt idx="54">
                  <c:v>1.3</c:v>
                </c:pt>
                <c:pt idx="55">
                  <c:v>1.28</c:v>
                </c:pt>
                <c:pt idx="56">
                  <c:v>1.2</c:v>
                </c:pt>
                <c:pt idx="57">
                  <c:v>1.2</c:v>
                </c:pt>
                <c:pt idx="58">
                  <c:v>1.17</c:v>
                </c:pt>
                <c:pt idx="59">
                  <c:v>1.1499999999999999</c:v>
                </c:pt>
                <c:pt idx="60">
                  <c:v>1.1000000000000001</c:v>
                </c:pt>
                <c:pt idx="61">
                  <c:v>1.1000000000000001</c:v>
                </c:pt>
                <c:pt idx="62">
                  <c:v>1.05</c:v>
                </c:pt>
                <c:pt idx="63">
                  <c:v>1.02</c:v>
                </c:pt>
                <c:pt idx="64">
                  <c:v>0.99</c:v>
                </c:pt>
                <c:pt idx="65">
                  <c:v>0.99</c:v>
                </c:pt>
                <c:pt idx="66">
                  <c:v>0.99</c:v>
                </c:pt>
                <c:pt idx="67">
                  <c:v>0.99</c:v>
                </c:pt>
                <c:pt idx="68">
                  <c:v>0.99</c:v>
                </c:pt>
                <c:pt idx="69">
                  <c:v>0.99</c:v>
                </c:pt>
                <c:pt idx="70">
                  <c:v>0.99</c:v>
                </c:pt>
                <c:pt idx="71">
                  <c:v>0.99</c:v>
                </c:pt>
                <c:pt idx="72">
                  <c:v>0.98</c:v>
                </c:pt>
                <c:pt idx="73">
                  <c:v>0.98</c:v>
                </c:pt>
                <c:pt idx="74">
                  <c:v>0.98</c:v>
                </c:pt>
                <c:pt idx="75">
                  <c:v>0.98</c:v>
                </c:pt>
                <c:pt idx="76">
                  <c:v>0.98</c:v>
                </c:pt>
                <c:pt idx="77">
                  <c:v>0.95</c:v>
                </c:pt>
                <c:pt idx="78">
                  <c:v>0.95</c:v>
                </c:pt>
                <c:pt idx="79">
                  <c:v>0.9</c:v>
                </c:pt>
                <c:pt idx="80">
                  <c:v>0.9</c:v>
                </c:pt>
                <c:pt idx="81">
                  <c:v>0.9</c:v>
                </c:pt>
                <c:pt idx="82">
                  <c:v>1</c:v>
                </c:pt>
                <c:pt idx="83">
                  <c:v>1.1499999999999999</c:v>
                </c:pt>
                <c:pt idx="84">
                  <c:v>1.1000000000000001</c:v>
                </c:pt>
                <c:pt idx="85">
                  <c:v>1.08</c:v>
                </c:pt>
                <c:pt idx="86">
                  <c:v>1.05</c:v>
                </c:pt>
              </c:numCache>
            </c:numRef>
          </c:val>
          <c:smooth val="0"/>
          <c:extLst>
            <c:ext xmlns:c16="http://schemas.microsoft.com/office/drawing/2014/chart" uri="{C3380CC4-5D6E-409C-BE32-E72D297353CC}">
              <c16:uniqueId val="{00000005-BB79-405B-8881-68DFA2F36E9D}"/>
            </c:ext>
          </c:extLst>
        </c:ser>
        <c:dLbls>
          <c:showLegendKey val="0"/>
          <c:showVal val="0"/>
          <c:showCatName val="0"/>
          <c:showSerName val="0"/>
          <c:showPercent val="0"/>
          <c:showBubbleSize val="0"/>
        </c:dLbls>
        <c:marker val="1"/>
        <c:smooth val="0"/>
        <c:axId val="752979536"/>
        <c:axId val="753775696"/>
      </c:lineChart>
      <c:catAx>
        <c:axId val="18468699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1"/>
          <a:lstStyle/>
          <a:p>
            <a:pPr>
              <a:defRPr lang="zh-CN" sz="1100" b="0" i="0" u="none" strike="noStrike" kern="1200" baseline="0">
                <a:solidFill>
                  <a:schemeClr val="bg1"/>
                </a:solidFill>
                <a:latin typeface="+mn-lt"/>
                <a:ea typeface="+mn-ea"/>
                <a:cs typeface="+mn-cs"/>
              </a:defRPr>
            </a:pPr>
            <a:endParaRPr lang="en-US"/>
          </a:p>
        </c:txPr>
        <c:crossAx val="1847551151"/>
        <c:crosses val="autoZero"/>
        <c:auto val="1"/>
        <c:lblAlgn val="ctr"/>
        <c:lblOffset val="100"/>
        <c:tickLblSkip val="1"/>
        <c:noMultiLvlLbl val="0"/>
      </c:catAx>
      <c:valAx>
        <c:axId val="1847551151"/>
        <c:scaling>
          <c:orientation val="minMax"/>
        </c:scaling>
        <c:delete val="0"/>
        <c:axPos val="l"/>
        <c:title>
          <c:tx>
            <c:rich>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defRPr lang="zh-CN" sz="1400" b="0" i="0" u="none" strike="noStrike" kern="1200" baseline="0">
                    <a:solidFill>
                      <a:sysClr val="window" lastClr="FFFFFF"/>
                    </a:solidFill>
                    <a:latin typeface="+mn-lt"/>
                    <a:ea typeface="+mn-ea"/>
                    <a:cs typeface="+mn-cs"/>
                  </a:defRPr>
                </a:pPr>
                <a:r>
                  <a:rPr lang="en-GB" sz="1400" b="0" i="0" u="none" strike="noStrike" kern="1200" baseline="0">
                    <a:solidFill>
                      <a:schemeClr val="bg1"/>
                    </a:solidFill>
                  </a:rPr>
                  <a:t>Price  RMB/Piece</a:t>
                </a:r>
              </a:p>
            </c:rich>
          </c:tx>
          <c:overlay val="0"/>
          <c:spPr>
            <a:noFill/>
            <a:ln>
              <a:noFill/>
            </a:ln>
            <a:effectLst/>
          </c:spPr>
          <c:txPr>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defRPr lang="zh-CN" sz="1400" b="0" i="0" u="none" strike="noStrike" kern="1200" baseline="0">
                  <a:solidFill>
                    <a:sysClr val="window" lastClr="FFFFFF"/>
                  </a:solidFill>
                  <a:latin typeface="+mn-lt"/>
                  <a:ea typeface="+mn-ea"/>
                  <a:cs typeface="+mn-cs"/>
                </a:defRPr>
              </a:pPr>
              <a:endParaRPr lang="en-GB"/>
            </a:p>
          </c:txPr>
        </c:title>
        <c:numFmt formatCode="General" sourceLinked="1"/>
        <c:majorTickMark val="out"/>
        <c:minorTickMark val="none"/>
        <c:tickLblPos val="nextTo"/>
        <c:spPr>
          <a:noFill/>
          <a:ln>
            <a:solidFill>
              <a:schemeClr val="bg1"/>
            </a:solidFill>
          </a:ln>
          <a:effectLst/>
        </c:spPr>
        <c:txPr>
          <a:bodyPr rot="-60000000" spcFirstLastPara="1" vertOverflow="ellipsis" vert="horz" wrap="square" anchor="ctr" anchorCtr="1"/>
          <a:lstStyle/>
          <a:p>
            <a:pPr>
              <a:defRPr lang="zh-CN" sz="1400" b="0" i="0" u="none" strike="noStrike" kern="1200" baseline="0">
                <a:solidFill>
                  <a:schemeClr val="bg1"/>
                </a:solidFill>
                <a:latin typeface="+mn-lt"/>
                <a:ea typeface="+mn-ea"/>
                <a:cs typeface="+mn-cs"/>
              </a:defRPr>
            </a:pPr>
            <a:endParaRPr lang="en-US"/>
          </a:p>
        </c:txPr>
        <c:crossAx val="1846869999"/>
        <c:crosses val="autoZero"/>
        <c:crossBetween val="between"/>
      </c:valAx>
      <c:catAx>
        <c:axId val="752979536"/>
        <c:scaling>
          <c:orientation val="minMax"/>
        </c:scaling>
        <c:delete val="1"/>
        <c:axPos val="b"/>
        <c:numFmt formatCode="General" sourceLinked="1"/>
        <c:majorTickMark val="out"/>
        <c:minorTickMark val="none"/>
        <c:tickLblPos val="nextTo"/>
        <c:crossAx val="753775696"/>
        <c:crosses val="autoZero"/>
        <c:auto val="1"/>
        <c:lblAlgn val="ctr"/>
        <c:lblOffset val="100"/>
        <c:noMultiLvlLbl val="0"/>
      </c:catAx>
      <c:valAx>
        <c:axId val="753775696"/>
        <c:scaling>
          <c:orientation val="minMax"/>
        </c:scaling>
        <c:delete val="1"/>
        <c:axPos val="r"/>
        <c:numFmt formatCode="General" sourceLinked="1"/>
        <c:majorTickMark val="out"/>
        <c:minorTickMark val="none"/>
        <c:tickLblPos val="nextTo"/>
        <c:crossAx val="752979536"/>
        <c:crosses val="max"/>
        <c:crossBetween val="between"/>
      </c:valAx>
      <c:spPr>
        <a:noFill/>
        <a:ln>
          <a:noFill/>
        </a:ln>
        <a:effectLst/>
      </c:spPr>
    </c:plotArea>
    <c:legend>
      <c:legendPos val="b"/>
      <c:legendEntry>
        <c:idx val="0"/>
        <c:txPr>
          <a:bodyPr rot="0" spcFirstLastPara="1" vertOverflow="ellipsis" vert="horz" wrap="square" anchor="ctr" anchorCtr="1"/>
          <a:lstStyle/>
          <a:p>
            <a:pPr>
              <a:defRPr lang="zh-CN" sz="1400" b="0" i="0" u="none" strike="noStrike" kern="1200" baseline="0">
                <a:solidFill>
                  <a:schemeClr val="bg1"/>
                </a:solidFill>
                <a:latin typeface="+mn-lt"/>
                <a:ea typeface="+mn-ea"/>
                <a:cs typeface="+mn-cs"/>
              </a:defRPr>
            </a:pPr>
            <a:endParaRPr lang="en-US"/>
          </a:p>
        </c:txPr>
      </c:legendEntry>
      <c:legendEntry>
        <c:idx val="1"/>
        <c:txPr>
          <a:bodyPr rot="0" spcFirstLastPara="1" vertOverflow="ellipsis" vert="horz" wrap="square" anchor="ctr" anchorCtr="1"/>
          <a:lstStyle/>
          <a:p>
            <a:pPr>
              <a:defRPr lang="zh-CN" sz="1400" b="0" i="0" u="none" strike="noStrike" kern="1200" baseline="0">
                <a:solidFill>
                  <a:schemeClr val="bg1"/>
                </a:solidFill>
                <a:latin typeface="+mn-lt"/>
                <a:ea typeface="+mn-ea"/>
                <a:cs typeface="+mn-cs"/>
              </a:defRPr>
            </a:pPr>
            <a:endParaRPr lang="en-US"/>
          </a:p>
        </c:txPr>
      </c:legendEntry>
      <c:legendEntry>
        <c:idx val="2"/>
        <c:txPr>
          <a:bodyPr rot="0" spcFirstLastPara="1" vertOverflow="ellipsis" vert="horz" wrap="square" anchor="ctr" anchorCtr="1"/>
          <a:lstStyle/>
          <a:p>
            <a:pPr>
              <a:defRPr lang="zh-CN" sz="1400" b="0" i="0" u="none" strike="noStrike" kern="1200" baseline="0">
                <a:solidFill>
                  <a:schemeClr val="bg1"/>
                </a:solidFill>
                <a:latin typeface="+mn-lt"/>
                <a:ea typeface="+mn-ea"/>
                <a:cs typeface="+mn-cs"/>
              </a:defRPr>
            </a:pPr>
            <a:endParaRPr lang="en-US"/>
          </a:p>
        </c:txPr>
      </c:legendEntry>
      <c:legendEntry>
        <c:idx val="3"/>
        <c:txPr>
          <a:bodyPr rot="0" spcFirstLastPara="1" vertOverflow="ellipsis" vert="horz" wrap="square" anchor="ctr" anchorCtr="1"/>
          <a:lstStyle/>
          <a:p>
            <a:pPr>
              <a:defRPr lang="zh-CN" sz="1400" b="0" i="0" u="none" strike="noStrike" kern="1200" baseline="0">
                <a:solidFill>
                  <a:schemeClr val="bg1"/>
                </a:solidFill>
                <a:latin typeface="+mn-lt"/>
                <a:ea typeface="+mn-ea"/>
                <a:cs typeface="+mn-cs"/>
              </a:defRPr>
            </a:pPr>
            <a:endParaRPr lang="en-US"/>
          </a:p>
        </c:txPr>
      </c:legendEntry>
      <c:legendEntry>
        <c:idx val="4"/>
        <c:delete val="1"/>
      </c:legendEntry>
      <c:legendEntry>
        <c:idx val="5"/>
        <c:txPr>
          <a:bodyPr rot="0" spcFirstLastPara="1" vertOverflow="ellipsis" vert="horz" wrap="square" anchor="ctr" anchorCtr="1"/>
          <a:lstStyle/>
          <a:p>
            <a:pPr>
              <a:defRPr lang="zh-CN" sz="1400" b="0" i="0" u="none" strike="noStrike" kern="1200" baseline="0">
                <a:solidFill>
                  <a:schemeClr val="bg1"/>
                </a:solidFill>
                <a:latin typeface="+mn-lt"/>
                <a:ea typeface="+mn-ea"/>
                <a:cs typeface="+mn-cs"/>
              </a:defRPr>
            </a:pPr>
            <a:endParaRPr lang="en-US"/>
          </a:p>
        </c:txPr>
      </c:legendEntry>
      <c:overlay val="0"/>
      <c:spPr>
        <a:noFill/>
        <a:ln>
          <a:noFill/>
        </a:ln>
        <a:effectLst/>
      </c:spPr>
      <c:txPr>
        <a:bodyPr rot="0" spcFirstLastPara="1" vertOverflow="ellipsis" vert="horz" wrap="square" anchor="ctr" anchorCtr="1"/>
        <a:lstStyle/>
        <a:p>
          <a:pPr>
            <a:defRPr lang="zh-CN" sz="1400" b="0" i="0" u="none" strike="noStrike" kern="1200" baseline="0">
              <a:solidFill>
                <a:schemeClr val="bg1"/>
              </a:solidFill>
              <a:latin typeface="+mn-lt"/>
              <a:ea typeface="+mn-ea"/>
              <a:cs typeface="+mn-cs"/>
            </a:defRPr>
          </a:pPr>
          <a:endParaRPr lang="en-US"/>
        </a:p>
      </c:txPr>
    </c:legend>
    <c:plotVisOnly val="1"/>
    <c:dispBlanksAs val="gap"/>
    <c:showDLblsOverMax val="0"/>
    <c:extLst>
      <c:ext uri="{0b15fc19-7d7d-44ad-8c2d-2c3a37ce22c3}">
        <chartProps xmlns="https://web.wps.cn/et/2018/main" chartId="{39d05225-ec73-4c61-8c0e-8124f555f86a}"/>
      </c:ext>
    </c:extLst>
  </c:chart>
  <c:spPr>
    <a:solidFill>
      <a:schemeClr val="tx1"/>
    </a:solidFill>
    <a:ln w="9525" cap="flat" cmpd="sng" algn="ctr">
      <a:solidFill>
        <a:schemeClr val="tx1">
          <a:lumMod val="15000"/>
          <a:lumOff val="85000"/>
        </a:schemeClr>
      </a:solidFill>
      <a:round/>
    </a:ln>
    <a:effectLst/>
  </c:spPr>
  <c:txPr>
    <a:bodyPr/>
    <a:lstStyle/>
    <a:p>
      <a:pPr>
        <a:defRPr lang="zh-CN" sz="1400">
          <a:solidFill>
            <a:schemeClr val="bg1"/>
          </a:solidFill>
        </a:defRPr>
      </a:pPr>
      <a:endParaRPr lang="en-US"/>
    </a:p>
  </c:txPr>
  <c:printSettings>
    <c:headerFooter/>
    <c:pageMargins b="0.75" l="0.7" r="0.7" t="0.75" header="0.3" footer="0.3"/>
    <c:pageSetup/>
  </c:printSettings>
  <c:userShapes r:id="rId4"/>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zh-CN" sz="3200" b="0" i="0" u="none" strike="noStrike" kern="1200" spc="0" baseline="0">
                <a:solidFill>
                  <a:schemeClr val="bg1"/>
                </a:solidFill>
                <a:latin typeface="+mn-lt"/>
                <a:ea typeface="+mn-ea"/>
                <a:cs typeface="+mn-cs"/>
              </a:defRPr>
            </a:pPr>
            <a:r>
              <a:rPr lang="en-IN" sz="3200"/>
              <a:t>Solar Cell Prices - Week </a:t>
            </a:r>
            <a:r>
              <a:rPr lang="en-US" altLang="en-IN" sz="3200"/>
              <a:t>37 </a:t>
            </a:r>
            <a:r>
              <a:rPr lang="en-IN" sz="3200"/>
              <a:t>/ 202</a:t>
            </a:r>
            <a:r>
              <a:rPr lang="en-US" altLang="en-IN" sz="3200"/>
              <a:t>6</a:t>
            </a:r>
          </a:p>
        </c:rich>
      </c:tx>
      <c:layout>
        <c:manualLayout>
          <c:xMode val="edge"/>
          <c:yMode val="edge"/>
          <c:x val="0.32171981565824398"/>
          <c:y val="5.7429536919717398E-3"/>
        </c:manualLayout>
      </c:layout>
      <c:overlay val="0"/>
      <c:spPr>
        <a:noFill/>
        <a:ln>
          <a:noFill/>
        </a:ln>
        <a:effectLst/>
      </c:spPr>
      <c:txPr>
        <a:bodyPr rot="0" spcFirstLastPara="1" vertOverflow="ellipsis" vert="horz" wrap="square" anchor="ctr" anchorCtr="1"/>
        <a:lstStyle/>
        <a:p>
          <a:pPr>
            <a:defRPr lang="zh-CN" sz="3200" b="0" i="0" u="none" strike="noStrike" kern="1200" spc="0" baseline="0">
              <a:solidFill>
                <a:schemeClr val="bg1"/>
              </a:solidFill>
              <a:latin typeface="+mn-lt"/>
              <a:ea typeface="+mn-ea"/>
              <a:cs typeface="+mn-cs"/>
            </a:defRPr>
          </a:pPr>
          <a:endParaRPr lang="en-US" altLang="en-IN"/>
        </a:p>
      </c:txPr>
    </c:title>
    <c:autoTitleDeleted val="0"/>
    <c:plotArea>
      <c:layout>
        <c:manualLayout>
          <c:layoutTarget val="inner"/>
          <c:xMode val="edge"/>
          <c:yMode val="edge"/>
          <c:x val="4.9989336195939101E-2"/>
          <c:y val="0.12690654814034"/>
          <c:w val="0.93743403599896102"/>
          <c:h val="0.707008610320778"/>
        </c:manualLayout>
      </c:layout>
      <c:lineChart>
        <c:grouping val="standard"/>
        <c:varyColors val="0"/>
        <c:ser>
          <c:idx val="0"/>
          <c:order val="0"/>
          <c:tx>
            <c:strRef>
              <c:f>cells!$A$4</c:f>
              <c:strCache>
                <c:ptCount val="1"/>
                <c:pt idx="0">
                  <c:v>PERC bifacial - p-type, 182 mm</c:v>
                </c:pt>
              </c:strCache>
            </c:strRef>
          </c:tx>
          <c:spPr>
            <a:ln w="28575" cap="rnd">
              <a:solidFill>
                <a:schemeClr val="accent2"/>
              </a:solidFill>
              <a:round/>
            </a:ln>
            <a:effectLst/>
          </c:spPr>
          <c:marker>
            <c:symbol val="none"/>
          </c:marker>
          <c:cat>
            <c:multiLvlStrRef>
              <c:f>cells!$CX$2:$GF$3</c:f>
              <c:multiLvlStrCache>
                <c:ptCount val="87"/>
                <c:lvl>
                  <c:pt idx="0">
                    <c:v>1</c:v>
                  </c:pt>
                  <c:pt idx="1">
                    <c:v>2</c:v>
                  </c:pt>
                  <c:pt idx="2">
                    <c:v>3</c:v>
                  </c:pt>
                  <c:pt idx="3">
                    <c:v>4</c:v>
                  </c:pt>
                  <c:pt idx="4">
                    <c:v>6</c:v>
                  </c:pt>
                  <c:pt idx="5">
                    <c:v>7</c:v>
                  </c:pt>
                  <c:pt idx="6">
                    <c:v>8</c:v>
                  </c:pt>
                  <c:pt idx="7">
                    <c:v>9</c:v>
                  </c:pt>
                  <c:pt idx="8">
                    <c:v>10</c:v>
                  </c:pt>
                  <c:pt idx="9">
                    <c:v>11</c:v>
                  </c:pt>
                  <c:pt idx="10">
                    <c:v>12</c:v>
                  </c:pt>
                  <c:pt idx="11">
                    <c:v>13</c:v>
                  </c:pt>
                  <c:pt idx="12">
                    <c:v>14</c:v>
                  </c:pt>
                  <c:pt idx="13">
                    <c:v>15</c:v>
                  </c:pt>
                  <c:pt idx="14">
                    <c:v>16</c:v>
                  </c:pt>
                  <c:pt idx="15">
                    <c:v>17</c:v>
                  </c:pt>
                  <c:pt idx="16">
                    <c:v>18</c:v>
                  </c:pt>
                  <c:pt idx="17">
                    <c:v>19</c:v>
                  </c:pt>
                  <c:pt idx="18">
                    <c:v>20</c:v>
                  </c:pt>
                  <c:pt idx="19">
                    <c:v>21</c:v>
                  </c:pt>
                  <c:pt idx="20">
                    <c:v>22</c:v>
                  </c:pt>
                  <c:pt idx="21">
                    <c:v>23</c:v>
                  </c:pt>
                  <c:pt idx="22">
                    <c:v>24</c:v>
                  </c:pt>
                  <c:pt idx="23">
                    <c:v>25</c:v>
                  </c:pt>
                  <c:pt idx="24">
                    <c:v>26</c:v>
                  </c:pt>
                  <c:pt idx="25">
                    <c:v>27</c:v>
                  </c:pt>
                  <c:pt idx="26">
                    <c:v>28</c:v>
                  </c:pt>
                  <c:pt idx="27">
                    <c:v>29</c:v>
                  </c:pt>
                  <c:pt idx="28">
                    <c:v>30</c:v>
                  </c:pt>
                  <c:pt idx="29">
                    <c:v>31</c:v>
                  </c:pt>
                  <c:pt idx="30">
                    <c:v>32</c:v>
                  </c:pt>
                  <c:pt idx="31">
                    <c:v>33</c:v>
                  </c:pt>
                  <c:pt idx="32">
                    <c:v>34</c:v>
                  </c:pt>
                  <c:pt idx="33">
                    <c:v>35</c:v>
                  </c:pt>
                  <c:pt idx="34">
                    <c:v>36</c:v>
                  </c:pt>
                  <c:pt idx="35">
                    <c:v>37</c:v>
                  </c:pt>
                  <c:pt idx="36">
                    <c:v>38</c:v>
                  </c:pt>
                  <c:pt idx="37">
                    <c:v>39</c:v>
                  </c:pt>
                  <c:pt idx="38">
                    <c:v>41</c:v>
                  </c:pt>
                  <c:pt idx="39">
                    <c:v>42</c:v>
                  </c:pt>
                  <c:pt idx="40">
                    <c:v>43</c:v>
                  </c:pt>
                  <c:pt idx="41">
                    <c:v>44</c:v>
                  </c:pt>
                  <c:pt idx="42">
                    <c:v>45</c:v>
                  </c:pt>
                  <c:pt idx="43">
                    <c:v>46</c:v>
                  </c:pt>
                  <c:pt idx="44">
                    <c:v>47</c:v>
                  </c:pt>
                  <c:pt idx="45">
                    <c:v>48</c:v>
                  </c:pt>
                  <c:pt idx="46">
                    <c:v>49</c:v>
                  </c:pt>
                  <c:pt idx="47">
                    <c:v>50</c:v>
                  </c:pt>
                  <c:pt idx="48">
                    <c:v>51</c:v>
                  </c:pt>
                  <c:pt idx="49">
                    <c:v>52</c:v>
                  </c:pt>
                  <c:pt idx="50">
                    <c:v>EoY</c:v>
                  </c:pt>
                  <c:pt idx="51">
                    <c:v>1</c:v>
                  </c:pt>
                  <c:pt idx="52">
                    <c:v>2</c:v>
                  </c:pt>
                  <c:pt idx="53">
                    <c:v>3</c:v>
                  </c:pt>
                  <c:pt idx="54">
                    <c:v>4</c:v>
                  </c:pt>
                  <c:pt idx="55">
                    <c:v>5</c:v>
                  </c:pt>
                  <c:pt idx="56">
                    <c:v>6</c:v>
                  </c:pt>
                  <c:pt idx="57">
                    <c:v>8</c:v>
                  </c:pt>
                  <c:pt idx="58">
                    <c:v>9</c:v>
                  </c:pt>
                  <c:pt idx="59">
                    <c:v>10</c:v>
                  </c:pt>
                  <c:pt idx="60">
                    <c:v>11</c:v>
                  </c:pt>
                  <c:pt idx="61">
                    <c:v>12</c:v>
                  </c:pt>
                  <c:pt idx="62">
                    <c:v>13</c:v>
                  </c:pt>
                  <c:pt idx="63">
                    <c:v>14</c:v>
                  </c:pt>
                  <c:pt idx="64">
                    <c:v>15</c:v>
                  </c:pt>
                  <c:pt idx="65">
                    <c:v>16</c:v>
                  </c:pt>
                  <c:pt idx="66">
                    <c:v>17</c:v>
                  </c:pt>
                  <c:pt idx="67">
                    <c:v>18</c:v>
                  </c:pt>
                  <c:pt idx="68">
                    <c:v>19</c:v>
                  </c:pt>
                  <c:pt idx="69">
                    <c:v>20</c:v>
                  </c:pt>
                  <c:pt idx="70">
                    <c:v>21</c:v>
                  </c:pt>
                  <c:pt idx="71">
                    <c:v>22</c:v>
                  </c:pt>
                  <c:pt idx="72">
                    <c:v>23</c:v>
                  </c:pt>
                  <c:pt idx="73">
                    <c:v>24</c:v>
                  </c:pt>
                  <c:pt idx="74">
                    <c:v>25</c:v>
                  </c:pt>
                  <c:pt idx="75">
                    <c:v>26</c:v>
                  </c:pt>
                  <c:pt idx="76">
                    <c:v>27</c:v>
                  </c:pt>
                  <c:pt idx="77">
                    <c:v>28</c:v>
                  </c:pt>
                  <c:pt idx="78">
                    <c:v>29</c:v>
                  </c:pt>
                  <c:pt idx="79">
                    <c:v>30</c:v>
                  </c:pt>
                  <c:pt idx="80">
                    <c:v>31</c:v>
                  </c:pt>
                  <c:pt idx="81">
                    <c:v>32</c:v>
                  </c:pt>
                  <c:pt idx="82">
                    <c:v>33</c:v>
                  </c:pt>
                  <c:pt idx="83">
                    <c:v>34</c:v>
                  </c:pt>
                  <c:pt idx="84">
                    <c:v>35</c:v>
                  </c:pt>
                  <c:pt idx="85">
                    <c:v>36</c:v>
                  </c:pt>
                  <c:pt idx="86">
                    <c:v>37</c:v>
                  </c:pt>
                </c:lvl>
                <c:lvl>
                  <c:pt idx="0">
                    <c:v>2025</c:v>
                  </c:pt>
                  <c:pt idx="51">
                    <c:v>2026</c:v>
                  </c:pt>
                </c:lvl>
              </c:multiLvlStrCache>
            </c:multiLvlStrRef>
          </c:cat>
          <c:val>
            <c:numRef>
              <c:f>cells!$CX$4:$GF$4</c:f>
              <c:numCache>
                <c:formatCode>General</c:formatCode>
                <c:ptCount val="87"/>
                <c:pt idx="0">
                  <c:v>0.27500000000000002</c:v>
                </c:pt>
                <c:pt idx="1">
                  <c:v>0.27500000000000002</c:v>
                </c:pt>
                <c:pt idx="2">
                  <c:v>0.27500000000000002</c:v>
                </c:pt>
                <c:pt idx="3">
                  <c:v>0.27500000000000002</c:v>
                </c:pt>
                <c:pt idx="4">
                  <c:v>0.27500000000000002</c:v>
                </c:pt>
                <c:pt idx="5">
                  <c:v>0.27500000000000002</c:v>
                </c:pt>
                <c:pt idx="6">
                  <c:v>0.27500000000000002</c:v>
                </c:pt>
                <c:pt idx="7">
                  <c:v>0.27500000000000002</c:v>
                </c:pt>
                <c:pt idx="8">
                  <c:v>0.27500000000000002</c:v>
                </c:pt>
                <c:pt idx="9">
                  <c:v>0.27500000000000002</c:v>
                </c:pt>
                <c:pt idx="10">
                  <c:v>0.27500000000000002</c:v>
                </c:pt>
                <c:pt idx="11">
                  <c:v>0.27500000000000002</c:v>
                </c:pt>
                <c:pt idx="12">
                  <c:v>0.27500000000000002</c:v>
                </c:pt>
                <c:pt idx="13">
                  <c:v>0.27500000000000002</c:v>
                </c:pt>
                <c:pt idx="14">
                  <c:v>0.27500000000000002</c:v>
                </c:pt>
                <c:pt idx="15">
                  <c:v>0.27500000000000002</c:v>
                </c:pt>
                <c:pt idx="16">
                  <c:v>0.27500000000000002</c:v>
                </c:pt>
                <c:pt idx="17">
                  <c:v>0.27500000000000002</c:v>
                </c:pt>
                <c:pt idx="18">
                  <c:v>0.27</c:v>
                </c:pt>
                <c:pt idx="19">
                  <c:v>0.27</c:v>
                </c:pt>
                <c:pt idx="20">
                  <c:v>0.27</c:v>
                </c:pt>
                <c:pt idx="21">
                  <c:v>0.27</c:v>
                </c:pt>
                <c:pt idx="22">
                  <c:v>0.27</c:v>
                </c:pt>
                <c:pt idx="23">
                  <c:v>0.27</c:v>
                </c:pt>
                <c:pt idx="24">
                  <c:v>0.27</c:v>
                </c:pt>
              </c:numCache>
            </c:numRef>
          </c:val>
          <c:smooth val="0"/>
          <c:extLst>
            <c:ext xmlns:c16="http://schemas.microsoft.com/office/drawing/2014/chart" uri="{C3380CC4-5D6E-409C-BE32-E72D297353CC}">
              <c16:uniqueId val="{00000000-4842-48C4-982E-A2967EE89226}"/>
            </c:ext>
          </c:extLst>
        </c:ser>
        <c:ser>
          <c:idx val="1"/>
          <c:order val="1"/>
          <c:tx>
            <c:strRef>
              <c:f>cells!$A$5</c:f>
              <c:strCache>
                <c:ptCount val="1"/>
                <c:pt idx="0">
                  <c:v>PERC bifacial - p-type, 210 mm</c:v>
                </c:pt>
              </c:strCache>
            </c:strRef>
          </c:tx>
          <c:spPr>
            <a:ln w="28575" cap="rnd">
              <a:solidFill>
                <a:schemeClr val="accent4"/>
              </a:solidFill>
              <a:round/>
            </a:ln>
            <a:effectLst/>
          </c:spPr>
          <c:marker>
            <c:symbol val="none"/>
          </c:marker>
          <c:cat>
            <c:multiLvlStrRef>
              <c:f>cells!$CX$2:$GF$3</c:f>
              <c:multiLvlStrCache>
                <c:ptCount val="87"/>
                <c:lvl>
                  <c:pt idx="0">
                    <c:v>1</c:v>
                  </c:pt>
                  <c:pt idx="1">
                    <c:v>2</c:v>
                  </c:pt>
                  <c:pt idx="2">
                    <c:v>3</c:v>
                  </c:pt>
                  <c:pt idx="3">
                    <c:v>4</c:v>
                  </c:pt>
                  <c:pt idx="4">
                    <c:v>6</c:v>
                  </c:pt>
                  <c:pt idx="5">
                    <c:v>7</c:v>
                  </c:pt>
                  <c:pt idx="6">
                    <c:v>8</c:v>
                  </c:pt>
                  <c:pt idx="7">
                    <c:v>9</c:v>
                  </c:pt>
                  <c:pt idx="8">
                    <c:v>10</c:v>
                  </c:pt>
                  <c:pt idx="9">
                    <c:v>11</c:v>
                  </c:pt>
                  <c:pt idx="10">
                    <c:v>12</c:v>
                  </c:pt>
                  <c:pt idx="11">
                    <c:v>13</c:v>
                  </c:pt>
                  <c:pt idx="12">
                    <c:v>14</c:v>
                  </c:pt>
                  <c:pt idx="13">
                    <c:v>15</c:v>
                  </c:pt>
                  <c:pt idx="14">
                    <c:v>16</c:v>
                  </c:pt>
                  <c:pt idx="15">
                    <c:v>17</c:v>
                  </c:pt>
                  <c:pt idx="16">
                    <c:v>18</c:v>
                  </c:pt>
                  <c:pt idx="17">
                    <c:v>19</c:v>
                  </c:pt>
                  <c:pt idx="18">
                    <c:v>20</c:v>
                  </c:pt>
                  <c:pt idx="19">
                    <c:v>21</c:v>
                  </c:pt>
                  <c:pt idx="20">
                    <c:v>22</c:v>
                  </c:pt>
                  <c:pt idx="21">
                    <c:v>23</c:v>
                  </c:pt>
                  <c:pt idx="22">
                    <c:v>24</c:v>
                  </c:pt>
                  <c:pt idx="23">
                    <c:v>25</c:v>
                  </c:pt>
                  <c:pt idx="24">
                    <c:v>26</c:v>
                  </c:pt>
                  <c:pt idx="25">
                    <c:v>27</c:v>
                  </c:pt>
                  <c:pt idx="26">
                    <c:v>28</c:v>
                  </c:pt>
                  <c:pt idx="27">
                    <c:v>29</c:v>
                  </c:pt>
                  <c:pt idx="28">
                    <c:v>30</c:v>
                  </c:pt>
                  <c:pt idx="29">
                    <c:v>31</c:v>
                  </c:pt>
                  <c:pt idx="30">
                    <c:v>32</c:v>
                  </c:pt>
                  <c:pt idx="31">
                    <c:v>33</c:v>
                  </c:pt>
                  <c:pt idx="32">
                    <c:v>34</c:v>
                  </c:pt>
                  <c:pt idx="33">
                    <c:v>35</c:v>
                  </c:pt>
                  <c:pt idx="34">
                    <c:v>36</c:v>
                  </c:pt>
                  <c:pt idx="35">
                    <c:v>37</c:v>
                  </c:pt>
                  <c:pt idx="36">
                    <c:v>38</c:v>
                  </c:pt>
                  <c:pt idx="37">
                    <c:v>39</c:v>
                  </c:pt>
                  <c:pt idx="38">
                    <c:v>41</c:v>
                  </c:pt>
                  <c:pt idx="39">
                    <c:v>42</c:v>
                  </c:pt>
                  <c:pt idx="40">
                    <c:v>43</c:v>
                  </c:pt>
                  <c:pt idx="41">
                    <c:v>44</c:v>
                  </c:pt>
                  <c:pt idx="42">
                    <c:v>45</c:v>
                  </c:pt>
                  <c:pt idx="43">
                    <c:v>46</c:v>
                  </c:pt>
                  <c:pt idx="44">
                    <c:v>47</c:v>
                  </c:pt>
                  <c:pt idx="45">
                    <c:v>48</c:v>
                  </c:pt>
                  <c:pt idx="46">
                    <c:v>49</c:v>
                  </c:pt>
                  <c:pt idx="47">
                    <c:v>50</c:v>
                  </c:pt>
                  <c:pt idx="48">
                    <c:v>51</c:v>
                  </c:pt>
                  <c:pt idx="49">
                    <c:v>52</c:v>
                  </c:pt>
                  <c:pt idx="50">
                    <c:v>EoY</c:v>
                  </c:pt>
                  <c:pt idx="51">
                    <c:v>1</c:v>
                  </c:pt>
                  <c:pt idx="52">
                    <c:v>2</c:v>
                  </c:pt>
                  <c:pt idx="53">
                    <c:v>3</c:v>
                  </c:pt>
                  <c:pt idx="54">
                    <c:v>4</c:v>
                  </c:pt>
                  <c:pt idx="55">
                    <c:v>5</c:v>
                  </c:pt>
                  <c:pt idx="56">
                    <c:v>6</c:v>
                  </c:pt>
                  <c:pt idx="57">
                    <c:v>8</c:v>
                  </c:pt>
                  <c:pt idx="58">
                    <c:v>9</c:v>
                  </c:pt>
                  <c:pt idx="59">
                    <c:v>10</c:v>
                  </c:pt>
                  <c:pt idx="60">
                    <c:v>11</c:v>
                  </c:pt>
                  <c:pt idx="61">
                    <c:v>12</c:v>
                  </c:pt>
                  <c:pt idx="62">
                    <c:v>13</c:v>
                  </c:pt>
                  <c:pt idx="63">
                    <c:v>14</c:v>
                  </c:pt>
                  <c:pt idx="64">
                    <c:v>15</c:v>
                  </c:pt>
                  <c:pt idx="65">
                    <c:v>16</c:v>
                  </c:pt>
                  <c:pt idx="66">
                    <c:v>17</c:v>
                  </c:pt>
                  <c:pt idx="67">
                    <c:v>18</c:v>
                  </c:pt>
                  <c:pt idx="68">
                    <c:v>19</c:v>
                  </c:pt>
                  <c:pt idx="69">
                    <c:v>20</c:v>
                  </c:pt>
                  <c:pt idx="70">
                    <c:v>21</c:v>
                  </c:pt>
                  <c:pt idx="71">
                    <c:v>22</c:v>
                  </c:pt>
                  <c:pt idx="72">
                    <c:v>23</c:v>
                  </c:pt>
                  <c:pt idx="73">
                    <c:v>24</c:v>
                  </c:pt>
                  <c:pt idx="74">
                    <c:v>25</c:v>
                  </c:pt>
                  <c:pt idx="75">
                    <c:v>26</c:v>
                  </c:pt>
                  <c:pt idx="76">
                    <c:v>27</c:v>
                  </c:pt>
                  <c:pt idx="77">
                    <c:v>28</c:v>
                  </c:pt>
                  <c:pt idx="78">
                    <c:v>29</c:v>
                  </c:pt>
                  <c:pt idx="79">
                    <c:v>30</c:v>
                  </c:pt>
                  <c:pt idx="80">
                    <c:v>31</c:v>
                  </c:pt>
                  <c:pt idx="81">
                    <c:v>32</c:v>
                  </c:pt>
                  <c:pt idx="82">
                    <c:v>33</c:v>
                  </c:pt>
                  <c:pt idx="83">
                    <c:v>34</c:v>
                  </c:pt>
                  <c:pt idx="84">
                    <c:v>35</c:v>
                  </c:pt>
                  <c:pt idx="85">
                    <c:v>36</c:v>
                  </c:pt>
                  <c:pt idx="86">
                    <c:v>37</c:v>
                  </c:pt>
                </c:lvl>
                <c:lvl>
                  <c:pt idx="0">
                    <c:v>2025</c:v>
                  </c:pt>
                  <c:pt idx="51">
                    <c:v>2026</c:v>
                  </c:pt>
                </c:lvl>
              </c:multiLvlStrCache>
            </c:multiLvlStrRef>
          </c:cat>
          <c:val>
            <c:numRef>
              <c:f>cells!$CX$5:$GF$5</c:f>
              <c:numCache>
                <c:formatCode>General</c:formatCode>
                <c:ptCount val="87"/>
                <c:pt idx="0">
                  <c:v>0.28000000000000003</c:v>
                </c:pt>
                <c:pt idx="1">
                  <c:v>0.28000000000000003</c:v>
                </c:pt>
                <c:pt idx="2">
                  <c:v>0.28000000000000003</c:v>
                </c:pt>
                <c:pt idx="3">
                  <c:v>0.28000000000000003</c:v>
                </c:pt>
                <c:pt idx="4">
                  <c:v>0.28000000000000003</c:v>
                </c:pt>
                <c:pt idx="5">
                  <c:v>0.28000000000000003</c:v>
                </c:pt>
                <c:pt idx="6">
                  <c:v>0.28000000000000003</c:v>
                </c:pt>
                <c:pt idx="7">
                  <c:v>0.28000000000000003</c:v>
                </c:pt>
                <c:pt idx="8">
                  <c:v>0.28000000000000003</c:v>
                </c:pt>
                <c:pt idx="9">
                  <c:v>0.28000000000000003</c:v>
                </c:pt>
                <c:pt idx="10">
                  <c:v>0.28000000000000003</c:v>
                </c:pt>
                <c:pt idx="11">
                  <c:v>0.28000000000000003</c:v>
                </c:pt>
                <c:pt idx="12">
                  <c:v>0.28000000000000003</c:v>
                </c:pt>
                <c:pt idx="13">
                  <c:v>0.28000000000000003</c:v>
                </c:pt>
                <c:pt idx="14">
                  <c:v>0.28000000000000003</c:v>
                </c:pt>
                <c:pt idx="15">
                  <c:v>0.28000000000000003</c:v>
                </c:pt>
                <c:pt idx="16">
                  <c:v>0.28000000000000003</c:v>
                </c:pt>
                <c:pt idx="17">
                  <c:v>0.28000000000000003</c:v>
                </c:pt>
                <c:pt idx="18">
                  <c:v>0.28000000000000003</c:v>
                </c:pt>
                <c:pt idx="19">
                  <c:v>0.28000000000000003</c:v>
                </c:pt>
                <c:pt idx="20">
                  <c:v>0.28000000000000003</c:v>
                </c:pt>
                <c:pt idx="21">
                  <c:v>0.28000000000000003</c:v>
                </c:pt>
                <c:pt idx="22">
                  <c:v>0.28000000000000003</c:v>
                </c:pt>
                <c:pt idx="23">
                  <c:v>0.28000000000000003</c:v>
                </c:pt>
                <c:pt idx="24">
                  <c:v>0.28000000000000003</c:v>
                </c:pt>
              </c:numCache>
            </c:numRef>
          </c:val>
          <c:smooth val="0"/>
          <c:extLst>
            <c:ext xmlns:c16="http://schemas.microsoft.com/office/drawing/2014/chart" uri="{C3380CC4-5D6E-409C-BE32-E72D297353CC}">
              <c16:uniqueId val="{00000001-4842-48C4-982E-A2967EE89226}"/>
            </c:ext>
          </c:extLst>
        </c:ser>
        <c:ser>
          <c:idx val="2"/>
          <c:order val="2"/>
          <c:tx>
            <c:strRef>
              <c:f>cells!$A$6</c:f>
              <c:strCache>
                <c:ptCount val="1"/>
                <c:pt idx="0">
                  <c:v>TOPCon - n-type, 182 mm</c:v>
                </c:pt>
              </c:strCache>
            </c:strRef>
          </c:tx>
          <c:spPr>
            <a:ln w="28575" cap="rnd">
              <a:solidFill>
                <a:schemeClr val="accent6"/>
              </a:solidFill>
              <a:round/>
            </a:ln>
            <a:effectLst/>
          </c:spPr>
          <c:marker>
            <c:symbol val="none"/>
          </c:marker>
          <c:cat>
            <c:multiLvlStrRef>
              <c:f>cells!$CX$2:$GF$3</c:f>
              <c:multiLvlStrCache>
                <c:ptCount val="87"/>
                <c:lvl>
                  <c:pt idx="0">
                    <c:v>1</c:v>
                  </c:pt>
                  <c:pt idx="1">
                    <c:v>2</c:v>
                  </c:pt>
                  <c:pt idx="2">
                    <c:v>3</c:v>
                  </c:pt>
                  <c:pt idx="3">
                    <c:v>4</c:v>
                  </c:pt>
                  <c:pt idx="4">
                    <c:v>6</c:v>
                  </c:pt>
                  <c:pt idx="5">
                    <c:v>7</c:v>
                  </c:pt>
                  <c:pt idx="6">
                    <c:v>8</c:v>
                  </c:pt>
                  <c:pt idx="7">
                    <c:v>9</c:v>
                  </c:pt>
                  <c:pt idx="8">
                    <c:v>10</c:v>
                  </c:pt>
                  <c:pt idx="9">
                    <c:v>11</c:v>
                  </c:pt>
                  <c:pt idx="10">
                    <c:v>12</c:v>
                  </c:pt>
                  <c:pt idx="11">
                    <c:v>13</c:v>
                  </c:pt>
                  <c:pt idx="12">
                    <c:v>14</c:v>
                  </c:pt>
                  <c:pt idx="13">
                    <c:v>15</c:v>
                  </c:pt>
                  <c:pt idx="14">
                    <c:v>16</c:v>
                  </c:pt>
                  <c:pt idx="15">
                    <c:v>17</c:v>
                  </c:pt>
                  <c:pt idx="16">
                    <c:v>18</c:v>
                  </c:pt>
                  <c:pt idx="17">
                    <c:v>19</c:v>
                  </c:pt>
                  <c:pt idx="18">
                    <c:v>20</c:v>
                  </c:pt>
                  <c:pt idx="19">
                    <c:v>21</c:v>
                  </c:pt>
                  <c:pt idx="20">
                    <c:v>22</c:v>
                  </c:pt>
                  <c:pt idx="21">
                    <c:v>23</c:v>
                  </c:pt>
                  <c:pt idx="22">
                    <c:v>24</c:v>
                  </c:pt>
                  <c:pt idx="23">
                    <c:v>25</c:v>
                  </c:pt>
                  <c:pt idx="24">
                    <c:v>26</c:v>
                  </c:pt>
                  <c:pt idx="25">
                    <c:v>27</c:v>
                  </c:pt>
                  <c:pt idx="26">
                    <c:v>28</c:v>
                  </c:pt>
                  <c:pt idx="27">
                    <c:v>29</c:v>
                  </c:pt>
                  <c:pt idx="28">
                    <c:v>30</c:v>
                  </c:pt>
                  <c:pt idx="29">
                    <c:v>31</c:v>
                  </c:pt>
                  <c:pt idx="30">
                    <c:v>32</c:v>
                  </c:pt>
                  <c:pt idx="31">
                    <c:v>33</c:v>
                  </c:pt>
                  <c:pt idx="32">
                    <c:v>34</c:v>
                  </c:pt>
                  <c:pt idx="33">
                    <c:v>35</c:v>
                  </c:pt>
                  <c:pt idx="34">
                    <c:v>36</c:v>
                  </c:pt>
                  <c:pt idx="35">
                    <c:v>37</c:v>
                  </c:pt>
                  <c:pt idx="36">
                    <c:v>38</c:v>
                  </c:pt>
                  <c:pt idx="37">
                    <c:v>39</c:v>
                  </c:pt>
                  <c:pt idx="38">
                    <c:v>41</c:v>
                  </c:pt>
                  <c:pt idx="39">
                    <c:v>42</c:v>
                  </c:pt>
                  <c:pt idx="40">
                    <c:v>43</c:v>
                  </c:pt>
                  <c:pt idx="41">
                    <c:v>44</c:v>
                  </c:pt>
                  <c:pt idx="42">
                    <c:v>45</c:v>
                  </c:pt>
                  <c:pt idx="43">
                    <c:v>46</c:v>
                  </c:pt>
                  <c:pt idx="44">
                    <c:v>47</c:v>
                  </c:pt>
                  <c:pt idx="45">
                    <c:v>48</c:v>
                  </c:pt>
                  <c:pt idx="46">
                    <c:v>49</c:v>
                  </c:pt>
                  <c:pt idx="47">
                    <c:v>50</c:v>
                  </c:pt>
                  <c:pt idx="48">
                    <c:v>51</c:v>
                  </c:pt>
                  <c:pt idx="49">
                    <c:v>52</c:v>
                  </c:pt>
                  <c:pt idx="50">
                    <c:v>EoY</c:v>
                  </c:pt>
                  <c:pt idx="51">
                    <c:v>1</c:v>
                  </c:pt>
                  <c:pt idx="52">
                    <c:v>2</c:v>
                  </c:pt>
                  <c:pt idx="53">
                    <c:v>3</c:v>
                  </c:pt>
                  <c:pt idx="54">
                    <c:v>4</c:v>
                  </c:pt>
                  <c:pt idx="55">
                    <c:v>5</c:v>
                  </c:pt>
                  <c:pt idx="56">
                    <c:v>6</c:v>
                  </c:pt>
                  <c:pt idx="57">
                    <c:v>8</c:v>
                  </c:pt>
                  <c:pt idx="58">
                    <c:v>9</c:v>
                  </c:pt>
                  <c:pt idx="59">
                    <c:v>10</c:v>
                  </c:pt>
                  <c:pt idx="60">
                    <c:v>11</c:v>
                  </c:pt>
                  <c:pt idx="61">
                    <c:v>12</c:v>
                  </c:pt>
                  <c:pt idx="62">
                    <c:v>13</c:v>
                  </c:pt>
                  <c:pt idx="63">
                    <c:v>14</c:v>
                  </c:pt>
                  <c:pt idx="64">
                    <c:v>15</c:v>
                  </c:pt>
                  <c:pt idx="65">
                    <c:v>16</c:v>
                  </c:pt>
                  <c:pt idx="66">
                    <c:v>17</c:v>
                  </c:pt>
                  <c:pt idx="67">
                    <c:v>18</c:v>
                  </c:pt>
                  <c:pt idx="68">
                    <c:v>19</c:v>
                  </c:pt>
                  <c:pt idx="69">
                    <c:v>20</c:v>
                  </c:pt>
                  <c:pt idx="70">
                    <c:v>21</c:v>
                  </c:pt>
                  <c:pt idx="71">
                    <c:v>22</c:v>
                  </c:pt>
                  <c:pt idx="72">
                    <c:v>23</c:v>
                  </c:pt>
                  <c:pt idx="73">
                    <c:v>24</c:v>
                  </c:pt>
                  <c:pt idx="74">
                    <c:v>25</c:v>
                  </c:pt>
                  <c:pt idx="75">
                    <c:v>26</c:v>
                  </c:pt>
                  <c:pt idx="76">
                    <c:v>27</c:v>
                  </c:pt>
                  <c:pt idx="77">
                    <c:v>28</c:v>
                  </c:pt>
                  <c:pt idx="78">
                    <c:v>29</c:v>
                  </c:pt>
                  <c:pt idx="79">
                    <c:v>30</c:v>
                  </c:pt>
                  <c:pt idx="80">
                    <c:v>31</c:v>
                  </c:pt>
                  <c:pt idx="81">
                    <c:v>32</c:v>
                  </c:pt>
                  <c:pt idx="82">
                    <c:v>33</c:v>
                  </c:pt>
                  <c:pt idx="83">
                    <c:v>34</c:v>
                  </c:pt>
                  <c:pt idx="84">
                    <c:v>35</c:v>
                  </c:pt>
                  <c:pt idx="85">
                    <c:v>36</c:v>
                  </c:pt>
                  <c:pt idx="86">
                    <c:v>37</c:v>
                  </c:pt>
                </c:lvl>
                <c:lvl>
                  <c:pt idx="0">
                    <c:v>2025</c:v>
                  </c:pt>
                  <c:pt idx="51">
                    <c:v>2026</c:v>
                  </c:pt>
                </c:lvl>
              </c:multiLvlStrCache>
            </c:multiLvlStrRef>
          </c:cat>
          <c:val>
            <c:numRef>
              <c:f>cells!$CX$6:$GF$6</c:f>
              <c:numCache>
                <c:formatCode>General</c:formatCode>
                <c:ptCount val="87"/>
                <c:pt idx="0">
                  <c:v>0.28499999999999998</c:v>
                </c:pt>
                <c:pt idx="1">
                  <c:v>0.28999999999999998</c:v>
                </c:pt>
                <c:pt idx="2">
                  <c:v>0.28999999999999998</c:v>
                </c:pt>
                <c:pt idx="3">
                  <c:v>0.28999999999999998</c:v>
                </c:pt>
                <c:pt idx="4">
                  <c:v>0.28999999999999998</c:v>
                </c:pt>
                <c:pt idx="5">
                  <c:v>0.29499999999999998</c:v>
                </c:pt>
                <c:pt idx="6">
                  <c:v>0.29499999999999998</c:v>
                </c:pt>
                <c:pt idx="7">
                  <c:v>0.29499999999999998</c:v>
                </c:pt>
                <c:pt idx="8">
                  <c:v>0.29799999999999999</c:v>
                </c:pt>
                <c:pt idx="9">
                  <c:v>0.29799999999999999</c:v>
                </c:pt>
                <c:pt idx="10">
                  <c:v>0.3</c:v>
                </c:pt>
                <c:pt idx="11">
                  <c:v>0.3</c:v>
                </c:pt>
                <c:pt idx="12">
                  <c:v>0.3</c:v>
                </c:pt>
                <c:pt idx="13">
                  <c:v>0.3</c:v>
                </c:pt>
                <c:pt idx="14">
                  <c:v>0.29499999999999998</c:v>
                </c:pt>
                <c:pt idx="15">
                  <c:v>0.28000000000000003</c:v>
                </c:pt>
                <c:pt idx="16">
                  <c:v>0.28000000000000003</c:v>
                </c:pt>
                <c:pt idx="17">
                  <c:v>0.26800000000000002</c:v>
                </c:pt>
                <c:pt idx="18">
                  <c:v>0.26500000000000001</c:v>
                </c:pt>
                <c:pt idx="19">
                  <c:v>0.26</c:v>
                </c:pt>
                <c:pt idx="20">
                  <c:v>0.255</c:v>
                </c:pt>
                <c:pt idx="21">
                  <c:v>0.255</c:v>
                </c:pt>
                <c:pt idx="22">
                  <c:v>0.255</c:v>
                </c:pt>
                <c:pt idx="23">
                  <c:v>0.24</c:v>
                </c:pt>
                <c:pt idx="24">
                  <c:v>0.23499999999999999</c:v>
                </c:pt>
                <c:pt idx="25">
                  <c:v>0.22500000000000001</c:v>
                </c:pt>
                <c:pt idx="26">
                  <c:v>0.23</c:v>
                </c:pt>
                <c:pt idx="27">
                  <c:v>0.25</c:v>
                </c:pt>
                <c:pt idx="28">
                  <c:v>0.28000000000000003</c:v>
                </c:pt>
                <c:pt idx="29">
                  <c:v>0.30499999999999999</c:v>
                </c:pt>
                <c:pt idx="30">
                  <c:v>0.315</c:v>
                </c:pt>
                <c:pt idx="31">
                  <c:v>0.29499999999999998</c:v>
                </c:pt>
                <c:pt idx="32">
                  <c:v>0.29499999999999998</c:v>
                </c:pt>
                <c:pt idx="33">
                  <c:v>0.29799999999999999</c:v>
                </c:pt>
                <c:pt idx="34">
                  <c:v>0.29799999999999999</c:v>
                </c:pt>
                <c:pt idx="35">
                  <c:v>0.30499999999999999</c:v>
                </c:pt>
                <c:pt idx="36">
                  <c:v>0.315</c:v>
                </c:pt>
                <c:pt idx="37">
                  <c:v>0.32500000000000001</c:v>
                </c:pt>
                <c:pt idx="38">
                  <c:v>0.32500000000000001</c:v>
                </c:pt>
                <c:pt idx="39">
                  <c:v>0.32500000000000001</c:v>
                </c:pt>
                <c:pt idx="40">
                  <c:v>0.32500000000000001</c:v>
                </c:pt>
                <c:pt idx="41">
                  <c:v>0.32500000000000001</c:v>
                </c:pt>
                <c:pt idx="42">
                  <c:v>0.31</c:v>
                </c:pt>
                <c:pt idx="43">
                  <c:v>0.31</c:v>
                </c:pt>
                <c:pt idx="44">
                  <c:v>0.308</c:v>
                </c:pt>
                <c:pt idx="45">
                  <c:v>0.29499999999999998</c:v>
                </c:pt>
                <c:pt idx="46">
                  <c:v>0.29199999999999998</c:v>
                </c:pt>
                <c:pt idx="47">
                  <c:v>0.28499999999999998</c:v>
                </c:pt>
                <c:pt idx="48">
                  <c:v>0.29499999999999998</c:v>
                </c:pt>
                <c:pt idx="49">
                  <c:v>0.32</c:v>
                </c:pt>
                <c:pt idx="50">
                  <c:v>0.32</c:v>
                </c:pt>
                <c:pt idx="51">
                  <c:v>0.37</c:v>
                </c:pt>
                <c:pt idx="52">
                  <c:v>0.38</c:v>
                </c:pt>
                <c:pt idx="53">
                  <c:v>0.41</c:v>
                </c:pt>
                <c:pt idx="54">
                  <c:v>0.435</c:v>
                </c:pt>
                <c:pt idx="55">
                  <c:v>0.435</c:v>
                </c:pt>
                <c:pt idx="56">
                  <c:v>0.435</c:v>
                </c:pt>
                <c:pt idx="57">
                  <c:v>0.435</c:v>
                </c:pt>
                <c:pt idx="58">
                  <c:v>0.42</c:v>
                </c:pt>
                <c:pt idx="59">
                  <c:v>0.42</c:v>
                </c:pt>
                <c:pt idx="60">
                  <c:v>0.4</c:v>
                </c:pt>
                <c:pt idx="61">
                  <c:v>0.38</c:v>
                </c:pt>
                <c:pt idx="62">
                  <c:v>0.37</c:v>
                </c:pt>
                <c:pt idx="63">
                  <c:v>0.35</c:v>
                </c:pt>
                <c:pt idx="64">
                  <c:v>0.34499999999999997</c:v>
                </c:pt>
                <c:pt idx="65">
                  <c:v>0.32500000000000001</c:v>
                </c:pt>
                <c:pt idx="66">
                  <c:v>0.32500000000000001</c:v>
                </c:pt>
                <c:pt idx="67">
                  <c:v>0.32500000000000001</c:v>
                </c:pt>
                <c:pt idx="68">
                  <c:v>0.32500000000000001</c:v>
                </c:pt>
                <c:pt idx="69">
                  <c:v>0.32500000000000001</c:v>
                </c:pt>
                <c:pt idx="70">
                  <c:v>0.32500000000000001</c:v>
                </c:pt>
                <c:pt idx="71">
                  <c:v>0.32500000000000001</c:v>
                </c:pt>
                <c:pt idx="72">
                  <c:v>0.31</c:v>
                </c:pt>
                <c:pt idx="73">
                  <c:v>0.31</c:v>
                </c:pt>
                <c:pt idx="74">
                  <c:v>0.28499999999999998</c:v>
                </c:pt>
                <c:pt idx="75">
                  <c:v>0.27</c:v>
                </c:pt>
                <c:pt idx="76">
                  <c:v>0.26800000000000002</c:v>
                </c:pt>
                <c:pt idx="77">
                  <c:v>0.26500000000000001</c:v>
                </c:pt>
                <c:pt idx="78">
                  <c:v>0.26500000000000001</c:v>
                </c:pt>
                <c:pt idx="79">
                  <c:v>0.26500000000000001</c:v>
                </c:pt>
                <c:pt idx="80">
                  <c:v>0.27500000000000002</c:v>
                </c:pt>
                <c:pt idx="81">
                  <c:v>0.3</c:v>
                </c:pt>
                <c:pt idx="82">
                  <c:v>0.38</c:v>
                </c:pt>
                <c:pt idx="83">
                  <c:v>0.33500000000000002</c:v>
                </c:pt>
                <c:pt idx="84">
                  <c:v>0.31</c:v>
                </c:pt>
                <c:pt idx="85">
                  <c:v>0.31</c:v>
                </c:pt>
                <c:pt idx="86">
                  <c:v>0.3</c:v>
                </c:pt>
              </c:numCache>
            </c:numRef>
          </c:val>
          <c:smooth val="0"/>
          <c:extLst>
            <c:ext xmlns:c16="http://schemas.microsoft.com/office/drawing/2014/chart" uri="{C3380CC4-5D6E-409C-BE32-E72D297353CC}">
              <c16:uniqueId val="{00000002-4842-48C4-982E-A2967EE89226}"/>
            </c:ext>
          </c:extLst>
        </c:ser>
        <c:ser>
          <c:idx val="3"/>
          <c:order val="3"/>
          <c:tx>
            <c:strRef>
              <c:f>cells!$A$7</c:f>
              <c:strCache>
                <c:ptCount val="1"/>
                <c:pt idx="0">
                  <c:v>TOPCon - n-type, 210 mm</c:v>
                </c:pt>
              </c:strCache>
            </c:strRef>
          </c:tx>
          <c:spPr>
            <a:ln w="28575" cap="rnd">
              <a:solidFill>
                <a:schemeClr val="accent2">
                  <a:lumMod val="60000"/>
                </a:schemeClr>
              </a:solidFill>
              <a:round/>
            </a:ln>
            <a:effectLst/>
          </c:spPr>
          <c:marker>
            <c:symbol val="none"/>
          </c:marker>
          <c:cat>
            <c:multiLvlStrRef>
              <c:f>cells!$CX$2:$GF$3</c:f>
              <c:multiLvlStrCache>
                <c:ptCount val="87"/>
                <c:lvl>
                  <c:pt idx="0">
                    <c:v>1</c:v>
                  </c:pt>
                  <c:pt idx="1">
                    <c:v>2</c:v>
                  </c:pt>
                  <c:pt idx="2">
                    <c:v>3</c:v>
                  </c:pt>
                  <c:pt idx="3">
                    <c:v>4</c:v>
                  </c:pt>
                  <c:pt idx="4">
                    <c:v>6</c:v>
                  </c:pt>
                  <c:pt idx="5">
                    <c:v>7</c:v>
                  </c:pt>
                  <c:pt idx="6">
                    <c:v>8</c:v>
                  </c:pt>
                  <c:pt idx="7">
                    <c:v>9</c:v>
                  </c:pt>
                  <c:pt idx="8">
                    <c:v>10</c:v>
                  </c:pt>
                  <c:pt idx="9">
                    <c:v>11</c:v>
                  </c:pt>
                  <c:pt idx="10">
                    <c:v>12</c:v>
                  </c:pt>
                  <c:pt idx="11">
                    <c:v>13</c:v>
                  </c:pt>
                  <c:pt idx="12">
                    <c:v>14</c:v>
                  </c:pt>
                  <c:pt idx="13">
                    <c:v>15</c:v>
                  </c:pt>
                  <c:pt idx="14">
                    <c:v>16</c:v>
                  </c:pt>
                  <c:pt idx="15">
                    <c:v>17</c:v>
                  </c:pt>
                  <c:pt idx="16">
                    <c:v>18</c:v>
                  </c:pt>
                  <c:pt idx="17">
                    <c:v>19</c:v>
                  </c:pt>
                  <c:pt idx="18">
                    <c:v>20</c:v>
                  </c:pt>
                  <c:pt idx="19">
                    <c:v>21</c:v>
                  </c:pt>
                  <c:pt idx="20">
                    <c:v>22</c:v>
                  </c:pt>
                  <c:pt idx="21">
                    <c:v>23</c:v>
                  </c:pt>
                  <c:pt idx="22">
                    <c:v>24</c:v>
                  </c:pt>
                  <c:pt idx="23">
                    <c:v>25</c:v>
                  </c:pt>
                  <c:pt idx="24">
                    <c:v>26</c:v>
                  </c:pt>
                  <c:pt idx="25">
                    <c:v>27</c:v>
                  </c:pt>
                  <c:pt idx="26">
                    <c:v>28</c:v>
                  </c:pt>
                  <c:pt idx="27">
                    <c:v>29</c:v>
                  </c:pt>
                  <c:pt idx="28">
                    <c:v>30</c:v>
                  </c:pt>
                  <c:pt idx="29">
                    <c:v>31</c:v>
                  </c:pt>
                  <c:pt idx="30">
                    <c:v>32</c:v>
                  </c:pt>
                  <c:pt idx="31">
                    <c:v>33</c:v>
                  </c:pt>
                  <c:pt idx="32">
                    <c:v>34</c:v>
                  </c:pt>
                  <c:pt idx="33">
                    <c:v>35</c:v>
                  </c:pt>
                  <c:pt idx="34">
                    <c:v>36</c:v>
                  </c:pt>
                  <c:pt idx="35">
                    <c:v>37</c:v>
                  </c:pt>
                  <c:pt idx="36">
                    <c:v>38</c:v>
                  </c:pt>
                  <c:pt idx="37">
                    <c:v>39</c:v>
                  </c:pt>
                  <c:pt idx="38">
                    <c:v>41</c:v>
                  </c:pt>
                  <c:pt idx="39">
                    <c:v>42</c:v>
                  </c:pt>
                  <c:pt idx="40">
                    <c:v>43</c:v>
                  </c:pt>
                  <c:pt idx="41">
                    <c:v>44</c:v>
                  </c:pt>
                  <c:pt idx="42">
                    <c:v>45</c:v>
                  </c:pt>
                  <c:pt idx="43">
                    <c:v>46</c:v>
                  </c:pt>
                  <c:pt idx="44">
                    <c:v>47</c:v>
                  </c:pt>
                  <c:pt idx="45">
                    <c:v>48</c:v>
                  </c:pt>
                  <c:pt idx="46">
                    <c:v>49</c:v>
                  </c:pt>
                  <c:pt idx="47">
                    <c:v>50</c:v>
                  </c:pt>
                  <c:pt idx="48">
                    <c:v>51</c:v>
                  </c:pt>
                  <c:pt idx="49">
                    <c:v>52</c:v>
                  </c:pt>
                  <c:pt idx="50">
                    <c:v>EoY</c:v>
                  </c:pt>
                  <c:pt idx="51">
                    <c:v>1</c:v>
                  </c:pt>
                  <c:pt idx="52">
                    <c:v>2</c:v>
                  </c:pt>
                  <c:pt idx="53">
                    <c:v>3</c:v>
                  </c:pt>
                  <c:pt idx="54">
                    <c:v>4</c:v>
                  </c:pt>
                  <c:pt idx="55">
                    <c:v>5</c:v>
                  </c:pt>
                  <c:pt idx="56">
                    <c:v>6</c:v>
                  </c:pt>
                  <c:pt idx="57">
                    <c:v>8</c:v>
                  </c:pt>
                  <c:pt idx="58">
                    <c:v>9</c:v>
                  </c:pt>
                  <c:pt idx="59">
                    <c:v>10</c:v>
                  </c:pt>
                  <c:pt idx="60">
                    <c:v>11</c:v>
                  </c:pt>
                  <c:pt idx="61">
                    <c:v>12</c:v>
                  </c:pt>
                  <c:pt idx="62">
                    <c:v>13</c:v>
                  </c:pt>
                  <c:pt idx="63">
                    <c:v>14</c:v>
                  </c:pt>
                  <c:pt idx="64">
                    <c:v>15</c:v>
                  </c:pt>
                  <c:pt idx="65">
                    <c:v>16</c:v>
                  </c:pt>
                  <c:pt idx="66">
                    <c:v>17</c:v>
                  </c:pt>
                  <c:pt idx="67">
                    <c:v>18</c:v>
                  </c:pt>
                  <c:pt idx="68">
                    <c:v>19</c:v>
                  </c:pt>
                  <c:pt idx="69">
                    <c:v>20</c:v>
                  </c:pt>
                  <c:pt idx="70">
                    <c:v>21</c:v>
                  </c:pt>
                  <c:pt idx="71">
                    <c:v>22</c:v>
                  </c:pt>
                  <c:pt idx="72">
                    <c:v>23</c:v>
                  </c:pt>
                  <c:pt idx="73">
                    <c:v>24</c:v>
                  </c:pt>
                  <c:pt idx="74">
                    <c:v>25</c:v>
                  </c:pt>
                  <c:pt idx="75">
                    <c:v>26</c:v>
                  </c:pt>
                  <c:pt idx="76">
                    <c:v>27</c:v>
                  </c:pt>
                  <c:pt idx="77">
                    <c:v>28</c:v>
                  </c:pt>
                  <c:pt idx="78">
                    <c:v>29</c:v>
                  </c:pt>
                  <c:pt idx="79">
                    <c:v>30</c:v>
                  </c:pt>
                  <c:pt idx="80">
                    <c:v>31</c:v>
                  </c:pt>
                  <c:pt idx="81">
                    <c:v>32</c:v>
                  </c:pt>
                  <c:pt idx="82">
                    <c:v>33</c:v>
                  </c:pt>
                  <c:pt idx="83">
                    <c:v>34</c:v>
                  </c:pt>
                  <c:pt idx="84">
                    <c:v>35</c:v>
                  </c:pt>
                  <c:pt idx="85">
                    <c:v>36</c:v>
                  </c:pt>
                  <c:pt idx="86">
                    <c:v>37</c:v>
                  </c:pt>
                </c:lvl>
                <c:lvl>
                  <c:pt idx="0">
                    <c:v>2025</c:v>
                  </c:pt>
                  <c:pt idx="51">
                    <c:v>2026</c:v>
                  </c:pt>
                </c:lvl>
              </c:multiLvlStrCache>
            </c:multiLvlStrRef>
          </c:cat>
          <c:val>
            <c:numRef>
              <c:f>cells!$CX$7:$GF$7</c:f>
              <c:numCache>
                <c:formatCode>General</c:formatCode>
                <c:ptCount val="87"/>
                <c:pt idx="0">
                  <c:v>0.28999999999999998</c:v>
                </c:pt>
                <c:pt idx="1">
                  <c:v>0.28999999999999998</c:v>
                </c:pt>
                <c:pt idx="2">
                  <c:v>0.28999999999999998</c:v>
                </c:pt>
                <c:pt idx="3">
                  <c:v>0.28999999999999998</c:v>
                </c:pt>
                <c:pt idx="4">
                  <c:v>0.28999999999999998</c:v>
                </c:pt>
                <c:pt idx="5">
                  <c:v>0.29499999999999998</c:v>
                </c:pt>
                <c:pt idx="6">
                  <c:v>0.29499999999999998</c:v>
                </c:pt>
                <c:pt idx="7">
                  <c:v>0.29499999999999998</c:v>
                </c:pt>
                <c:pt idx="8">
                  <c:v>0.29499999999999998</c:v>
                </c:pt>
                <c:pt idx="9">
                  <c:v>0.29499999999999998</c:v>
                </c:pt>
                <c:pt idx="10">
                  <c:v>0.30499999999999999</c:v>
                </c:pt>
                <c:pt idx="11">
                  <c:v>0.30499999999999999</c:v>
                </c:pt>
                <c:pt idx="12">
                  <c:v>0.30499999999999999</c:v>
                </c:pt>
                <c:pt idx="13">
                  <c:v>0.30499999999999999</c:v>
                </c:pt>
                <c:pt idx="14">
                  <c:v>0.3</c:v>
                </c:pt>
                <c:pt idx="15">
                  <c:v>0.28999999999999998</c:v>
                </c:pt>
                <c:pt idx="16">
                  <c:v>0.28999999999999998</c:v>
                </c:pt>
                <c:pt idx="17">
                  <c:v>0.28000000000000003</c:v>
                </c:pt>
                <c:pt idx="18">
                  <c:v>0.28000000000000003</c:v>
                </c:pt>
                <c:pt idx="19">
                  <c:v>0.28000000000000003</c:v>
                </c:pt>
                <c:pt idx="20">
                  <c:v>0.27</c:v>
                </c:pt>
                <c:pt idx="21">
                  <c:v>0.27</c:v>
                </c:pt>
                <c:pt idx="22">
                  <c:v>0.27</c:v>
                </c:pt>
                <c:pt idx="23">
                  <c:v>0.26</c:v>
                </c:pt>
                <c:pt idx="24">
                  <c:v>0.255</c:v>
                </c:pt>
                <c:pt idx="25">
                  <c:v>0.245</c:v>
                </c:pt>
                <c:pt idx="26">
                  <c:v>0.245</c:v>
                </c:pt>
                <c:pt idx="27">
                  <c:v>0.255</c:v>
                </c:pt>
                <c:pt idx="28">
                  <c:v>0.27500000000000002</c:v>
                </c:pt>
                <c:pt idx="29">
                  <c:v>0.28999999999999998</c:v>
                </c:pt>
                <c:pt idx="30">
                  <c:v>0.28999999999999998</c:v>
                </c:pt>
                <c:pt idx="31">
                  <c:v>0.28499999999999998</c:v>
                </c:pt>
                <c:pt idx="32">
                  <c:v>0.28499999999999998</c:v>
                </c:pt>
                <c:pt idx="33">
                  <c:v>0.28799999999999998</c:v>
                </c:pt>
                <c:pt idx="34">
                  <c:v>0.28799999999999998</c:v>
                </c:pt>
                <c:pt idx="35">
                  <c:v>0.28999999999999998</c:v>
                </c:pt>
                <c:pt idx="36">
                  <c:v>0.3</c:v>
                </c:pt>
                <c:pt idx="37">
                  <c:v>0.3</c:v>
                </c:pt>
                <c:pt idx="38">
                  <c:v>0.3</c:v>
                </c:pt>
                <c:pt idx="39">
                  <c:v>0.3</c:v>
                </c:pt>
                <c:pt idx="40">
                  <c:v>0.31</c:v>
                </c:pt>
                <c:pt idx="41">
                  <c:v>0.31</c:v>
                </c:pt>
                <c:pt idx="42">
                  <c:v>0.3</c:v>
                </c:pt>
                <c:pt idx="43">
                  <c:v>0.3</c:v>
                </c:pt>
                <c:pt idx="44">
                  <c:v>0.29799999999999999</c:v>
                </c:pt>
                <c:pt idx="45">
                  <c:v>0.28799999999999998</c:v>
                </c:pt>
                <c:pt idx="46">
                  <c:v>0.28499999999999998</c:v>
                </c:pt>
                <c:pt idx="47">
                  <c:v>0.28299999999999997</c:v>
                </c:pt>
                <c:pt idx="48">
                  <c:v>0.29499999999999998</c:v>
                </c:pt>
                <c:pt idx="49">
                  <c:v>0.32</c:v>
                </c:pt>
                <c:pt idx="50">
                  <c:v>0.32</c:v>
                </c:pt>
                <c:pt idx="51">
                  <c:v>0.38</c:v>
                </c:pt>
                <c:pt idx="52">
                  <c:v>0.38</c:v>
                </c:pt>
                <c:pt idx="53">
                  <c:v>0.41</c:v>
                </c:pt>
                <c:pt idx="54">
                  <c:v>0.435</c:v>
                </c:pt>
                <c:pt idx="55">
                  <c:v>0.435</c:v>
                </c:pt>
                <c:pt idx="56">
                  <c:v>0.435</c:v>
                </c:pt>
                <c:pt idx="57">
                  <c:v>0.435</c:v>
                </c:pt>
                <c:pt idx="58">
                  <c:v>0.42199999999999999</c:v>
                </c:pt>
                <c:pt idx="59">
                  <c:v>0.42199999999999999</c:v>
                </c:pt>
                <c:pt idx="60">
                  <c:v>0.4</c:v>
                </c:pt>
                <c:pt idx="61">
                  <c:v>0.39</c:v>
                </c:pt>
                <c:pt idx="62">
                  <c:v>0.37</c:v>
                </c:pt>
                <c:pt idx="63">
                  <c:v>0.36</c:v>
                </c:pt>
                <c:pt idx="64">
                  <c:v>0.35399999999999998</c:v>
                </c:pt>
                <c:pt idx="65">
                  <c:v>0.34</c:v>
                </c:pt>
                <c:pt idx="66">
                  <c:v>0.34</c:v>
                </c:pt>
                <c:pt idx="67">
                  <c:v>0.34</c:v>
                </c:pt>
                <c:pt idx="68">
                  <c:v>0.34</c:v>
                </c:pt>
                <c:pt idx="69">
                  <c:v>0.34</c:v>
                </c:pt>
                <c:pt idx="70">
                  <c:v>0.33</c:v>
                </c:pt>
                <c:pt idx="71">
                  <c:v>0.33</c:v>
                </c:pt>
                <c:pt idx="72">
                  <c:v>0.315</c:v>
                </c:pt>
                <c:pt idx="73">
                  <c:v>0.315</c:v>
                </c:pt>
                <c:pt idx="74">
                  <c:v>0.29499999999999998</c:v>
                </c:pt>
                <c:pt idx="75">
                  <c:v>0.27500000000000002</c:v>
                </c:pt>
                <c:pt idx="76">
                  <c:v>0.27200000000000002</c:v>
                </c:pt>
                <c:pt idx="77">
                  <c:v>0.27</c:v>
                </c:pt>
                <c:pt idx="78">
                  <c:v>0.27</c:v>
                </c:pt>
                <c:pt idx="79">
                  <c:v>0.27</c:v>
                </c:pt>
                <c:pt idx="80">
                  <c:v>0.27</c:v>
                </c:pt>
                <c:pt idx="81">
                  <c:v>0.29499999999999998</c:v>
                </c:pt>
                <c:pt idx="82">
                  <c:v>0.36</c:v>
                </c:pt>
                <c:pt idx="83">
                  <c:v>0.31</c:v>
                </c:pt>
                <c:pt idx="84">
                  <c:v>0.31</c:v>
                </c:pt>
                <c:pt idx="85">
                  <c:v>0.31</c:v>
                </c:pt>
                <c:pt idx="86">
                  <c:v>0.29499999999999998</c:v>
                </c:pt>
              </c:numCache>
            </c:numRef>
          </c:val>
          <c:smooth val="0"/>
          <c:extLst>
            <c:ext xmlns:c16="http://schemas.microsoft.com/office/drawing/2014/chart" uri="{C3380CC4-5D6E-409C-BE32-E72D297353CC}">
              <c16:uniqueId val="{00000003-4842-48C4-982E-A2967EE89226}"/>
            </c:ext>
          </c:extLst>
        </c:ser>
        <c:ser>
          <c:idx val="4"/>
          <c:order val="4"/>
          <c:tx>
            <c:strRef>
              <c:f>cells!$A$8</c:f>
              <c:strCache>
                <c:ptCount val="1"/>
                <c:pt idx="0">
                  <c:v>Bifacial 210R TOPCon Cell (Above 24.3%)</c:v>
                </c:pt>
              </c:strCache>
            </c:strRef>
          </c:tx>
          <c:spPr>
            <a:ln w="28575" cap="rnd">
              <a:solidFill>
                <a:schemeClr val="accent4">
                  <a:lumMod val="60000"/>
                </a:schemeClr>
              </a:solidFill>
              <a:round/>
            </a:ln>
            <a:effectLst/>
          </c:spPr>
          <c:marker>
            <c:symbol val="none"/>
          </c:marker>
          <c:cat>
            <c:multiLvlStrRef>
              <c:f>cells!$CX$2:$GF$3</c:f>
              <c:multiLvlStrCache>
                <c:ptCount val="87"/>
                <c:lvl>
                  <c:pt idx="0">
                    <c:v>1</c:v>
                  </c:pt>
                  <c:pt idx="1">
                    <c:v>2</c:v>
                  </c:pt>
                  <c:pt idx="2">
                    <c:v>3</c:v>
                  </c:pt>
                  <c:pt idx="3">
                    <c:v>4</c:v>
                  </c:pt>
                  <c:pt idx="4">
                    <c:v>6</c:v>
                  </c:pt>
                  <c:pt idx="5">
                    <c:v>7</c:v>
                  </c:pt>
                  <c:pt idx="6">
                    <c:v>8</c:v>
                  </c:pt>
                  <c:pt idx="7">
                    <c:v>9</c:v>
                  </c:pt>
                  <c:pt idx="8">
                    <c:v>10</c:v>
                  </c:pt>
                  <c:pt idx="9">
                    <c:v>11</c:v>
                  </c:pt>
                  <c:pt idx="10">
                    <c:v>12</c:v>
                  </c:pt>
                  <c:pt idx="11">
                    <c:v>13</c:v>
                  </c:pt>
                  <c:pt idx="12">
                    <c:v>14</c:v>
                  </c:pt>
                  <c:pt idx="13">
                    <c:v>15</c:v>
                  </c:pt>
                  <c:pt idx="14">
                    <c:v>16</c:v>
                  </c:pt>
                  <c:pt idx="15">
                    <c:v>17</c:v>
                  </c:pt>
                  <c:pt idx="16">
                    <c:v>18</c:v>
                  </c:pt>
                  <c:pt idx="17">
                    <c:v>19</c:v>
                  </c:pt>
                  <c:pt idx="18">
                    <c:v>20</c:v>
                  </c:pt>
                  <c:pt idx="19">
                    <c:v>21</c:v>
                  </c:pt>
                  <c:pt idx="20">
                    <c:v>22</c:v>
                  </c:pt>
                  <c:pt idx="21">
                    <c:v>23</c:v>
                  </c:pt>
                  <c:pt idx="22">
                    <c:v>24</c:v>
                  </c:pt>
                  <c:pt idx="23">
                    <c:v>25</c:v>
                  </c:pt>
                  <c:pt idx="24">
                    <c:v>26</c:v>
                  </c:pt>
                  <c:pt idx="25">
                    <c:v>27</c:v>
                  </c:pt>
                  <c:pt idx="26">
                    <c:v>28</c:v>
                  </c:pt>
                  <c:pt idx="27">
                    <c:v>29</c:v>
                  </c:pt>
                  <c:pt idx="28">
                    <c:v>30</c:v>
                  </c:pt>
                  <c:pt idx="29">
                    <c:v>31</c:v>
                  </c:pt>
                  <c:pt idx="30">
                    <c:v>32</c:v>
                  </c:pt>
                  <c:pt idx="31">
                    <c:v>33</c:v>
                  </c:pt>
                  <c:pt idx="32">
                    <c:v>34</c:v>
                  </c:pt>
                  <c:pt idx="33">
                    <c:v>35</c:v>
                  </c:pt>
                  <c:pt idx="34">
                    <c:v>36</c:v>
                  </c:pt>
                  <c:pt idx="35">
                    <c:v>37</c:v>
                  </c:pt>
                  <c:pt idx="36">
                    <c:v>38</c:v>
                  </c:pt>
                  <c:pt idx="37">
                    <c:v>39</c:v>
                  </c:pt>
                  <c:pt idx="38">
                    <c:v>41</c:v>
                  </c:pt>
                  <c:pt idx="39">
                    <c:v>42</c:v>
                  </c:pt>
                  <c:pt idx="40">
                    <c:v>43</c:v>
                  </c:pt>
                  <c:pt idx="41">
                    <c:v>44</c:v>
                  </c:pt>
                  <c:pt idx="42">
                    <c:v>45</c:v>
                  </c:pt>
                  <c:pt idx="43">
                    <c:v>46</c:v>
                  </c:pt>
                  <c:pt idx="44">
                    <c:v>47</c:v>
                  </c:pt>
                  <c:pt idx="45">
                    <c:v>48</c:v>
                  </c:pt>
                  <c:pt idx="46">
                    <c:v>49</c:v>
                  </c:pt>
                  <c:pt idx="47">
                    <c:v>50</c:v>
                  </c:pt>
                  <c:pt idx="48">
                    <c:v>51</c:v>
                  </c:pt>
                  <c:pt idx="49">
                    <c:v>52</c:v>
                  </c:pt>
                  <c:pt idx="50">
                    <c:v>EoY</c:v>
                  </c:pt>
                  <c:pt idx="51">
                    <c:v>1</c:v>
                  </c:pt>
                  <c:pt idx="52">
                    <c:v>2</c:v>
                  </c:pt>
                  <c:pt idx="53">
                    <c:v>3</c:v>
                  </c:pt>
                  <c:pt idx="54">
                    <c:v>4</c:v>
                  </c:pt>
                  <c:pt idx="55">
                    <c:v>5</c:v>
                  </c:pt>
                  <c:pt idx="56">
                    <c:v>6</c:v>
                  </c:pt>
                  <c:pt idx="57">
                    <c:v>8</c:v>
                  </c:pt>
                  <c:pt idx="58">
                    <c:v>9</c:v>
                  </c:pt>
                  <c:pt idx="59">
                    <c:v>10</c:v>
                  </c:pt>
                  <c:pt idx="60">
                    <c:v>11</c:v>
                  </c:pt>
                  <c:pt idx="61">
                    <c:v>12</c:v>
                  </c:pt>
                  <c:pt idx="62">
                    <c:v>13</c:v>
                  </c:pt>
                  <c:pt idx="63">
                    <c:v>14</c:v>
                  </c:pt>
                  <c:pt idx="64">
                    <c:v>15</c:v>
                  </c:pt>
                  <c:pt idx="65">
                    <c:v>16</c:v>
                  </c:pt>
                  <c:pt idx="66">
                    <c:v>17</c:v>
                  </c:pt>
                  <c:pt idx="67">
                    <c:v>18</c:v>
                  </c:pt>
                  <c:pt idx="68">
                    <c:v>19</c:v>
                  </c:pt>
                  <c:pt idx="69">
                    <c:v>20</c:v>
                  </c:pt>
                  <c:pt idx="70">
                    <c:v>21</c:v>
                  </c:pt>
                  <c:pt idx="71">
                    <c:v>22</c:v>
                  </c:pt>
                  <c:pt idx="72">
                    <c:v>23</c:v>
                  </c:pt>
                  <c:pt idx="73">
                    <c:v>24</c:v>
                  </c:pt>
                  <c:pt idx="74">
                    <c:v>25</c:v>
                  </c:pt>
                  <c:pt idx="75">
                    <c:v>26</c:v>
                  </c:pt>
                  <c:pt idx="76">
                    <c:v>27</c:v>
                  </c:pt>
                  <c:pt idx="77">
                    <c:v>28</c:v>
                  </c:pt>
                  <c:pt idx="78">
                    <c:v>29</c:v>
                  </c:pt>
                  <c:pt idx="79">
                    <c:v>30</c:v>
                  </c:pt>
                  <c:pt idx="80">
                    <c:v>31</c:v>
                  </c:pt>
                  <c:pt idx="81">
                    <c:v>32</c:v>
                  </c:pt>
                  <c:pt idx="82">
                    <c:v>33</c:v>
                  </c:pt>
                  <c:pt idx="83">
                    <c:v>34</c:v>
                  </c:pt>
                  <c:pt idx="84">
                    <c:v>35</c:v>
                  </c:pt>
                  <c:pt idx="85">
                    <c:v>36</c:v>
                  </c:pt>
                  <c:pt idx="86">
                    <c:v>37</c:v>
                  </c:pt>
                </c:lvl>
                <c:lvl>
                  <c:pt idx="0">
                    <c:v>2025</c:v>
                  </c:pt>
                  <c:pt idx="51">
                    <c:v>2026</c:v>
                  </c:pt>
                </c:lvl>
              </c:multiLvlStrCache>
            </c:multiLvlStrRef>
          </c:cat>
          <c:val>
            <c:numRef>
              <c:f>cells!$CX$8:$GF$8</c:f>
              <c:numCache>
                <c:formatCode>General</c:formatCode>
                <c:ptCount val="87"/>
                <c:pt idx="0">
                  <c:v>0.28499999999999998</c:v>
                </c:pt>
                <c:pt idx="1">
                  <c:v>0.28499999999999998</c:v>
                </c:pt>
                <c:pt idx="2">
                  <c:v>0.28499999999999998</c:v>
                </c:pt>
                <c:pt idx="3">
                  <c:v>0.28499999999999998</c:v>
                </c:pt>
                <c:pt idx="4">
                  <c:v>0.28499999999999998</c:v>
                </c:pt>
                <c:pt idx="5">
                  <c:v>0.28499999999999998</c:v>
                </c:pt>
                <c:pt idx="6">
                  <c:v>0.28499999999999998</c:v>
                </c:pt>
                <c:pt idx="7">
                  <c:v>0.28499999999999998</c:v>
                </c:pt>
                <c:pt idx="8">
                  <c:v>0.29799999999999999</c:v>
                </c:pt>
                <c:pt idx="9">
                  <c:v>0.31</c:v>
                </c:pt>
                <c:pt idx="10">
                  <c:v>0.35</c:v>
                </c:pt>
                <c:pt idx="11">
                  <c:v>0.34</c:v>
                </c:pt>
                <c:pt idx="12">
                  <c:v>0.34</c:v>
                </c:pt>
                <c:pt idx="13">
                  <c:v>0.33</c:v>
                </c:pt>
                <c:pt idx="14">
                  <c:v>0.29499999999999998</c:v>
                </c:pt>
                <c:pt idx="15">
                  <c:v>0.28000000000000003</c:v>
                </c:pt>
                <c:pt idx="16">
                  <c:v>0.28000000000000003</c:v>
                </c:pt>
                <c:pt idx="17">
                  <c:v>0.26800000000000002</c:v>
                </c:pt>
                <c:pt idx="18">
                  <c:v>0.26500000000000001</c:v>
                </c:pt>
                <c:pt idx="19">
                  <c:v>0.26</c:v>
                </c:pt>
                <c:pt idx="20">
                  <c:v>0.26</c:v>
                </c:pt>
                <c:pt idx="21">
                  <c:v>0.26</c:v>
                </c:pt>
                <c:pt idx="22">
                  <c:v>0.26</c:v>
                </c:pt>
                <c:pt idx="23">
                  <c:v>0.26</c:v>
                </c:pt>
                <c:pt idx="24">
                  <c:v>0.255</c:v>
                </c:pt>
                <c:pt idx="25">
                  <c:v>0.245</c:v>
                </c:pt>
                <c:pt idx="26">
                  <c:v>0.245</c:v>
                </c:pt>
                <c:pt idx="27">
                  <c:v>0.26200000000000001</c:v>
                </c:pt>
                <c:pt idx="28">
                  <c:v>0.27500000000000002</c:v>
                </c:pt>
                <c:pt idx="29">
                  <c:v>0.28999999999999998</c:v>
                </c:pt>
                <c:pt idx="30">
                  <c:v>0.28999999999999998</c:v>
                </c:pt>
                <c:pt idx="31">
                  <c:v>0.28999999999999998</c:v>
                </c:pt>
                <c:pt idx="32">
                  <c:v>0.28999999999999998</c:v>
                </c:pt>
                <c:pt idx="33">
                  <c:v>0.29099999999999998</c:v>
                </c:pt>
                <c:pt idx="34">
                  <c:v>0.29099999999999998</c:v>
                </c:pt>
                <c:pt idx="35">
                  <c:v>0.28899999999999998</c:v>
                </c:pt>
                <c:pt idx="36">
                  <c:v>0.28999999999999998</c:v>
                </c:pt>
                <c:pt idx="37">
                  <c:v>0.28999999999999998</c:v>
                </c:pt>
                <c:pt idx="38">
                  <c:v>0.28999999999999998</c:v>
                </c:pt>
                <c:pt idx="39">
                  <c:v>0.28999999999999998</c:v>
                </c:pt>
                <c:pt idx="40">
                  <c:v>0.28399999999999997</c:v>
                </c:pt>
                <c:pt idx="41">
                  <c:v>0.28399999999999997</c:v>
                </c:pt>
                <c:pt idx="42">
                  <c:v>0.28399999999999997</c:v>
                </c:pt>
                <c:pt idx="43">
                  <c:v>0.28399999999999997</c:v>
                </c:pt>
                <c:pt idx="44">
                  <c:v>0.28199999999999997</c:v>
                </c:pt>
                <c:pt idx="45">
                  <c:v>0.27800000000000002</c:v>
                </c:pt>
                <c:pt idx="46">
                  <c:v>0.27500000000000002</c:v>
                </c:pt>
                <c:pt idx="47">
                  <c:v>0.27300000000000002</c:v>
                </c:pt>
                <c:pt idx="48">
                  <c:v>0.28999999999999998</c:v>
                </c:pt>
                <c:pt idx="49">
                  <c:v>0.31</c:v>
                </c:pt>
                <c:pt idx="50">
                  <c:v>0.31</c:v>
                </c:pt>
                <c:pt idx="51">
                  <c:v>0.37</c:v>
                </c:pt>
                <c:pt idx="52">
                  <c:v>0.38</c:v>
                </c:pt>
                <c:pt idx="53">
                  <c:v>0.41</c:v>
                </c:pt>
                <c:pt idx="54">
                  <c:v>0.435</c:v>
                </c:pt>
                <c:pt idx="55">
                  <c:v>0.435</c:v>
                </c:pt>
                <c:pt idx="56">
                  <c:v>0.435</c:v>
                </c:pt>
                <c:pt idx="57">
                  <c:v>0.435</c:v>
                </c:pt>
                <c:pt idx="58">
                  <c:v>0.42</c:v>
                </c:pt>
                <c:pt idx="59">
                  <c:v>0.42</c:v>
                </c:pt>
                <c:pt idx="60">
                  <c:v>0.41</c:v>
                </c:pt>
                <c:pt idx="61">
                  <c:v>0.39</c:v>
                </c:pt>
                <c:pt idx="62">
                  <c:v>0.375</c:v>
                </c:pt>
                <c:pt idx="63">
                  <c:v>0.36</c:v>
                </c:pt>
                <c:pt idx="64">
                  <c:v>0.35499999999999998</c:v>
                </c:pt>
                <c:pt idx="65">
                  <c:v>0.34</c:v>
                </c:pt>
                <c:pt idx="66">
                  <c:v>0.34</c:v>
                </c:pt>
                <c:pt idx="67">
                  <c:v>0.34</c:v>
                </c:pt>
                <c:pt idx="68">
                  <c:v>0.34</c:v>
                </c:pt>
                <c:pt idx="69">
                  <c:v>0.34</c:v>
                </c:pt>
                <c:pt idx="70">
                  <c:v>0.33</c:v>
                </c:pt>
                <c:pt idx="71">
                  <c:v>0.33</c:v>
                </c:pt>
                <c:pt idx="72">
                  <c:v>0.315</c:v>
                </c:pt>
                <c:pt idx="73">
                  <c:v>0.31</c:v>
                </c:pt>
                <c:pt idx="74">
                  <c:v>0.28999999999999998</c:v>
                </c:pt>
                <c:pt idx="75">
                  <c:v>0.27</c:v>
                </c:pt>
                <c:pt idx="76">
                  <c:v>0.26800000000000002</c:v>
                </c:pt>
                <c:pt idx="77">
                  <c:v>0.26800000000000002</c:v>
                </c:pt>
                <c:pt idx="78">
                  <c:v>0.26800000000000002</c:v>
                </c:pt>
                <c:pt idx="79">
                  <c:v>0.26800000000000002</c:v>
                </c:pt>
                <c:pt idx="80">
                  <c:v>0.26800000000000002</c:v>
                </c:pt>
                <c:pt idx="81">
                  <c:v>0.28999999999999998</c:v>
                </c:pt>
                <c:pt idx="82">
                  <c:v>0.38</c:v>
                </c:pt>
                <c:pt idx="83">
                  <c:v>0.30499999999999999</c:v>
                </c:pt>
                <c:pt idx="84">
                  <c:v>0.3</c:v>
                </c:pt>
                <c:pt idx="85">
                  <c:v>0.3</c:v>
                </c:pt>
                <c:pt idx="86">
                  <c:v>0.315</c:v>
                </c:pt>
              </c:numCache>
            </c:numRef>
          </c:val>
          <c:smooth val="0"/>
          <c:extLst>
            <c:ext xmlns:c16="http://schemas.microsoft.com/office/drawing/2014/chart" uri="{C3380CC4-5D6E-409C-BE32-E72D297353CC}">
              <c16:uniqueId val="{00000004-4842-48C4-982E-A2967EE89226}"/>
            </c:ext>
          </c:extLst>
        </c:ser>
        <c:dLbls>
          <c:showLegendKey val="0"/>
          <c:showVal val="0"/>
          <c:showCatName val="0"/>
          <c:showSerName val="0"/>
          <c:showPercent val="0"/>
          <c:showBubbleSize val="0"/>
        </c:dLbls>
        <c:smooth val="0"/>
        <c:axId val="1846869999"/>
        <c:axId val="1847551151"/>
      </c:lineChart>
      <c:catAx>
        <c:axId val="18468699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1"/>
          <a:lstStyle/>
          <a:p>
            <a:pPr>
              <a:defRPr lang="zh-CN" sz="1100" b="0" i="0" u="none" strike="noStrike" kern="1200" baseline="0">
                <a:solidFill>
                  <a:schemeClr val="bg1"/>
                </a:solidFill>
                <a:latin typeface="+mn-lt"/>
                <a:ea typeface="+mn-ea"/>
                <a:cs typeface="+mn-cs"/>
              </a:defRPr>
            </a:pPr>
            <a:endParaRPr lang="en-US"/>
          </a:p>
        </c:txPr>
        <c:crossAx val="1847551151"/>
        <c:crosses val="autoZero"/>
        <c:auto val="1"/>
        <c:lblAlgn val="ctr"/>
        <c:lblOffset val="100"/>
        <c:tickLblSkip val="1"/>
        <c:noMultiLvlLbl val="0"/>
      </c:catAx>
      <c:valAx>
        <c:axId val="1847551151"/>
        <c:scaling>
          <c:orientation val="minMax"/>
        </c:scaling>
        <c:delete val="0"/>
        <c:axPos val="l"/>
        <c:title>
          <c:tx>
            <c:rich>
              <a:bodyPr rot="-5400000" spcFirstLastPara="1" vertOverflow="ellipsis" vert="horz" wrap="square" anchor="ctr" anchorCtr="1"/>
              <a:lstStyle/>
              <a:p>
                <a:pPr>
                  <a:defRPr lang="zh-CN" sz="1200" b="0" i="0" u="none" strike="noStrike" kern="1200" baseline="0">
                    <a:solidFill>
                      <a:schemeClr val="bg1"/>
                    </a:solidFill>
                    <a:latin typeface="+mn-lt"/>
                    <a:ea typeface="+mn-ea"/>
                    <a:cs typeface="+mn-cs"/>
                  </a:defRPr>
                </a:pPr>
                <a:r>
                  <a:rPr lang="en-IN" sz="1200"/>
                  <a:t>Price (RMB/W)</a:t>
                </a:r>
              </a:p>
            </c:rich>
          </c:tx>
          <c:overlay val="0"/>
          <c:spPr>
            <a:noFill/>
            <a:ln>
              <a:noFill/>
            </a:ln>
            <a:effectLst/>
          </c:spPr>
          <c:txPr>
            <a:bodyPr rot="-5400000" spcFirstLastPara="1" vertOverflow="ellipsis" vert="horz" wrap="square" anchor="ctr" anchorCtr="1"/>
            <a:lstStyle/>
            <a:p>
              <a:pPr>
                <a:defRPr lang="zh-CN" sz="1200" b="0" i="0" u="none" strike="noStrike" kern="1200" baseline="0">
                  <a:solidFill>
                    <a:schemeClr val="bg1"/>
                  </a:solidFill>
                  <a:latin typeface="+mn-lt"/>
                  <a:ea typeface="+mn-ea"/>
                  <a:cs typeface="+mn-cs"/>
                </a:defRPr>
              </a:pPr>
              <a:endParaRPr lang="en-IN"/>
            </a:p>
          </c:txPr>
        </c:title>
        <c:numFmt formatCode="General" sourceLinked="1"/>
        <c:majorTickMark val="out"/>
        <c:minorTickMark val="none"/>
        <c:tickLblPos val="nextTo"/>
        <c:spPr>
          <a:noFill/>
          <a:ln>
            <a:solidFill>
              <a:schemeClr val="bg1"/>
            </a:solidFill>
          </a:ln>
          <a:effectLst/>
        </c:spPr>
        <c:txPr>
          <a:bodyPr rot="-60000000" spcFirstLastPara="1" vertOverflow="ellipsis" vert="horz" wrap="square" anchor="ctr" anchorCtr="1"/>
          <a:lstStyle/>
          <a:p>
            <a:pPr>
              <a:defRPr lang="zh-CN" sz="1200" b="0" i="0" u="none" strike="noStrike" kern="1200" baseline="0">
                <a:solidFill>
                  <a:schemeClr val="bg1"/>
                </a:solidFill>
                <a:latin typeface="+mn-lt"/>
                <a:ea typeface="+mn-ea"/>
                <a:cs typeface="+mn-cs"/>
              </a:defRPr>
            </a:pPr>
            <a:endParaRPr lang="en-US"/>
          </a:p>
        </c:txPr>
        <c:crossAx val="1846869999"/>
        <c:crosses val="autoZero"/>
        <c:crossBetween val="between"/>
      </c:valAx>
      <c:spPr>
        <a:noFill/>
        <a:ln>
          <a:noFill/>
        </a:ln>
        <a:effectLst/>
      </c:spPr>
    </c:plotArea>
    <c:legend>
      <c:legendPos val="b"/>
      <c:legendEntry>
        <c:idx val="0"/>
        <c:txPr>
          <a:bodyPr rot="0" spcFirstLastPara="1" vertOverflow="ellipsis" vert="horz" wrap="square" anchor="ctr" anchorCtr="1"/>
          <a:lstStyle/>
          <a:p>
            <a:pPr>
              <a:defRPr lang="zh-CN" sz="1200" b="0" i="0" u="none" strike="noStrike" kern="1200" baseline="0">
                <a:solidFill>
                  <a:schemeClr val="bg1"/>
                </a:solidFill>
                <a:latin typeface="+mn-lt"/>
                <a:ea typeface="+mn-ea"/>
                <a:cs typeface="+mn-cs"/>
              </a:defRPr>
            </a:pPr>
            <a:endParaRPr lang="en-US"/>
          </a:p>
        </c:txPr>
      </c:legendEntry>
      <c:legendEntry>
        <c:idx val="1"/>
        <c:txPr>
          <a:bodyPr rot="0" spcFirstLastPara="1" vertOverflow="ellipsis" vert="horz" wrap="square" anchor="ctr" anchorCtr="1"/>
          <a:lstStyle/>
          <a:p>
            <a:pPr>
              <a:defRPr lang="zh-CN" sz="1200" b="0" i="0" u="none" strike="noStrike" kern="1200" baseline="0">
                <a:solidFill>
                  <a:schemeClr val="bg1"/>
                </a:solidFill>
                <a:latin typeface="+mn-lt"/>
                <a:ea typeface="+mn-ea"/>
                <a:cs typeface="+mn-cs"/>
              </a:defRPr>
            </a:pPr>
            <a:endParaRPr lang="en-US"/>
          </a:p>
        </c:txPr>
      </c:legendEntry>
      <c:legendEntry>
        <c:idx val="2"/>
        <c:txPr>
          <a:bodyPr rot="0" spcFirstLastPara="1" vertOverflow="ellipsis" vert="horz" wrap="square" anchor="ctr" anchorCtr="1"/>
          <a:lstStyle/>
          <a:p>
            <a:pPr>
              <a:defRPr lang="zh-CN" sz="1200" b="0" i="0" u="none" strike="noStrike" kern="1200" baseline="0">
                <a:solidFill>
                  <a:schemeClr val="bg1"/>
                </a:solidFill>
                <a:latin typeface="+mn-lt"/>
                <a:ea typeface="+mn-ea"/>
                <a:cs typeface="+mn-cs"/>
              </a:defRPr>
            </a:pPr>
            <a:endParaRPr lang="en-US"/>
          </a:p>
        </c:txPr>
      </c:legendEntry>
      <c:legendEntry>
        <c:idx val="3"/>
        <c:txPr>
          <a:bodyPr rot="0" spcFirstLastPara="1" vertOverflow="ellipsis" vert="horz" wrap="square" anchor="ctr" anchorCtr="1"/>
          <a:lstStyle/>
          <a:p>
            <a:pPr>
              <a:defRPr lang="zh-CN" sz="1200" b="0" i="0" u="none" strike="noStrike" kern="1200" baseline="0">
                <a:solidFill>
                  <a:schemeClr val="bg1"/>
                </a:solidFill>
                <a:latin typeface="+mn-lt"/>
                <a:ea typeface="+mn-ea"/>
                <a:cs typeface="+mn-cs"/>
              </a:defRPr>
            </a:pPr>
            <a:endParaRPr lang="en-US"/>
          </a:p>
        </c:txPr>
      </c:legendEntry>
      <c:legendEntry>
        <c:idx val="4"/>
        <c:txPr>
          <a:bodyPr rot="0" spcFirstLastPara="1" vertOverflow="ellipsis" vert="horz" wrap="square" anchor="ctr" anchorCtr="1"/>
          <a:lstStyle/>
          <a:p>
            <a:pPr>
              <a:defRPr lang="zh-CN" sz="1200" b="0" i="0" u="none" strike="noStrike" kern="1200" baseline="0">
                <a:solidFill>
                  <a:schemeClr val="bg1"/>
                </a:solidFill>
                <a:latin typeface="+mn-lt"/>
                <a:ea typeface="+mn-ea"/>
                <a:cs typeface="+mn-cs"/>
              </a:defRPr>
            </a:pPr>
            <a:endParaRPr lang="en-US"/>
          </a:p>
        </c:txPr>
      </c:legendEntry>
      <c:overlay val="0"/>
      <c:spPr>
        <a:noFill/>
        <a:ln>
          <a:noFill/>
        </a:ln>
        <a:effectLst/>
      </c:spPr>
      <c:txPr>
        <a:bodyPr rot="0" spcFirstLastPara="1" vertOverflow="ellipsis" vert="horz" wrap="square" anchor="ctr" anchorCtr="1"/>
        <a:lstStyle/>
        <a:p>
          <a:pPr>
            <a:defRPr lang="zh-CN" sz="1200" b="0" i="0" u="none" strike="noStrike" kern="1200" baseline="0">
              <a:solidFill>
                <a:schemeClr val="bg1"/>
              </a:solidFill>
              <a:latin typeface="+mn-lt"/>
              <a:ea typeface="+mn-ea"/>
              <a:cs typeface="+mn-cs"/>
            </a:defRPr>
          </a:pPr>
          <a:endParaRPr lang="en-US"/>
        </a:p>
      </c:txPr>
    </c:legend>
    <c:plotVisOnly val="1"/>
    <c:dispBlanksAs val="gap"/>
    <c:showDLblsOverMax val="0"/>
    <c:extLst>
      <c:ext uri="{0b15fc19-7d7d-44ad-8c2d-2c3a37ce22c3}">
        <chartProps xmlns="https://web.wps.cn/et/2018/main" chartId="{9ebeb137-a26d-4fba-93ee-92b6dfb57df6}"/>
      </c:ext>
    </c:extLst>
  </c:chart>
  <c:spPr>
    <a:solidFill>
      <a:schemeClr val="tx1"/>
    </a:solidFill>
    <a:ln w="9525" cap="flat" cmpd="sng" algn="ctr">
      <a:solidFill>
        <a:schemeClr val="tx1">
          <a:lumMod val="15000"/>
          <a:lumOff val="85000"/>
        </a:schemeClr>
      </a:solidFill>
      <a:round/>
    </a:ln>
    <a:effectLst/>
  </c:spPr>
  <c:txPr>
    <a:bodyPr/>
    <a:lstStyle/>
    <a:p>
      <a:pPr>
        <a:defRPr lang="zh-CN" sz="1200">
          <a:solidFill>
            <a:schemeClr val="bg1"/>
          </a:solidFill>
        </a:defRPr>
      </a:pPr>
      <a:endParaRPr lang="en-US"/>
    </a:p>
  </c:txPr>
  <c:printSettings>
    <c:headerFooter/>
    <c:pageMargins b="0.75" l="0.7" r="0.7" t="0.75" header="0.3" footer="0.3"/>
    <c:pageSetup/>
  </c:printSettings>
  <c:userShapes r:id="rId3"/>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lang="zh-CN" sz="4800" b="0" i="0" u="none" strike="noStrike" kern="1200" spc="0" baseline="0">
                <a:solidFill>
                  <a:schemeClr val="bg1"/>
                </a:solidFill>
                <a:latin typeface="+mn-lt"/>
                <a:ea typeface="+mn-ea"/>
                <a:cs typeface="+mn-cs"/>
              </a:defRPr>
            </a:pPr>
            <a:r>
              <a:rPr lang="en-IN" sz="4800"/>
              <a:t>Solar Module</a:t>
            </a:r>
            <a:r>
              <a:rPr lang="en-IN" sz="4800" baseline="0"/>
              <a:t> Prices - Week </a:t>
            </a:r>
            <a:r>
              <a:rPr lang="en-US" altLang="en-IN" sz="4800" baseline="0"/>
              <a:t>37 </a:t>
            </a:r>
            <a:r>
              <a:rPr lang="en-US" altLang="zh-CN" sz="4800" baseline="0"/>
              <a:t>/</a:t>
            </a:r>
            <a:r>
              <a:rPr lang="en-IN" sz="4800" baseline="0"/>
              <a:t> 202</a:t>
            </a:r>
            <a:r>
              <a:rPr lang="en-US" altLang="en-IN" sz="4800" baseline="0"/>
              <a:t>6</a:t>
            </a:r>
          </a:p>
        </c:rich>
      </c:tx>
      <c:layout>
        <c:manualLayout>
          <c:xMode val="edge"/>
          <c:yMode val="edge"/>
          <c:x val="0.30777303428104302"/>
          <c:y val="5.40454813483119E-3"/>
        </c:manualLayout>
      </c:layout>
      <c:overlay val="0"/>
      <c:spPr>
        <a:noFill/>
        <a:ln>
          <a:noFill/>
        </a:ln>
        <a:effectLst/>
      </c:spPr>
      <c:txPr>
        <a:bodyPr rot="0" spcFirstLastPara="1" vertOverflow="ellipsis" vert="horz" wrap="square" anchor="ctr" anchorCtr="1"/>
        <a:lstStyle/>
        <a:p>
          <a:pPr>
            <a:defRPr lang="zh-CN" sz="4800" b="0" i="0" u="none" strike="noStrike" kern="1200" spc="0" baseline="0">
              <a:solidFill>
                <a:schemeClr val="bg1"/>
              </a:solidFill>
              <a:latin typeface="+mn-lt"/>
              <a:ea typeface="+mn-ea"/>
              <a:cs typeface="+mn-cs"/>
            </a:defRPr>
          </a:pPr>
          <a:endParaRPr lang="en-US" altLang="en-IN"/>
        </a:p>
      </c:txPr>
    </c:title>
    <c:autoTitleDeleted val="0"/>
    <c:plotArea>
      <c:layout>
        <c:manualLayout>
          <c:layoutTarget val="inner"/>
          <c:xMode val="edge"/>
          <c:yMode val="edge"/>
          <c:x val="5.1364415473186702E-2"/>
          <c:y val="0.128811100409884"/>
          <c:w val="0.93892377147934802"/>
          <c:h val="0.61527373237637295"/>
        </c:manualLayout>
      </c:layout>
      <c:lineChart>
        <c:grouping val="standard"/>
        <c:varyColors val="0"/>
        <c:ser>
          <c:idx val="0"/>
          <c:order val="0"/>
          <c:tx>
            <c:strRef>
              <c:f>modules!$A$4</c:f>
              <c:strCache>
                <c:ptCount val="1"/>
                <c:pt idx="0">
                  <c:v>PERC monofacial - p-type, 182 mm (540-550W)/(420-495W)</c:v>
                </c:pt>
              </c:strCache>
            </c:strRef>
          </c:tx>
          <c:spPr>
            <a:ln w="28575" cap="rnd">
              <a:solidFill>
                <a:schemeClr val="accent2"/>
              </a:solidFill>
              <a:round/>
            </a:ln>
            <a:effectLst/>
          </c:spPr>
          <c:marker>
            <c:symbol val="none"/>
          </c:marker>
          <c:cat>
            <c:multiLvlStrRef>
              <c:f>modules!$CX$2:$GF$3</c:f>
              <c:multiLvlStrCache>
                <c:ptCount val="87"/>
                <c:lvl>
                  <c:pt idx="0">
                    <c:v>1</c:v>
                  </c:pt>
                  <c:pt idx="1">
                    <c:v>2</c:v>
                  </c:pt>
                  <c:pt idx="2">
                    <c:v>3</c:v>
                  </c:pt>
                  <c:pt idx="3">
                    <c:v>4</c:v>
                  </c:pt>
                  <c:pt idx="4">
                    <c:v>6</c:v>
                  </c:pt>
                  <c:pt idx="5">
                    <c:v>7</c:v>
                  </c:pt>
                  <c:pt idx="6">
                    <c:v>8</c:v>
                  </c:pt>
                  <c:pt idx="7">
                    <c:v>9</c:v>
                  </c:pt>
                  <c:pt idx="8">
                    <c:v>10</c:v>
                  </c:pt>
                  <c:pt idx="9">
                    <c:v>11</c:v>
                  </c:pt>
                  <c:pt idx="10">
                    <c:v>12</c:v>
                  </c:pt>
                  <c:pt idx="11">
                    <c:v>13</c:v>
                  </c:pt>
                  <c:pt idx="12">
                    <c:v>14</c:v>
                  </c:pt>
                  <c:pt idx="13">
                    <c:v>15</c:v>
                  </c:pt>
                  <c:pt idx="14">
                    <c:v>16</c:v>
                  </c:pt>
                  <c:pt idx="15">
                    <c:v>17</c:v>
                  </c:pt>
                  <c:pt idx="16">
                    <c:v>18</c:v>
                  </c:pt>
                  <c:pt idx="17">
                    <c:v>19</c:v>
                  </c:pt>
                  <c:pt idx="18">
                    <c:v>20</c:v>
                  </c:pt>
                  <c:pt idx="19">
                    <c:v>21</c:v>
                  </c:pt>
                  <c:pt idx="20">
                    <c:v>22</c:v>
                  </c:pt>
                  <c:pt idx="21">
                    <c:v>23</c:v>
                  </c:pt>
                  <c:pt idx="22">
                    <c:v>24</c:v>
                  </c:pt>
                  <c:pt idx="23">
                    <c:v>25</c:v>
                  </c:pt>
                  <c:pt idx="24">
                    <c:v>26</c:v>
                  </c:pt>
                  <c:pt idx="25">
                    <c:v>27</c:v>
                  </c:pt>
                  <c:pt idx="26">
                    <c:v>28</c:v>
                  </c:pt>
                  <c:pt idx="27">
                    <c:v>29</c:v>
                  </c:pt>
                  <c:pt idx="28">
                    <c:v>30</c:v>
                  </c:pt>
                  <c:pt idx="29">
                    <c:v>31</c:v>
                  </c:pt>
                  <c:pt idx="30">
                    <c:v>32</c:v>
                  </c:pt>
                  <c:pt idx="31">
                    <c:v>33</c:v>
                  </c:pt>
                  <c:pt idx="32">
                    <c:v>34</c:v>
                  </c:pt>
                  <c:pt idx="33">
                    <c:v>35</c:v>
                  </c:pt>
                  <c:pt idx="34">
                    <c:v>36</c:v>
                  </c:pt>
                  <c:pt idx="35">
                    <c:v>37</c:v>
                  </c:pt>
                  <c:pt idx="36">
                    <c:v>38</c:v>
                  </c:pt>
                  <c:pt idx="37">
                    <c:v>39</c:v>
                  </c:pt>
                  <c:pt idx="38">
                    <c:v>41</c:v>
                  </c:pt>
                  <c:pt idx="39">
                    <c:v>42</c:v>
                  </c:pt>
                  <c:pt idx="40">
                    <c:v>43</c:v>
                  </c:pt>
                  <c:pt idx="41">
                    <c:v>44</c:v>
                  </c:pt>
                  <c:pt idx="42">
                    <c:v>45</c:v>
                  </c:pt>
                  <c:pt idx="43">
                    <c:v>46</c:v>
                  </c:pt>
                  <c:pt idx="44">
                    <c:v>47</c:v>
                  </c:pt>
                  <c:pt idx="45">
                    <c:v>48</c:v>
                  </c:pt>
                  <c:pt idx="46">
                    <c:v>49</c:v>
                  </c:pt>
                  <c:pt idx="47">
                    <c:v>50</c:v>
                  </c:pt>
                  <c:pt idx="48">
                    <c:v>51</c:v>
                  </c:pt>
                  <c:pt idx="49">
                    <c:v>52</c:v>
                  </c:pt>
                  <c:pt idx="50">
                    <c:v>EoY</c:v>
                  </c:pt>
                  <c:pt idx="51">
                    <c:v>1</c:v>
                  </c:pt>
                  <c:pt idx="52">
                    <c:v>2</c:v>
                  </c:pt>
                  <c:pt idx="53">
                    <c:v>3</c:v>
                  </c:pt>
                  <c:pt idx="54">
                    <c:v>4</c:v>
                  </c:pt>
                  <c:pt idx="55">
                    <c:v>5</c:v>
                  </c:pt>
                  <c:pt idx="56">
                    <c:v>6</c:v>
                  </c:pt>
                  <c:pt idx="57">
                    <c:v>8</c:v>
                  </c:pt>
                  <c:pt idx="58">
                    <c:v>9</c:v>
                  </c:pt>
                  <c:pt idx="59">
                    <c:v>10</c:v>
                  </c:pt>
                  <c:pt idx="60">
                    <c:v>11</c:v>
                  </c:pt>
                  <c:pt idx="61">
                    <c:v>12</c:v>
                  </c:pt>
                  <c:pt idx="62">
                    <c:v>13</c:v>
                  </c:pt>
                  <c:pt idx="63">
                    <c:v>14</c:v>
                  </c:pt>
                  <c:pt idx="64">
                    <c:v>15</c:v>
                  </c:pt>
                  <c:pt idx="65">
                    <c:v>16</c:v>
                  </c:pt>
                  <c:pt idx="66">
                    <c:v>17</c:v>
                  </c:pt>
                  <c:pt idx="67">
                    <c:v>18</c:v>
                  </c:pt>
                  <c:pt idx="68">
                    <c:v>19</c:v>
                  </c:pt>
                  <c:pt idx="69">
                    <c:v>20</c:v>
                  </c:pt>
                  <c:pt idx="70">
                    <c:v>21</c:v>
                  </c:pt>
                  <c:pt idx="71">
                    <c:v>22</c:v>
                  </c:pt>
                  <c:pt idx="72">
                    <c:v>23</c:v>
                  </c:pt>
                  <c:pt idx="73">
                    <c:v>24</c:v>
                  </c:pt>
                  <c:pt idx="74">
                    <c:v>25</c:v>
                  </c:pt>
                  <c:pt idx="75">
                    <c:v>26</c:v>
                  </c:pt>
                  <c:pt idx="76">
                    <c:v>27</c:v>
                  </c:pt>
                  <c:pt idx="77">
                    <c:v>28</c:v>
                  </c:pt>
                  <c:pt idx="78">
                    <c:v>29</c:v>
                  </c:pt>
                  <c:pt idx="79">
                    <c:v>30</c:v>
                  </c:pt>
                  <c:pt idx="80">
                    <c:v>31</c:v>
                  </c:pt>
                  <c:pt idx="81">
                    <c:v>32</c:v>
                  </c:pt>
                  <c:pt idx="82">
                    <c:v>33</c:v>
                  </c:pt>
                  <c:pt idx="83">
                    <c:v>34</c:v>
                  </c:pt>
                  <c:pt idx="84">
                    <c:v>35</c:v>
                  </c:pt>
                  <c:pt idx="85">
                    <c:v>36</c:v>
                  </c:pt>
                  <c:pt idx="86">
                    <c:v>37</c:v>
                  </c:pt>
                </c:lvl>
                <c:lvl>
                  <c:pt idx="0">
                    <c:v>2025</c:v>
                  </c:pt>
                  <c:pt idx="51">
                    <c:v>2026</c:v>
                  </c:pt>
                </c:lvl>
              </c:multiLvlStrCache>
            </c:multiLvlStrRef>
          </c:cat>
          <c:val>
            <c:numRef>
              <c:f>modules!$CX$4:$GF$4</c:f>
              <c:numCache>
                <c:formatCode>General</c:formatCode>
                <c:ptCount val="87"/>
                <c:pt idx="0">
                  <c:v>0.65</c:v>
                </c:pt>
                <c:pt idx="1">
                  <c:v>0.65</c:v>
                </c:pt>
                <c:pt idx="2">
                  <c:v>0.65</c:v>
                </c:pt>
                <c:pt idx="3">
                  <c:v>0.65</c:v>
                </c:pt>
                <c:pt idx="4">
                  <c:v>0.65</c:v>
                </c:pt>
                <c:pt idx="5">
                  <c:v>0.65</c:v>
                </c:pt>
                <c:pt idx="6">
                  <c:v>0.65</c:v>
                </c:pt>
                <c:pt idx="7">
                  <c:v>0.65</c:v>
                </c:pt>
                <c:pt idx="8">
                  <c:v>0.65</c:v>
                </c:pt>
                <c:pt idx="9">
                  <c:v>0.65</c:v>
                </c:pt>
                <c:pt idx="10">
                  <c:v>0.65</c:v>
                </c:pt>
                <c:pt idx="11">
                  <c:v>0.65</c:v>
                </c:pt>
                <c:pt idx="12">
                  <c:v>0.65</c:v>
                </c:pt>
                <c:pt idx="13">
                  <c:v>0.65</c:v>
                </c:pt>
                <c:pt idx="14">
                  <c:v>0.65</c:v>
                </c:pt>
                <c:pt idx="15">
                  <c:v>0.65</c:v>
                </c:pt>
                <c:pt idx="16">
                  <c:v>0.65</c:v>
                </c:pt>
                <c:pt idx="17">
                  <c:v>0.65</c:v>
                </c:pt>
                <c:pt idx="18">
                  <c:v>0.65</c:v>
                </c:pt>
                <c:pt idx="19">
                  <c:v>0.65</c:v>
                </c:pt>
                <c:pt idx="20">
                  <c:v>0.65</c:v>
                </c:pt>
                <c:pt idx="21">
                  <c:v>0.65</c:v>
                </c:pt>
                <c:pt idx="22">
                  <c:v>0.65</c:v>
                </c:pt>
                <c:pt idx="23">
                  <c:v>0.65</c:v>
                </c:pt>
                <c:pt idx="24">
                  <c:v>0.65</c:v>
                </c:pt>
                <c:pt idx="25">
                  <c:v>0.65</c:v>
                </c:pt>
                <c:pt idx="26">
                  <c:v>0.65</c:v>
                </c:pt>
                <c:pt idx="27">
                  <c:v>0.65</c:v>
                </c:pt>
                <c:pt idx="28">
                  <c:v>0.65</c:v>
                </c:pt>
                <c:pt idx="29">
                  <c:v>0.65</c:v>
                </c:pt>
                <c:pt idx="30">
                  <c:v>0.65</c:v>
                </c:pt>
                <c:pt idx="31">
                  <c:v>0.65</c:v>
                </c:pt>
                <c:pt idx="32">
                  <c:v>0.65</c:v>
                </c:pt>
                <c:pt idx="33">
                  <c:v>0.65</c:v>
                </c:pt>
                <c:pt idx="34">
                  <c:v>0.65</c:v>
                </c:pt>
                <c:pt idx="35">
                  <c:v>0.65</c:v>
                </c:pt>
                <c:pt idx="36">
                  <c:v>0.65</c:v>
                </c:pt>
              </c:numCache>
            </c:numRef>
          </c:val>
          <c:smooth val="0"/>
          <c:extLst>
            <c:ext xmlns:c16="http://schemas.microsoft.com/office/drawing/2014/chart" uri="{C3380CC4-5D6E-409C-BE32-E72D297353CC}">
              <c16:uniqueId val="{00000000-0846-4133-B357-E0D2533DE9AC}"/>
            </c:ext>
          </c:extLst>
        </c:ser>
        <c:ser>
          <c:idx val="1"/>
          <c:order val="1"/>
          <c:tx>
            <c:strRef>
              <c:f>modules!$A$5</c:f>
              <c:strCache>
                <c:ptCount val="1"/>
                <c:pt idx="0">
                  <c:v>PERC bifacial - p-type, 182 mm, 72 cells (540-550W)/(420-495W)</c:v>
                </c:pt>
              </c:strCache>
            </c:strRef>
          </c:tx>
          <c:spPr>
            <a:ln w="28575" cap="rnd">
              <a:solidFill>
                <a:schemeClr val="accent6"/>
              </a:solidFill>
              <a:round/>
            </a:ln>
            <a:effectLst/>
          </c:spPr>
          <c:marker>
            <c:symbol val="none"/>
          </c:marker>
          <c:cat>
            <c:multiLvlStrRef>
              <c:f>modules!$CX$2:$GF$3</c:f>
              <c:multiLvlStrCache>
                <c:ptCount val="87"/>
                <c:lvl>
                  <c:pt idx="0">
                    <c:v>1</c:v>
                  </c:pt>
                  <c:pt idx="1">
                    <c:v>2</c:v>
                  </c:pt>
                  <c:pt idx="2">
                    <c:v>3</c:v>
                  </c:pt>
                  <c:pt idx="3">
                    <c:v>4</c:v>
                  </c:pt>
                  <c:pt idx="4">
                    <c:v>6</c:v>
                  </c:pt>
                  <c:pt idx="5">
                    <c:v>7</c:v>
                  </c:pt>
                  <c:pt idx="6">
                    <c:v>8</c:v>
                  </c:pt>
                  <c:pt idx="7">
                    <c:v>9</c:v>
                  </c:pt>
                  <c:pt idx="8">
                    <c:v>10</c:v>
                  </c:pt>
                  <c:pt idx="9">
                    <c:v>11</c:v>
                  </c:pt>
                  <c:pt idx="10">
                    <c:v>12</c:v>
                  </c:pt>
                  <c:pt idx="11">
                    <c:v>13</c:v>
                  </c:pt>
                  <c:pt idx="12">
                    <c:v>14</c:v>
                  </c:pt>
                  <c:pt idx="13">
                    <c:v>15</c:v>
                  </c:pt>
                  <c:pt idx="14">
                    <c:v>16</c:v>
                  </c:pt>
                  <c:pt idx="15">
                    <c:v>17</c:v>
                  </c:pt>
                  <c:pt idx="16">
                    <c:v>18</c:v>
                  </c:pt>
                  <c:pt idx="17">
                    <c:v>19</c:v>
                  </c:pt>
                  <c:pt idx="18">
                    <c:v>20</c:v>
                  </c:pt>
                  <c:pt idx="19">
                    <c:v>21</c:v>
                  </c:pt>
                  <c:pt idx="20">
                    <c:v>22</c:v>
                  </c:pt>
                  <c:pt idx="21">
                    <c:v>23</c:v>
                  </c:pt>
                  <c:pt idx="22">
                    <c:v>24</c:v>
                  </c:pt>
                  <c:pt idx="23">
                    <c:v>25</c:v>
                  </c:pt>
                  <c:pt idx="24">
                    <c:v>26</c:v>
                  </c:pt>
                  <c:pt idx="25">
                    <c:v>27</c:v>
                  </c:pt>
                  <c:pt idx="26">
                    <c:v>28</c:v>
                  </c:pt>
                  <c:pt idx="27">
                    <c:v>29</c:v>
                  </c:pt>
                  <c:pt idx="28">
                    <c:v>30</c:v>
                  </c:pt>
                  <c:pt idx="29">
                    <c:v>31</c:v>
                  </c:pt>
                  <c:pt idx="30">
                    <c:v>32</c:v>
                  </c:pt>
                  <c:pt idx="31">
                    <c:v>33</c:v>
                  </c:pt>
                  <c:pt idx="32">
                    <c:v>34</c:v>
                  </c:pt>
                  <c:pt idx="33">
                    <c:v>35</c:v>
                  </c:pt>
                  <c:pt idx="34">
                    <c:v>36</c:v>
                  </c:pt>
                  <c:pt idx="35">
                    <c:v>37</c:v>
                  </c:pt>
                  <c:pt idx="36">
                    <c:v>38</c:v>
                  </c:pt>
                  <c:pt idx="37">
                    <c:v>39</c:v>
                  </c:pt>
                  <c:pt idx="38">
                    <c:v>41</c:v>
                  </c:pt>
                  <c:pt idx="39">
                    <c:v>42</c:v>
                  </c:pt>
                  <c:pt idx="40">
                    <c:v>43</c:v>
                  </c:pt>
                  <c:pt idx="41">
                    <c:v>44</c:v>
                  </c:pt>
                  <c:pt idx="42">
                    <c:v>45</c:v>
                  </c:pt>
                  <c:pt idx="43">
                    <c:v>46</c:v>
                  </c:pt>
                  <c:pt idx="44">
                    <c:v>47</c:v>
                  </c:pt>
                  <c:pt idx="45">
                    <c:v>48</c:v>
                  </c:pt>
                  <c:pt idx="46">
                    <c:v>49</c:v>
                  </c:pt>
                  <c:pt idx="47">
                    <c:v>50</c:v>
                  </c:pt>
                  <c:pt idx="48">
                    <c:v>51</c:v>
                  </c:pt>
                  <c:pt idx="49">
                    <c:v>52</c:v>
                  </c:pt>
                  <c:pt idx="50">
                    <c:v>EoY</c:v>
                  </c:pt>
                  <c:pt idx="51">
                    <c:v>1</c:v>
                  </c:pt>
                  <c:pt idx="52">
                    <c:v>2</c:v>
                  </c:pt>
                  <c:pt idx="53">
                    <c:v>3</c:v>
                  </c:pt>
                  <c:pt idx="54">
                    <c:v>4</c:v>
                  </c:pt>
                  <c:pt idx="55">
                    <c:v>5</c:v>
                  </c:pt>
                  <c:pt idx="56">
                    <c:v>6</c:v>
                  </c:pt>
                  <c:pt idx="57">
                    <c:v>8</c:v>
                  </c:pt>
                  <c:pt idx="58">
                    <c:v>9</c:v>
                  </c:pt>
                  <c:pt idx="59">
                    <c:v>10</c:v>
                  </c:pt>
                  <c:pt idx="60">
                    <c:v>11</c:v>
                  </c:pt>
                  <c:pt idx="61">
                    <c:v>12</c:v>
                  </c:pt>
                  <c:pt idx="62">
                    <c:v>13</c:v>
                  </c:pt>
                  <c:pt idx="63">
                    <c:v>14</c:v>
                  </c:pt>
                  <c:pt idx="64">
                    <c:v>15</c:v>
                  </c:pt>
                  <c:pt idx="65">
                    <c:v>16</c:v>
                  </c:pt>
                  <c:pt idx="66">
                    <c:v>17</c:v>
                  </c:pt>
                  <c:pt idx="67">
                    <c:v>18</c:v>
                  </c:pt>
                  <c:pt idx="68">
                    <c:v>19</c:v>
                  </c:pt>
                  <c:pt idx="69">
                    <c:v>20</c:v>
                  </c:pt>
                  <c:pt idx="70">
                    <c:v>21</c:v>
                  </c:pt>
                  <c:pt idx="71">
                    <c:v>22</c:v>
                  </c:pt>
                  <c:pt idx="72">
                    <c:v>23</c:v>
                  </c:pt>
                  <c:pt idx="73">
                    <c:v>24</c:v>
                  </c:pt>
                  <c:pt idx="74">
                    <c:v>25</c:v>
                  </c:pt>
                  <c:pt idx="75">
                    <c:v>26</c:v>
                  </c:pt>
                  <c:pt idx="76">
                    <c:v>27</c:v>
                  </c:pt>
                  <c:pt idx="77">
                    <c:v>28</c:v>
                  </c:pt>
                  <c:pt idx="78">
                    <c:v>29</c:v>
                  </c:pt>
                  <c:pt idx="79">
                    <c:v>30</c:v>
                  </c:pt>
                  <c:pt idx="80">
                    <c:v>31</c:v>
                  </c:pt>
                  <c:pt idx="81">
                    <c:v>32</c:v>
                  </c:pt>
                  <c:pt idx="82">
                    <c:v>33</c:v>
                  </c:pt>
                  <c:pt idx="83">
                    <c:v>34</c:v>
                  </c:pt>
                  <c:pt idx="84">
                    <c:v>35</c:v>
                  </c:pt>
                  <c:pt idx="85">
                    <c:v>36</c:v>
                  </c:pt>
                  <c:pt idx="86">
                    <c:v>37</c:v>
                  </c:pt>
                </c:lvl>
                <c:lvl>
                  <c:pt idx="0">
                    <c:v>2025</c:v>
                  </c:pt>
                  <c:pt idx="51">
                    <c:v>2026</c:v>
                  </c:pt>
                </c:lvl>
              </c:multiLvlStrCache>
            </c:multiLvlStrRef>
          </c:cat>
          <c:val>
            <c:numRef>
              <c:f>modules!$CX$5:$GF$5</c:f>
              <c:numCache>
                <c:formatCode>General</c:formatCode>
                <c:ptCount val="87"/>
                <c:pt idx="0">
                  <c:v>0.66500000000000004</c:v>
                </c:pt>
                <c:pt idx="1">
                  <c:v>0.66500000000000004</c:v>
                </c:pt>
                <c:pt idx="2">
                  <c:v>0.66500000000000004</c:v>
                </c:pt>
                <c:pt idx="3">
                  <c:v>0.66500000000000004</c:v>
                </c:pt>
                <c:pt idx="4">
                  <c:v>0.66500000000000004</c:v>
                </c:pt>
                <c:pt idx="5">
                  <c:v>0.66500000000000004</c:v>
                </c:pt>
                <c:pt idx="6">
                  <c:v>0.66500000000000004</c:v>
                </c:pt>
                <c:pt idx="7">
                  <c:v>0.66500000000000004</c:v>
                </c:pt>
                <c:pt idx="8">
                  <c:v>0.66500000000000004</c:v>
                </c:pt>
                <c:pt idx="9">
                  <c:v>0.66500000000000004</c:v>
                </c:pt>
                <c:pt idx="10">
                  <c:v>0.66500000000000004</c:v>
                </c:pt>
                <c:pt idx="11">
                  <c:v>0.66500000000000004</c:v>
                </c:pt>
                <c:pt idx="12">
                  <c:v>0.66500000000000004</c:v>
                </c:pt>
                <c:pt idx="13">
                  <c:v>0.66500000000000004</c:v>
                </c:pt>
                <c:pt idx="14">
                  <c:v>0.66500000000000004</c:v>
                </c:pt>
                <c:pt idx="15">
                  <c:v>0.66500000000000004</c:v>
                </c:pt>
                <c:pt idx="16">
                  <c:v>0.66500000000000004</c:v>
                </c:pt>
                <c:pt idx="17">
                  <c:v>0.66500000000000004</c:v>
                </c:pt>
                <c:pt idx="18">
                  <c:v>0.66500000000000004</c:v>
                </c:pt>
                <c:pt idx="19">
                  <c:v>0.66500000000000004</c:v>
                </c:pt>
                <c:pt idx="20">
                  <c:v>0.66500000000000004</c:v>
                </c:pt>
                <c:pt idx="21">
                  <c:v>0.66500000000000004</c:v>
                </c:pt>
                <c:pt idx="22">
                  <c:v>0.66500000000000004</c:v>
                </c:pt>
                <c:pt idx="23">
                  <c:v>0.66500000000000004</c:v>
                </c:pt>
                <c:pt idx="24">
                  <c:v>0.66500000000000004</c:v>
                </c:pt>
                <c:pt idx="25">
                  <c:v>0.66500000000000004</c:v>
                </c:pt>
                <c:pt idx="26">
                  <c:v>0.66500000000000004</c:v>
                </c:pt>
                <c:pt idx="27">
                  <c:v>0.66500000000000004</c:v>
                </c:pt>
                <c:pt idx="28">
                  <c:v>0.66500000000000004</c:v>
                </c:pt>
                <c:pt idx="29">
                  <c:v>0.66500000000000004</c:v>
                </c:pt>
                <c:pt idx="30">
                  <c:v>0.66500000000000004</c:v>
                </c:pt>
                <c:pt idx="31">
                  <c:v>0.66500000000000004</c:v>
                </c:pt>
                <c:pt idx="32">
                  <c:v>0.66500000000000004</c:v>
                </c:pt>
                <c:pt idx="33">
                  <c:v>0.66500000000000004</c:v>
                </c:pt>
                <c:pt idx="34">
                  <c:v>0.66500000000000004</c:v>
                </c:pt>
                <c:pt idx="35">
                  <c:v>0.66500000000000004</c:v>
                </c:pt>
                <c:pt idx="36">
                  <c:v>0.66500000000000004</c:v>
                </c:pt>
              </c:numCache>
            </c:numRef>
          </c:val>
          <c:smooth val="0"/>
          <c:extLst>
            <c:ext xmlns:c16="http://schemas.microsoft.com/office/drawing/2014/chart" uri="{C3380CC4-5D6E-409C-BE32-E72D297353CC}">
              <c16:uniqueId val="{00000001-0846-4133-B357-E0D2533DE9AC}"/>
            </c:ext>
          </c:extLst>
        </c:ser>
        <c:ser>
          <c:idx val="3"/>
          <c:order val="2"/>
          <c:tx>
            <c:strRef>
              <c:f>modules!$A$6</c:f>
              <c:strCache>
                <c:ptCount val="1"/>
                <c:pt idx="0">
                  <c:v>PERC bifacial - p-type, 210 mm, 55 cells (540-550W)</c:v>
                </c:pt>
              </c:strCache>
            </c:strRef>
          </c:tx>
          <c:spPr>
            <a:ln w="28575" cap="rnd">
              <a:solidFill>
                <a:srgbClr val="9E480E"/>
              </a:solidFill>
              <a:round/>
            </a:ln>
            <a:effectLst/>
          </c:spPr>
          <c:marker>
            <c:symbol val="none"/>
          </c:marker>
          <c:cat>
            <c:multiLvlStrRef>
              <c:f>modules!$CX$2:$GF$3</c:f>
              <c:multiLvlStrCache>
                <c:ptCount val="87"/>
                <c:lvl>
                  <c:pt idx="0">
                    <c:v>1</c:v>
                  </c:pt>
                  <c:pt idx="1">
                    <c:v>2</c:v>
                  </c:pt>
                  <c:pt idx="2">
                    <c:v>3</c:v>
                  </c:pt>
                  <c:pt idx="3">
                    <c:v>4</c:v>
                  </c:pt>
                  <c:pt idx="4">
                    <c:v>6</c:v>
                  </c:pt>
                  <c:pt idx="5">
                    <c:v>7</c:v>
                  </c:pt>
                  <c:pt idx="6">
                    <c:v>8</c:v>
                  </c:pt>
                  <c:pt idx="7">
                    <c:v>9</c:v>
                  </c:pt>
                  <c:pt idx="8">
                    <c:v>10</c:v>
                  </c:pt>
                  <c:pt idx="9">
                    <c:v>11</c:v>
                  </c:pt>
                  <c:pt idx="10">
                    <c:v>12</c:v>
                  </c:pt>
                  <c:pt idx="11">
                    <c:v>13</c:v>
                  </c:pt>
                  <c:pt idx="12">
                    <c:v>14</c:v>
                  </c:pt>
                  <c:pt idx="13">
                    <c:v>15</c:v>
                  </c:pt>
                  <c:pt idx="14">
                    <c:v>16</c:v>
                  </c:pt>
                  <c:pt idx="15">
                    <c:v>17</c:v>
                  </c:pt>
                  <c:pt idx="16">
                    <c:v>18</c:v>
                  </c:pt>
                  <c:pt idx="17">
                    <c:v>19</c:v>
                  </c:pt>
                  <c:pt idx="18">
                    <c:v>20</c:v>
                  </c:pt>
                  <c:pt idx="19">
                    <c:v>21</c:v>
                  </c:pt>
                  <c:pt idx="20">
                    <c:v>22</c:v>
                  </c:pt>
                  <c:pt idx="21">
                    <c:v>23</c:v>
                  </c:pt>
                  <c:pt idx="22">
                    <c:v>24</c:v>
                  </c:pt>
                  <c:pt idx="23">
                    <c:v>25</c:v>
                  </c:pt>
                  <c:pt idx="24">
                    <c:v>26</c:v>
                  </c:pt>
                  <c:pt idx="25">
                    <c:v>27</c:v>
                  </c:pt>
                  <c:pt idx="26">
                    <c:v>28</c:v>
                  </c:pt>
                  <c:pt idx="27">
                    <c:v>29</c:v>
                  </c:pt>
                  <c:pt idx="28">
                    <c:v>30</c:v>
                  </c:pt>
                  <c:pt idx="29">
                    <c:v>31</c:v>
                  </c:pt>
                  <c:pt idx="30">
                    <c:v>32</c:v>
                  </c:pt>
                  <c:pt idx="31">
                    <c:v>33</c:v>
                  </c:pt>
                  <c:pt idx="32">
                    <c:v>34</c:v>
                  </c:pt>
                  <c:pt idx="33">
                    <c:v>35</c:v>
                  </c:pt>
                  <c:pt idx="34">
                    <c:v>36</c:v>
                  </c:pt>
                  <c:pt idx="35">
                    <c:v>37</c:v>
                  </c:pt>
                  <c:pt idx="36">
                    <c:v>38</c:v>
                  </c:pt>
                  <c:pt idx="37">
                    <c:v>39</c:v>
                  </c:pt>
                  <c:pt idx="38">
                    <c:v>41</c:v>
                  </c:pt>
                  <c:pt idx="39">
                    <c:v>42</c:v>
                  </c:pt>
                  <c:pt idx="40">
                    <c:v>43</c:v>
                  </c:pt>
                  <c:pt idx="41">
                    <c:v>44</c:v>
                  </c:pt>
                  <c:pt idx="42">
                    <c:v>45</c:v>
                  </c:pt>
                  <c:pt idx="43">
                    <c:v>46</c:v>
                  </c:pt>
                  <c:pt idx="44">
                    <c:v>47</c:v>
                  </c:pt>
                  <c:pt idx="45">
                    <c:v>48</c:v>
                  </c:pt>
                  <c:pt idx="46">
                    <c:v>49</c:v>
                  </c:pt>
                  <c:pt idx="47">
                    <c:v>50</c:v>
                  </c:pt>
                  <c:pt idx="48">
                    <c:v>51</c:v>
                  </c:pt>
                  <c:pt idx="49">
                    <c:v>52</c:v>
                  </c:pt>
                  <c:pt idx="50">
                    <c:v>EoY</c:v>
                  </c:pt>
                  <c:pt idx="51">
                    <c:v>1</c:v>
                  </c:pt>
                  <c:pt idx="52">
                    <c:v>2</c:v>
                  </c:pt>
                  <c:pt idx="53">
                    <c:v>3</c:v>
                  </c:pt>
                  <c:pt idx="54">
                    <c:v>4</c:v>
                  </c:pt>
                  <c:pt idx="55">
                    <c:v>5</c:v>
                  </c:pt>
                  <c:pt idx="56">
                    <c:v>6</c:v>
                  </c:pt>
                  <c:pt idx="57">
                    <c:v>8</c:v>
                  </c:pt>
                  <c:pt idx="58">
                    <c:v>9</c:v>
                  </c:pt>
                  <c:pt idx="59">
                    <c:v>10</c:v>
                  </c:pt>
                  <c:pt idx="60">
                    <c:v>11</c:v>
                  </c:pt>
                  <c:pt idx="61">
                    <c:v>12</c:v>
                  </c:pt>
                  <c:pt idx="62">
                    <c:v>13</c:v>
                  </c:pt>
                  <c:pt idx="63">
                    <c:v>14</c:v>
                  </c:pt>
                  <c:pt idx="64">
                    <c:v>15</c:v>
                  </c:pt>
                  <c:pt idx="65">
                    <c:v>16</c:v>
                  </c:pt>
                  <c:pt idx="66">
                    <c:v>17</c:v>
                  </c:pt>
                  <c:pt idx="67">
                    <c:v>18</c:v>
                  </c:pt>
                  <c:pt idx="68">
                    <c:v>19</c:v>
                  </c:pt>
                  <c:pt idx="69">
                    <c:v>20</c:v>
                  </c:pt>
                  <c:pt idx="70">
                    <c:v>21</c:v>
                  </c:pt>
                  <c:pt idx="71">
                    <c:v>22</c:v>
                  </c:pt>
                  <c:pt idx="72">
                    <c:v>23</c:v>
                  </c:pt>
                  <c:pt idx="73">
                    <c:v>24</c:v>
                  </c:pt>
                  <c:pt idx="74">
                    <c:v>25</c:v>
                  </c:pt>
                  <c:pt idx="75">
                    <c:v>26</c:v>
                  </c:pt>
                  <c:pt idx="76">
                    <c:v>27</c:v>
                  </c:pt>
                  <c:pt idx="77">
                    <c:v>28</c:v>
                  </c:pt>
                  <c:pt idx="78">
                    <c:v>29</c:v>
                  </c:pt>
                  <c:pt idx="79">
                    <c:v>30</c:v>
                  </c:pt>
                  <c:pt idx="80">
                    <c:v>31</c:v>
                  </c:pt>
                  <c:pt idx="81">
                    <c:v>32</c:v>
                  </c:pt>
                  <c:pt idx="82">
                    <c:v>33</c:v>
                  </c:pt>
                  <c:pt idx="83">
                    <c:v>34</c:v>
                  </c:pt>
                  <c:pt idx="84">
                    <c:v>35</c:v>
                  </c:pt>
                  <c:pt idx="85">
                    <c:v>36</c:v>
                  </c:pt>
                  <c:pt idx="86">
                    <c:v>37</c:v>
                  </c:pt>
                </c:lvl>
                <c:lvl>
                  <c:pt idx="0">
                    <c:v>2025</c:v>
                  </c:pt>
                  <c:pt idx="51">
                    <c:v>2026</c:v>
                  </c:pt>
                </c:lvl>
              </c:multiLvlStrCache>
            </c:multiLvlStrRef>
          </c:cat>
          <c:val>
            <c:numRef>
              <c:f>modules!$CX$6:$GF$6</c:f>
              <c:numCache>
                <c:formatCode>General</c:formatCode>
                <c:ptCount val="87"/>
                <c:pt idx="0">
                  <c:v>0.67</c:v>
                </c:pt>
                <c:pt idx="1">
                  <c:v>0.67</c:v>
                </c:pt>
                <c:pt idx="2">
                  <c:v>0.67</c:v>
                </c:pt>
                <c:pt idx="3">
                  <c:v>0.67</c:v>
                </c:pt>
                <c:pt idx="4">
                  <c:v>0.67</c:v>
                </c:pt>
                <c:pt idx="5">
                  <c:v>0.67</c:v>
                </c:pt>
                <c:pt idx="6">
                  <c:v>0.67</c:v>
                </c:pt>
                <c:pt idx="7">
                  <c:v>0.67</c:v>
                </c:pt>
                <c:pt idx="8">
                  <c:v>0.67</c:v>
                </c:pt>
                <c:pt idx="9">
                  <c:v>0.67</c:v>
                </c:pt>
                <c:pt idx="10">
                  <c:v>0.67</c:v>
                </c:pt>
                <c:pt idx="11">
                  <c:v>0.67</c:v>
                </c:pt>
                <c:pt idx="12">
                  <c:v>0.67</c:v>
                </c:pt>
                <c:pt idx="13">
                  <c:v>0.67</c:v>
                </c:pt>
                <c:pt idx="14">
                  <c:v>0.67</c:v>
                </c:pt>
                <c:pt idx="15">
                  <c:v>0.67</c:v>
                </c:pt>
                <c:pt idx="16">
                  <c:v>0.67</c:v>
                </c:pt>
                <c:pt idx="17">
                  <c:v>0.67</c:v>
                </c:pt>
                <c:pt idx="18">
                  <c:v>0.67</c:v>
                </c:pt>
                <c:pt idx="19">
                  <c:v>0.67</c:v>
                </c:pt>
                <c:pt idx="20">
                  <c:v>0.67</c:v>
                </c:pt>
                <c:pt idx="21">
                  <c:v>0.67</c:v>
                </c:pt>
                <c:pt idx="22">
                  <c:v>0.67</c:v>
                </c:pt>
                <c:pt idx="23">
                  <c:v>0.67</c:v>
                </c:pt>
                <c:pt idx="24">
                  <c:v>0.67</c:v>
                </c:pt>
                <c:pt idx="25">
                  <c:v>0.67</c:v>
                </c:pt>
                <c:pt idx="26">
                  <c:v>0.67</c:v>
                </c:pt>
                <c:pt idx="27">
                  <c:v>0.67</c:v>
                </c:pt>
                <c:pt idx="28">
                  <c:v>0.67</c:v>
                </c:pt>
                <c:pt idx="29">
                  <c:v>0.67</c:v>
                </c:pt>
                <c:pt idx="30">
                  <c:v>0.67</c:v>
                </c:pt>
                <c:pt idx="31">
                  <c:v>0.67</c:v>
                </c:pt>
                <c:pt idx="32">
                  <c:v>0.67</c:v>
                </c:pt>
                <c:pt idx="33">
                  <c:v>0.67</c:v>
                </c:pt>
                <c:pt idx="34">
                  <c:v>0.67</c:v>
                </c:pt>
                <c:pt idx="35">
                  <c:v>0.67</c:v>
                </c:pt>
                <c:pt idx="36">
                  <c:v>0.67</c:v>
                </c:pt>
              </c:numCache>
            </c:numRef>
          </c:val>
          <c:smooth val="0"/>
          <c:extLst>
            <c:ext xmlns:c16="http://schemas.microsoft.com/office/drawing/2014/chart" uri="{C3380CC4-5D6E-409C-BE32-E72D297353CC}">
              <c16:uniqueId val="{00000002-0846-4133-B357-E0D2533DE9AC}"/>
            </c:ext>
          </c:extLst>
        </c:ser>
        <c:dLbls>
          <c:showLegendKey val="0"/>
          <c:showVal val="0"/>
          <c:showCatName val="0"/>
          <c:showSerName val="0"/>
          <c:showPercent val="0"/>
          <c:showBubbleSize val="0"/>
        </c:dLbls>
        <c:marker val="1"/>
        <c:smooth val="0"/>
        <c:axId val="1846869999"/>
        <c:axId val="1847551151"/>
      </c:lineChart>
      <c:lineChart>
        <c:grouping val="standard"/>
        <c:varyColors val="0"/>
        <c:ser>
          <c:idx val="2"/>
          <c:order val="3"/>
          <c:tx>
            <c:strRef>
              <c:f>modules!$A$7</c:f>
              <c:strCache>
                <c:ptCount val="1"/>
                <c:pt idx="0">
                  <c:v>TOPCon bifacial - n-type, 182 mm, 72 cells (580-590W)</c:v>
                </c:pt>
              </c:strCache>
            </c:strRef>
          </c:tx>
          <c:spPr>
            <a:ln w="28575" cap="rnd">
              <a:solidFill>
                <a:srgbClr val="C00000"/>
              </a:solidFill>
              <a:round/>
            </a:ln>
            <a:effectLst/>
          </c:spPr>
          <c:marker>
            <c:symbol val="none"/>
          </c:marker>
          <c:cat>
            <c:multiLvlStrRef>
              <c:f>modules!$CX$2:$GF$3</c:f>
              <c:multiLvlStrCache>
                <c:ptCount val="87"/>
                <c:lvl>
                  <c:pt idx="0">
                    <c:v>1</c:v>
                  </c:pt>
                  <c:pt idx="1">
                    <c:v>2</c:v>
                  </c:pt>
                  <c:pt idx="2">
                    <c:v>3</c:v>
                  </c:pt>
                  <c:pt idx="3">
                    <c:v>4</c:v>
                  </c:pt>
                  <c:pt idx="4">
                    <c:v>6</c:v>
                  </c:pt>
                  <c:pt idx="5">
                    <c:v>7</c:v>
                  </c:pt>
                  <c:pt idx="6">
                    <c:v>8</c:v>
                  </c:pt>
                  <c:pt idx="7">
                    <c:v>9</c:v>
                  </c:pt>
                  <c:pt idx="8">
                    <c:v>10</c:v>
                  </c:pt>
                  <c:pt idx="9">
                    <c:v>11</c:v>
                  </c:pt>
                  <c:pt idx="10">
                    <c:v>12</c:v>
                  </c:pt>
                  <c:pt idx="11">
                    <c:v>13</c:v>
                  </c:pt>
                  <c:pt idx="12">
                    <c:v>14</c:v>
                  </c:pt>
                  <c:pt idx="13">
                    <c:v>15</c:v>
                  </c:pt>
                  <c:pt idx="14">
                    <c:v>16</c:v>
                  </c:pt>
                  <c:pt idx="15">
                    <c:v>17</c:v>
                  </c:pt>
                  <c:pt idx="16">
                    <c:v>18</c:v>
                  </c:pt>
                  <c:pt idx="17">
                    <c:v>19</c:v>
                  </c:pt>
                  <c:pt idx="18">
                    <c:v>20</c:v>
                  </c:pt>
                  <c:pt idx="19">
                    <c:v>21</c:v>
                  </c:pt>
                  <c:pt idx="20">
                    <c:v>22</c:v>
                  </c:pt>
                  <c:pt idx="21">
                    <c:v>23</c:v>
                  </c:pt>
                  <c:pt idx="22">
                    <c:v>24</c:v>
                  </c:pt>
                  <c:pt idx="23">
                    <c:v>25</c:v>
                  </c:pt>
                  <c:pt idx="24">
                    <c:v>26</c:v>
                  </c:pt>
                  <c:pt idx="25">
                    <c:v>27</c:v>
                  </c:pt>
                  <c:pt idx="26">
                    <c:v>28</c:v>
                  </c:pt>
                  <c:pt idx="27">
                    <c:v>29</c:v>
                  </c:pt>
                  <c:pt idx="28">
                    <c:v>30</c:v>
                  </c:pt>
                  <c:pt idx="29">
                    <c:v>31</c:v>
                  </c:pt>
                  <c:pt idx="30">
                    <c:v>32</c:v>
                  </c:pt>
                  <c:pt idx="31">
                    <c:v>33</c:v>
                  </c:pt>
                  <c:pt idx="32">
                    <c:v>34</c:v>
                  </c:pt>
                  <c:pt idx="33">
                    <c:v>35</c:v>
                  </c:pt>
                  <c:pt idx="34">
                    <c:v>36</c:v>
                  </c:pt>
                  <c:pt idx="35">
                    <c:v>37</c:v>
                  </c:pt>
                  <c:pt idx="36">
                    <c:v>38</c:v>
                  </c:pt>
                  <c:pt idx="37">
                    <c:v>39</c:v>
                  </c:pt>
                  <c:pt idx="38">
                    <c:v>41</c:v>
                  </c:pt>
                  <c:pt idx="39">
                    <c:v>42</c:v>
                  </c:pt>
                  <c:pt idx="40">
                    <c:v>43</c:v>
                  </c:pt>
                  <c:pt idx="41">
                    <c:v>44</c:v>
                  </c:pt>
                  <c:pt idx="42">
                    <c:v>45</c:v>
                  </c:pt>
                  <c:pt idx="43">
                    <c:v>46</c:v>
                  </c:pt>
                  <c:pt idx="44">
                    <c:v>47</c:v>
                  </c:pt>
                  <c:pt idx="45">
                    <c:v>48</c:v>
                  </c:pt>
                  <c:pt idx="46">
                    <c:v>49</c:v>
                  </c:pt>
                  <c:pt idx="47">
                    <c:v>50</c:v>
                  </c:pt>
                  <c:pt idx="48">
                    <c:v>51</c:v>
                  </c:pt>
                  <c:pt idx="49">
                    <c:v>52</c:v>
                  </c:pt>
                  <c:pt idx="50">
                    <c:v>EoY</c:v>
                  </c:pt>
                  <c:pt idx="51">
                    <c:v>1</c:v>
                  </c:pt>
                  <c:pt idx="52">
                    <c:v>2</c:v>
                  </c:pt>
                  <c:pt idx="53">
                    <c:v>3</c:v>
                  </c:pt>
                  <c:pt idx="54">
                    <c:v>4</c:v>
                  </c:pt>
                  <c:pt idx="55">
                    <c:v>5</c:v>
                  </c:pt>
                  <c:pt idx="56">
                    <c:v>6</c:v>
                  </c:pt>
                  <c:pt idx="57">
                    <c:v>8</c:v>
                  </c:pt>
                  <c:pt idx="58">
                    <c:v>9</c:v>
                  </c:pt>
                  <c:pt idx="59">
                    <c:v>10</c:v>
                  </c:pt>
                  <c:pt idx="60">
                    <c:v>11</c:v>
                  </c:pt>
                  <c:pt idx="61">
                    <c:v>12</c:v>
                  </c:pt>
                  <c:pt idx="62">
                    <c:v>13</c:v>
                  </c:pt>
                  <c:pt idx="63">
                    <c:v>14</c:v>
                  </c:pt>
                  <c:pt idx="64">
                    <c:v>15</c:v>
                  </c:pt>
                  <c:pt idx="65">
                    <c:v>16</c:v>
                  </c:pt>
                  <c:pt idx="66">
                    <c:v>17</c:v>
                  </c:pt>
                  <c:pt idx="67">
                    <c:v>18</c:v>
                  </c:pt>
                  <c:pt idx="68">
                    <c:v>19</c:v>
                  </c:pt>
                  <c:pt idx="69">
                    <c:v>20</c:v>
                  </c:pt>
                  <c:pt idx="70">
                    <c:v>21</c:v>
                  </c:pt>
                  <c:pt idx="71">
                    <c:v>22</c:v>
                  </c:pt>
                  <c:pt idx="72">
                    <c:v>23</c:v>
                  </c:pt>
                  <c:pt idx="73">
                    <c:v>24</c:v>
                  </c:pt>
                  <c:pt idx="74">
                    <c:v>25</c:v>
                  </c:pt>
                  <c:pt idx="75">
                    <c:v>26</c:v>
                  </c:pt>
                  <c:pt idx="76">
                    <c:v>27</c:v>
                  </c:pt>
                  <c:pt idx="77">
                    <c:v>28</c:v>
                  </c:pt>
                  <c:pt idx="78">
                    <c:v>29</c:v>
                  </c:pt>
                  <c:pt idx="79">
                    <c:v>30</c:v>
                  </c:pt>
                  <c:pt idx="80">
                    <c:v>31</c:v>
                  </c:pt>
                  <c:pt idx="81">
                    <c:v>32</c:v>
                  </c:pt>
                  <c:pt idx="82">
                    <c:v>33</c:v>
                  </c:pt>
                  <c:pt idx="83">
                    <c:v>34</c:v>
                  </c:pt>
                  <c:pt idx="84">
                    <c:v>35</c:v>
                  </c:pt>
                  <c:pt idx="85">
                    <c:v>36</c:v>
                  </c:pt>
                  <c:pt idx="86">
                    <c:v>37</c:v>
                  </c:pt>
                </c:lvl>
                <c:lvl>
                  <c:pt idx="0">
                    <c:v>2025</c:v>
                  </c:pt>
                  <c:pt idx="51">
                    <c:v>2026</c:v>
                  </c:pt>
                </c:lvl>
              </c:multiLvlStrCache>
            </c:multiLvlStrRef>
          </c:cat>
          <c:val>
            <c:numRef>
              <c:f>modules!$CX$7:$GF$7</c:f>
              <c:numCache>
                <c:formatCode>General</c:formatCode>
                <c:ptCount val="87"/>
                <c:pt idx="0">
                  <c:v>0.7</c:v>
                </c:pt>
                <c:pt idx="1">
                  <c:v>0.7</c:v>
                </c:pt>
                <c:pt idx="2">
                  <c:v>0.7</c:v>
                </c:pt>
                <c:pt idx="3">
                  <c:v>0.69</c:v>
                </c:pt>
                <c:pt idx="4">
                  <c:v>0.69</c:v>
                </c:pt>
                <c:pt idx="5">
                  <c:v>0.69</c:v>
                </c:pt>
                <c:pt idx="6">
                  <c:v>0.69</c:v>
                </c:pt>
                <c:pt idx="7">
                  <c:v>0.69</c:v>
                </c:pt>
                <c:pt idx="8">
                  <c:v>0.69</c:v>
                </c:pt>
                <c:pt idx="9">
                  <c:v>0.71</c:v>
                </c:pt>
                <c:pt idx="10">
                  <c:v>0.72</c:v>
                </c:pt>
                <c:pt idx="11">
                  <c:v>0.75</c:v>
                </c:pt>
                <c:pt idx="12">
                  <c:v>0.75</c:v>
                </c:pt>
                <c:pt idx="13">
                  <c:v>0.75</c:v>
                </c:pt>
                <c:pt idx="14">
                  <c:v>0.73</c:v>
                </c:pt>
                <c:pt idx="15">
                  <c:v>0.73</c:v>
                </c:pt>
                <c:pt idx="16">
                  <c:v>0.71499999999999997</c:v>
                </c:pt>
                <c:pt idx="17">
                  <c:v>0.70499999999999996</c:v>
                </c:pt>
                <c:pt idx="18">
                  <c:v>0.68500000000000005</c:v>
                </c:pt>
                <c:pt idx="19">
                  <c:v>0.68500000000000005</c:v>
                </c:pt>
                <c:pt idx="20">
                  <c:v>0.68</c:v>
                </c:pt>
                <c:pt idx="21">
                  <c:v>0.68</c:v>
                </c:pt>
                <c:pt idx="22">
                  <c:v>0.68</c:v>
                </c:pt>
                <c:pt idx="23">
                  <c:v>0.68</c:v>
                </c:pt>
                <c:pt idx="24">
                  <c:v>0.67</c:v>
                </c:pt>
                <c:pt idx="25">
                  <c:v>0.67</c:v>
                </c:pt>
                <c:pt idx="26">
                  <c:v>0.67</c:v>
                </c:pt>
                <c:pt idx="27">
                  <c:v>0.67500000000000004</c:v>
                </c:pt>
                <c:pt idx="28">
                  <c:v>0.7</c:v>
                </c:pt>
                <c:pt idx="29">
                  <c:v>0.7</c:v>
                </c:pt>
                <c:pt idx="30">
                  <c:v>0.7</c:v>
                </c:pt>
                <c:pt idx="31">
                  <c:v>0.7</c:v>
                </c:pt>
                <c:pt idx="32">
                  <c:v>0.7</c:v>
                </c:pt>
                <c:pt idx="33">
                  <c:v>0.7</c:v>
                </c:pt>
                <c:pt idx="34">
                  <c:v>0.7</c:v>
                </c:pt>
                <c:pt idx="35">
                  <c:v>0.7</c:v>
                </c:pt>
                <c:pt idx="36">
                  <c:v>0.7</c:v>
                </c:pt>
                <c:pt idx="37">
                  <c:v>0.69</c:v>
                </c:pt>
                <c:pt idx="38">
                  <c:v>0.69</c:v>
                </c:pt>
                <c:pt idx="39">
                  <c:v>0.69</c:v>
                </c:pt>
                <c:pt idx="40">
                  <c:v>0.69</c:v>
                </c:pt>
                <c:pt idx="41">
                  <c:v>0.69</c:v>
                </c:pt>
                <c:pt idx="42">
                  <c:v>0.69</c:v>
                </c:pt>
                <c:pt idx="43">
                  <c:v>0.69</c:v>
                </c:pt>
                <c:pt idx="44">
                  <c:v>0.69</c:v>
                </c:pt>
                <c:pt idx="45">
                  <c:v>0.69</c:v>
                </c:pt>
                <c:pt idx="46">
                  <c:v>0.68</c:v>
                </c:pt>
                <c:pt idx="47">
                  <c:v>0.68</c:v>
                </c:pt>
                <c:pt idx="48">
                  <c:v>0.68</c:v>
                </c:pt>
                <c:pt idx="49">
                  <c:v>0.68</c:v>
                </c:pt>
                <c:pt idx="50">
                  <c:v>0.68</c:v>
                </c:pt>
                <c:pt idx="51">
                  <c:v>0.68500000000000005</c:v>
                </c:pt>
                <c:pt idx="52">
                  <c:v>0.70799999999999996</c:v>
                </c:pt>
                <c:pt idx="53">
                  <c:v>0.74</c:v>
                </c:pt>
                <c:pt idx="54">
                  <c:v>0.8</c:v>
                </c:pt>
                <c:pt idx="55">
                  <c:v>0.8</c:v>
                </c:pt>
                <c:pt idx="56">
                  <c:v>0.8</c:v>
                </c:pt>
                <c:pt idx="57">
                  <c:v>0.83</c:v>
                </c:pt>
                <c:pt idx="58">
                  <c:v>0.83</c:v>
                </c:pt>
                <c:pt idx="59">
                  <c:v>0.82</c:v>
                </c:pt>
                <c:pt idx="60">
                  <c:v>0.81</c:v>
                </c:pt>
                <c:pt idx="61">
                  <c:v>0.81</c:v>
                </c:pt>
                <c:pt idx="62">
                  <c:v>0.78</c:v>
                </c:pt>
                <c:pt idx="63">
                  <c:v>0.76</c:v>
                </c:pt>
                <c:pt idx="64">
                  <c:v>0.76</c:v>
                </c:pt>
                <c:pt idx="65">
                  <c:v>0.75800000000000001</c:v>
                </c:pt>
                <c:pt idx="66">
                  <c:v>0.75800000000000001</c:v>
                </c:pt>
                <c:pt idx="67">
                  <c:v>0.75800000000000001</c:v>
                </c:pt>
                <c:pt idx="68">
                  <c:v>0.75800000000000001</c:v>
                </c:pt>
                <c:pt idx="69">
                  <c:v>0.75</c:v>
                </c:pt>
                <c:pt idx="70">
                  <c:v>0.75</c:v>
                </c:pt>
                <c:pt idx="71">
                  <c:v>0.75</c:v>
                </c:pt>
                <c:pt idx="72">
                  <c:v>0.74</c:v>
                </c:pt>
                <c:pt idx="73">
                  <c:v>0.74</c:v>
                </c:pt>
                <c:pt idx="74">
                  <c:v>0.72</c:v>
                </c:pt>
                <c:pt idx="75">
                  <c:v>0.71</c:v>
                </c:pt>
                <c:pt idx="76">
                  <c:v>0.7</c:v>
                </c:pt>
                <c:pt idx="77">
                  <c:v>0.68</c:v>
                </c:pt>
                <c:pt idx="78">
                  <c:v>0.66</c:v>
                </c:pt>
                <c:pt idx="79">
                  <c:v>0.65500000000000003</c:v>
                </c:pt>
                <c:pt idx="80">
                  <c:v>0.64500000000000002</c:v>
                </c:pt>
                <c:pt idx="81">
                  <c:v>0.64500000000000002</c:v>
                </c:pt>
                <c:pt idx="82">
                  <c:v>0.65</c:v>
                </c:pt>
                <c:pt idx="83">
                  <c:v>0.66</c:v>
                </c:pt>
              </c:numCache>
            </c:numRef>
          </c:val>
          <c:smooth val="0"/>
          <c:extLst>
            <c:ext xmlns:c16="http://schemas.microsoft.com/office/drawing/2014/chart" uri="{C3380CC4-5D6E-409C-BE32-E72D297353CC}">
              <c16:uniqueId val="{00000003-0846-4133-B357-E0D2533DE9AC}"/>
            </c:ext>
          </c:extLst>
        </c:ser>
        <c:ser>
          <c:idx val="4"/>
          <c:order val="4"/>
          <c:tx>
            <c:strRef>
              <c:f>modules!$A$8</c:f>
              <c:strCache>
                <c:ptCount val="1"/>
                <c:pt idx="0">
                  <c:v>TOPCon bifacial - n-type, 210 mm, 60 cells (620-630W)</c:v>
                </c:pt>
              </c:strCache>
            </c:strRef>
          </c:tx>
          <c:spPr>
            <a:ln w="28575" cap="rnd">
              <a:solidFill>
                <a:schemeClr val="accent5"/>
              </a:solidFill>
              <a:round/>
            </a:ln>
            <a:effectLst/>
          </c:spPr>
          <c:marker>
            <c:symbol val="none"/>
          </c:marker>
          <c:cat>
            <c:multiLvlStrRef>
              <c:f>modules!$CX$2:$GF$3</c:f>
              <c:multiLvlStrCache>
                <c:ptCount val="87"/>
                <c:lvl>
                  <c:pt idx="0">
                    <c:v>1</c:v>
                  </c:pt>
                  <c:pt idx="1">
                    <c:v>2</c:v>
                  </c:pt>
                  <c:pt idx="2">
                    <c:v>3</c:v>
                  </c:pt>
                  <c:pt idx="3">
                    <c:v>4</c:v>
                  </c:pt>
                  <c:pt idx="4">
                    <c:v>6</c:v>
                  </c:pt>
                  <c:pt idx="5">
                    <c:v>7</c:v>
                  </c:pt>
                  <c:pt idx="6">
                    <c:v>8</c:v>
                  </c:pt>
                  <c:pt idx="7">
                    <c:v>9</c:v>
                  </c:pt>
                  <c:pt idx="8">
                    <c:v>10</c:v>
                  </c:pt>
                  <c:pt idx="9">
                    <c:v>11</c:v>
                  </c:pt>
                  <c:pt idx="10">
                    <c:v>12</c:v>
                  </c:pt>
                  <c:pt idx="11">
                    <c:v>13</c:v>
                  </c:pt>
                  <c:pt idx="12">
                    <c:v>14</c:v>
                  </c:pt>
                  <c:pt idx="13">
                    <c:v>15</c:v>
                  </c:pt>
                  <c:pt idx="14">
                    <c:v>16</c:v>
                  </c:pt>
                  <c:pt idx="15">
                    <c:v>17</c:v>
                  </c:pt>
                  <c:pt idx="16">
                    <c:v>18</c:v>
                  </c:pt>
                  <c:pt idx="17">
                    <c:v>19</c:v>
                  </c:pt>
                  <c:pt idx="18">
                    <c:v>20</c:v>
                  </c:pt>
                  <c:pt idx="19">
                    <c:v>21</c:v>
                  </c:pt>
                  <c:pt idx="20">
                    <c:v>22</c:v>
                  </c:pt>
                  <c:pt idx="21">
                    <c:v>23</c:v>
                  </c:pt>
                  <c:pt idx="22">
                    <c:v>24</c:v>
                  </c:pt>
                  <c:pt idx="23">
                    <c:v>25</c:v>
                  </c:pt>
                  <c:pt idx="24">
                    <c:v>26</c:v>
                  </c:pt>
                  <c:pt idx="25">
                    <c:v>27</c:v>
                  </c:pt>
                  <c:pt idx="26">
                    <c:v>28</c:v>
                  </c:pt>
                  <c:pt idx="27">
                    <c:v>29</c:v>
                  </c:pt>
                  <c:pt idx="28">
                    <c:v>30</c:v>
                  </c:pt>
                  <c:pt idx="29">
                    <c:v>31</c:v>
                  </c:pt>
                  <c:pt idx="30">
                    <c:v>32</c:v>
                  </c:pt>
                  <c:pt idx="31">
                    <c:v>33</c:v>
                  </c:pt>
                  <c:pt idx="32">
                    <c:v>34</c:v>
                  </c:pt>
                  <c:pt idx="33">
                    <c:v>35</c:v>
                  </c:pt>
                  <c:pt idx="34">
                    <c:v>36</c:v>
                  </c:pt>
                  <c:pt idx="35">
                    <c:v>37</c:v>
                  </c:pt>
                  <c:pt idx="36">
                    <c:v>38</c:v>
                  </c:pt>
                  <c:pt idx="37">
                    <c:v>39</c:v>
                  </c:pt>
                  <c:pt idx="38">
                    <c:v>41</c:v>
                  </c:pt>
                  <c:pt idx="39">
                    <c:v>42</c:v>
                  </c:pt>
                  <c:pt idx="40">
                    <c:v>43</c:v>
                  </c:pt>
                  <c:pt idx="41">
                    <c:v>44</c:v>
                  </c:pt>
                  <c:pt idx="42">
                    <c:v>45</c:v>
                  </c:pt>
                  <c:pt idx="43">
                    <c:v>46</c:v>
                  </c:pt>
                  <c:pt idx="44">
                    <c:v>47</c:v>
                  </c:pt>
                  <c:pt idx="45">
                    <c:v>48</c:v>
                  </c:pt>
                  <c:pt idx="46">
                    <c:v>49</c:v>
                  </c:pt>
                  <c:pt idx="47">
                    <c:v>50</c:v>
                  </c:pt>
                  <c:pt idx="48">
                    <c:v>51</c:v>
                  </c:pt>
                  <c:pt idx="49">
                    <c:v>52</c:v>
                  </c:pt>
                  <c:pt idx="50">
                    <c:v>EoY</c:v>
                  </c:pt>
                  <c:pt idx="51">
                    <c:v>1</c:v>
                  </c:pt>
                  <c:pt idx="52">
                    <c:v>2</c:v>
                  </c:pt>
                  <c:pt idx="53">
                    <c:v>3</c:v>
                  </c:pt>
                  <c:pt idx="54">
                    <c:v>4</c:v>
                  </c:pt>
                  <c:pt idx="55">
                    <c:v>5</c:v>
                  </c:pt>
                  <c:pt idx="56">
                    <c:v>6</c:v>
                  </c:pt>
                  <c:pt idx="57">
                    <c:v>8</c:v>
                  </c:pt>
                  <c:pt idx="58">
                    <c:v>9</c:v>
                  </c:pt>
                  <c:pt idx="59">
                    <c:v>10</c:v>
                  </c:pt>
                  <c:pt idx="60">
                    <c:v>11</c:v>
                  </c:pt>
                  <c:pt idx="61">
                    <c:v>12</c:v>
                  </c:pt>
                  <c:pt idx="62">
                    <c:v>13</c:v>
                  </c:pt>
                  <c:pt idx="63">
                    <c:v>14</c:v>
                  </c:pt>
                  <c:pt idx="64">
                    <c:v>15</c:v>
                  </c:pt>
                  <c:pt idx="65">
                    <c:v>16</c:v>
                  </c:pt>
                  <c:pt idx="66">
                    <c:v>17</c:v>
                  </c:pt>
                  <c:pt idx="67">
                    <c:v>18</c:v>
                  </c:pt>
                  <c:pt idx="68">
                    <c:v>19</c:v>
                  </c:pt>
                  <c:pt idx="69">
                    <c:v>20</c:v>
                  </c:pt>
                  <c:pt idx="70">
                    <c:v>21</c:v>
                  </c:pt>
                  <c:pt idx="71">
                    <c:v>22</c:v>
                  </c:pt>
                  <c:pt idx="72">
                    <c:v>23</c:v>
                  </c:pt>
                  <c:pt idx="73">
                    <c:v>24</c:v>
                  </c:pt>
                  <c:pt idx="74">
                    <c:v>25</c:v>
                  </c:pt>
                  <c:pt idx="75">
                    <c:v>26</c:v>
                  </c:pt>
                  <c:pt idx="76">
                    <c:v>27</c:v>
                  </c:pt>
                  <c:pt idx="77">
                    <c:v>28</c:v>
                  </c:pt>
                  <c:pt idx="78">
                    <c:v>29</c:v>
                  </c:pt>
                  <c:pt idx="79">
                    <c:v>30</c:v>
                  </c:pt>
                  <c:pt idx="80">
                    <c:v>31</c:v>
                  </c:pt>
                  <c:pt idx="81">
                    <c:v>32</c:v>
                  </c:pt>
                  <c:pt idx="82">
                    <c:v>33</c:v>
                  </c:pt>
                  <c:pt idx="83">
                    <c:v>34</c:v>
                  </c:pt>
                  <c:pt idx="84">
                    <c:v>35</c:v>
                  </c:pt>
                  <c:pt idx="85">
                    <c:v>36</c:v>
                  </c:pt>
                  <c:pt idx="86">
                    <c:v>37</c:v>
                  </c:pt>
                </c:lvl>
                <c:lvl>
                  <c:pt idx="0">
                    <c:v>2025</c:v>
                  </c:pt>
                  <c:pt idx="51">
                    <c:v>2026</c:v>
                  </c:pt>
                </c:lvl>
              </c:multiLvlStrCache>
            </c:multiLvlStrRef>
          </c:cat>
          <c:val>
            <c:numRef>
              <c:f>modules!$CX$8:$GF$8</c:f>
              <c:numCache>
                <c:formatCode>General</c:formatCode>
                <c:ptCount val="87"/>
                <c:pt idx="0">
                  <c:v>0.71</c:v>
                </c:pt>
                <c:pt idx="1">
                  <c:v>0.71</c:v>
                </c:pt>
                <c:pt idx="2">
                  <c:v>0.71</c:v>
                </c:pt>
                <c:pt idx="3">
                  <c:v>0.69499999999999995</c:v>
                </c:pt>
                <c:pt idx="4">
                  <c:v>0.69499999999999995</c:v>
                </c:pt>
                <c:pt idx="5">
                  <c:v>0.69</c:v>
                </c:pt>
                <c:pt idx="6">
                  <c:v>0.69</c:v>
                </c:pt>
                <c:pt idx="7">
                  <c:v>0.69499999999999995</c:v>
                </c:pt>
                <c:pt idx="8">
                  <c:v>0.69499999999999995</c:v>
                </c:pt>
                <c:pt idx="9">
                  <c:v>0.71</c:v>
                </c:pt>
                <c:pt idx="10">
                  <c:v>0.72499999999999998</c:v>
                </c:pt>
                <c:pt idx="11">
                  <c:v>0.75</c:v>
                </c:pt>
                <c:pt idx="12">
                  <c:v>0.75</c:v>
                </c:pt>
                <c:pt idx="13">
                  <c:v>0.75</c:v>
                </c:pt>
                <c:pt idx="14">
                  <c:v>0.72</c:v>
                </c:pt>
                <c:pt idx="15">
                  <c:v>0.72</c:v>
                </c:pt>
                <c:pt idx="16">
                  <c:v>0.71</c:v>
                </c:pt>
                <c:pt idx="17">
                  <c:v>0.69499999999999995</c:v>
                </c:pt>
                <c:pt idx="18">
                  <c:v>0.67500000000000004</c:v>
                </c:pt>
                <c:pt idx="19">
                  <c:v>0.67500000000000004</c:v>
                </c:pt>
                <c:pt idx="20">
                  <c:v>0.67</c:v>
                </c:pt>
                <c:pt idx="21">
                  <c:v>0.67</c:v>
                </c:pt>
                <c:pt idx="22">
                  <c:v>0.67</c:v>
                </c:pt>
                <c:pt idx="23">
                  <c:v>0.67</c:v>
                </c:pt>
                <c:pt idx="24">
                  <c:v>0.67</c:v>
                </c:pt>
                <c:pt idx="25">
                  <c:v>0.67</c:v>
                </c:pt>
                <c:pt idx="26">
                  <c:v>0.67</c:v>
                </c:pt>
                <c:pt idx="27">
                  <c:v>0.67800000000000005</c:v>
                </c:pt>
                <c:pt idx="28">
                  <c:v>0.7</c:v>
                </c:pt>
                <c:pt idx="29">
                  <c:v>0.7</c:v>
                </c:pt>
                <c:pt idx="30">
                  <c:v>0.7</c:v>
                </c:pt>
                <c:pt idx="31">
                  <c:v>0.7</c:v>
                </c:pt>
                <c:pt idx="32">
                  <c:v>0.7</c:v>
                </c:pt>
                <c:pt idx="33">
                  <c:v>0.7</c:v>
                </c:pt>
                <c:pt idx="34">
                  <c:v>0.7</c:v>
                </c:pt>
                <c:pt idx="35">
                  <c:v>0.7</c:v>
                </c:pt>
                <c:pt idx="36">
                  <c:v>0.7</c:v>
                </c:pt>
                <c:pt idx="37">
                  <c:v>0.7</c:v>
                </c:pt>
                <c:pt idx="38">
                  <c:v>0.7</c:v>
                </c:pt>
                <c:pt idx="39">
                  <c:v>0.7</c:v>
                </c:pt>
                <c:pt idx="40">
                  <c:v>0.7</c:v>
                </c:pt>
                <c:pt idx="41">
                  <c:v>0.7</c:v>
                </c:pt>
                <c:pt idx="42">
                  <c:v>0.7</c:v>
                </c:pt>
                <c:pt idx="43">
                  <c:v>0.7</c:v>
                </c:pt>
                <c:pt idx="44">
                  <c:v>0.7</c:v>
                </c:pt>
                <c:pt idx="45">
                  <c:v>0.7</c:v>
                </c:pt>
                <c:pt idx="46">
                  <c:v>0.69</c:v>
                </c:pt>
                <c:pt idx="47">
                  <c:v>0.69</c:v>
                </c:pt>
                <c:pt idx="48">
                  <c:v>0.69</c:v>
                </c:pt>
                <c:pt idx="49">
                  <c:v>0.69</c:v>
                </c:pt>
                <c:pt idx="50">
                  <c:v>0.69</c:v>
                </c:pt>
                <c:pt idx="51">
                  <c:v>0.69</c:v>
                </c:pt>
                <c:pt idx="52">
                  <c:v>0.73</c:v>
                </c:pt>
                <c:pt idx="53">
                  <c:v>0.79</c:v>
                </c:pt>
                <c:pt idx="54">
                  <c:v>0.8</c:v>
                </c:pt>
                <c:pt idx="55">
                  <c:v>0.8</c:v>
                </c:pt>
                <c:pt idx="56">
                  <c:v>0.8</c:v>
                </c:pt>
                <c:pt idx="57">
                  <c:v>0.86</c:v>
                </c:pt>
                <c:pt idx="58">
                  <c:v>0.86</c:v>
                </c:pt>
                <c:pt idx="59">
                  <c:v>0.86</c:v>
                </c:pt>
                <c:pt idx="60">
                  <c:v>0.83</c:v>
                </c:pt>
                <c:pt idx="61">
                  <c:v>0.82</c:v>
                </c:pt>
                <c:pt idx="62">
                  <c:v>0.79</c:v>
                </c:pt>
                <c:pt idx="63">
                  <c:v>0.78</c:v>
                </c:pt>
                <c:pt idx="64">
                  <c:v>0.78</c:v>
                </c:pt>
                <c:pt idx="65">
                  <c:v>0.76900000000000002</c:v>
                </c:pt>
                <c:pt idx="66">
                  <c:v>0.76900000000000002</c:v>
                </c:pt>
                <c:pt idx="67">
                  <c:v>0.76900000000000002</c:v>
                </c:pt>
                <c:pt idx="68">
                  <c:v>0.76</c:v>
                </c:pt>
                <c:pt idx="69">
                  <c:v>0.755</c:v>
                </c:pt>
                <c:pt idx="70">
                  <c:v>0.755</c:v>
                </c:pt>
                <c:pt idx="71">
                  <c:v>0.755</c:v>
                </c:pt>
                <c:pt idx="72">
                  <c:v>0.745</c:v>
                </c:pt>
                <c:pt idx="73">
                  <c:v>0.745</c:v>
                </c:pt>
                <c:pt idx="74">
                  <c:v>0.73</c:v>
                </c:pt>
                <c:pt idx="75">
                  <c:v>0.72</c:v>
                </c:pt>
                <c:pt idx="76">
                  <c:v>0.70499999999999996</c:v>
                </c:pt>
                <c:pt idx="77">
                  <c:v>0.7</c:v>
                </c:pt>
                <c:pt idx="78">
                  <c:v>0.7</c:v>
                </c:pt>
                <c:pt idx="79">
                  <c:v>0.68500000000000005</c:v>
                </c:pt>
                <c:pt idx="80">
                  <c:v>0.68500000000000005</c:v>
                </c:pt>
                <c:pt idx="81">
                  <c:v>0.68500000000000005</c:v>
                </c:pt>
                <c:pt idx="82">
                  <c:v>0.69499999999999995</c:v>
                </c:pt>
                <c:pt idx="83">
                  <c:v>0.70499999999999996</c:v>
                </c:pt>
                <c:pt idx="84">
                  <c:v>0.70499999999999996</c:v>
                </c:pt>
                <c:pt idx="85">
                  <c:v>0.70499999999999996</c:v>
                </c:pt>
                <c:pt idx="86">
                  <c:v>0.70499999999999996</c:v>
                </c:pt>
              </c:numCache>
            </c:numRef>
          </c:val>
          <c:smooth val="0"/>
          <c:extLst>
            <c:ext xmlns:c16="http://schemas.microsoft.com/office/drawing/2014/chart" uri="{C3380CC4-5D6E-409C-BE32-E72D297353CC}">
              <c16:uniqueId val="{00000004-0846-4133-B357-E0D2533DE9AC}"/>
            </c:ext>
          </c:extLst>
        </c:ser>
        <c:ser>
          <c:idx val="5"/>
          <c:order val="5"/>
          <c:tx>
            <c:strRef>
              <c:f>modules!$A$9</c:f>
              <c:strCache>
                <c:ptCount val="1"/>
                <c:pt idx="0">
                  <c:v>TOPCon bifacial - n-type, 210 mm, 60 cells (700-725W)</c:v>
                </c:pt>
              </c:strCache>
            </c:strRef>
          </c:tx>
          <c:spPr>
            <a:ln w="28575" cap="rnd">
              <a:solidFill>
                <a:schemeClr val="accent6"/>
              </a:solidFill>
              <a:round/>
            </a:ln>
            <a:effectLst/>
          </c:spPr>
          <c:marker>
            <c:symbol val="none"/>
          </c:marker>
          <c:cat>
            <c:multiLvlStrRef>
              <c:f>modules!$CX$2:$GF$3</c:f>
              <c:multiLvlStrCache>
                <c:ptCount val="87"/>
                <c:lvl>
                  <c:pt idx="0">
                    <c:v>1</c:v>
                  </c:pt>
                  <c:pt idx="1">
                    <c:v>2</c:v>
                  </c:pt>
                  <c:pt idx="2">
                    <c:v>3</c:v>
                  </c:pt>
                  <c:pt idx="3">
                    <c:v>4</c:v>
                  </c:pt>
                  <c:pt idx="4">
                    <c:v>6</c:v>
                  </c:pt>
                  <c:pt idx="5">
                    <c:v>7</c:v>
                  </c:pt>
                  <c:pt idx="6">
                    <c:v>8</c:v>
                  </c:pt>
                  <c:pt idx="7">
                    <c:v>9</c:v>
                  </c:pt>
                  <c:pt idx="8">
                    <c:v>10</c:v>
                  </c:pt>
                  <c:pt idx="9">
                    <c:v>11</c:v>
                  </c:pt>
                  <c:pt idx="10">
                    <c:v>12</c:v>
                  </c:pt>
                  <c:pt idx="11">
                    <c:v>13</c:v>
                  </c:pt>
                  <c:pt idx="12">
                    <c:v>14</c:v>
                  </c:pt>
                  <c:pt idx="13">
                    <c:v>15</c:v>
                  </c:pt>
                  <c:pt idx="14">
                    <c:v>16</c:v>
                  </c:pt>
                  <c:pt idx="15">
                    <c:v>17</c:v>
                  </c:pt>
                  <c:pt idx="16">
                    <c:v>18</c:v>
                  </c:pt>
                  <c:pt idx="17">
                    <c:v>19</c:v>
                  </c:pt>
                  <c:pt idx="18">
                    <c:v>20</c:v>
                  </c:pt>
                  <c:pt idx="19">
                    <c:v>21</c:v>
                  </c:pt>
                  <c:pt idx="20">
                    <c:v>22</c:v>
                  </c:pt>
                  <c:pt idx="21">
                    <c:v>23</c:v>
                  </c:pt>
                  <c:pt idx="22">
                    <c:v>24</c:v>
                  </c:pt>
                  <c:pt idx="23">
                    <c:v>25</c:v>
                  </c:pt>
                  <c:pt idx="24">
                    <c:v>26</c:v>
                  </c:pt>
                  <c:pt idx="25">
                    <c:v>27</c:v>
                  </c:pt>
                  <c:pt idx="26">
                    <c:v>28</c:v>
                  </c:pt>
                  <c:pt idx="27">
                    <c:v>29</c:v>
                  </c:pt>
                  <c:pt idx="28">
                    <c:v>30</c:v>
                  </c:pt>
                  <c:pt idx="29">
                    <c:v>31</c:v>
                  </c:pt>
                  <c:pt idx="30">
                    <c:v>32</c:v>
                  </c:pt>
                  <c:pt idx="31">
                    <c:v>33</c:v>
                  </c:pt>
                  <c:pt idx="32">
                    <c:v>34</c:v>
                  </c:pt>
                  <c:pt idx="33">
                    <c:v>35</c:v>
                  </c:pt>
                  <c:pt idx="34">
                    <c:v>36</c:v>
                  </c:pt>
                  <c:pt idx="35">
                    <c:v>37</c:v>
                  </c:pt>
                  <c:pt idx="36">
                    <c:v>38</c:v>
                  </c:pt>
                  <c:pt idx="37">
                    <c:v>39</c:v>
                  </c:pt>
                  <c:pt idx="38">
                    <c:v>41</c:v>
                  </c:pt>
                  <c:pt idx="39">
                    <c:v>42</c:v>
                  </c:pt>
                  <c:pt idx="40">
                    <c:v>43</c:v>
                  </c:pt>
                  <c:pt idx="41">
                    <c:v>44</c:v>
                  </c:pt>
                  <c:pt idx="42">
                    <c:v>45</c:v>
                  </c:pt>
                  <c:pt idx="43">
                    <c:v>46</c:v>
                  </c:pt>
                  <c:pt idx="44">
                    <c:v>47</c:v>
                  </c:pt>
                  <c:pt idx="45">
                    <c:v>48</c:v>
                  </c:pt>
                  <c:pt idx="46">
                    <c:v>49</c:v>
                  </c:pt>
                  <c:pt idx="47">
                    <c:v>50</c:v>
                  </c:pt>
                  <c:pt idx="48">
                    <c:v>51</c:v>
                  </c:pt>
                  <c:pt idx="49">
                    <c:v>52</c:v>
                  </c:pt>
                  <c:pt idx="50">
                    <c:v>EoY</c:v>
                  </c:pt>
                  <c:pt idx="51">
                    <c:v>1</c:v>
                  </c:pt>
                  <c:pt idx="52">
                    <c:v>2</c:v>
                  </c:pt>
                  <c:pt idx="53">
                    <c:v>3</c:v>
                  </c:pt>
                  <c:pt idx="54">
                    <c:v>4</c:v>
                  </c:pt>
                  <c:pt idx="55">
                    <c:v>5</c:v>
                  </c:pt>
                  <c:pt idx="56">
                    <c:v>6</c:v>
                  </c:pt>
                  <c:pt idx="57">
                    <c:v>8</c:v>
                  </c:pt>
                  <c:pt idx="58">
                    <c:v>9</c:v>
                  </c:pt>
                  <c:pt idx="59">
                    <c:v>10</c:v>
                  </c:pt>
                  <c:pt idx="60">
                    <c:v>11</c:v>
                  </c:pt>
                  <c:pt idx="61">
                    <c:v>12</c:v>
                  </c:pt>
                  <c:pt idx="62">
                    <c:v>13</c:v>
                  </c:pt>
                  <c:pt idx="63">
                    <c:v>14</c:v>
                  </c:pt>
                  <c:pt idx="64">
                    <c:v>15</c:v>
                  </c:pt>
                  <c:pt idx="65">
                    <c:v>16</c:v>
                  </c:pt>
                  <c:pt idx="66">
                    <c:v>17</c:v>
                  </c:pt>
                  <c:pt idx="67">
                    <c:v>18</c:v>
                  </c:pt>
                  <c:pt idx="68">
                    <c:v>19</c:v>
                  </c:pt>
                  <c:pt idx="69">
                    <c:v>20</c:v>
                  </c:pt>
                  <c:pt idx="70">
                    <c:v>21</c:v>
                  </c:pt>
                  <c:pt idx="71">
                    <c:v>22</c:v>
                  </c:pt>
                  <c:pt idx="72">
                    <c:v>23</c:v>
                  </c:pt>
                  <c:pt idx="73">
                    <c:v>24</c:v>
                  </c:pt>
                  <c:pt idx="74">
                    <c:v>25</c:v>
                  </c:pt>
                  <c:pt idx="75">
                    <c:v>26</c:v>
                  </c:pt>
                  <c:pt idx="76">
                    <c:v>27</c:v>
                  </c:pt>
                  <c:pt idx="77">
                    <c:v>28</c:v>
                  </c:pt>
                  <c:pt idx="78">
                    <c:v>29</c:v>
                  </c:pt>
                  <c:pt idx="79">
                    <c:v>30</c:v>
                  </c:pt>
                  <c:pt idx="80">
                    <c:v>31</c:v>
                  </c:pt>
                  <c:pt idx="81">
                    <c:v>32</c:v>
                  </c:pt>
                  <c:pt idx="82">
                    <c:v>33</c:v>
                  </c:pt>
                  <c:pt idx="83">
                    <c:v>34</c:v>
                  </c:pt>
                  <c:pt idx="84">
                    <c:v>35</c:v>
                  </c:pt>
                  <c:pt idx="85">
                    <c:v>36</c:v>
                  </c:pt>
                  <c:pt idx="86">
                    <c:v>37</c:v>
                  </c:pt>
                </c:lvl>
                <c:lvl>
                  <c:pt idx="0">
                    <c:v>2025</c:v>
                  </c:pt>
                  <c:pt idx="51">
                    <c:v>2026</c:v>
                  </c:pt>
                </c:lvl>
              </c:multiLvlStrCache>
            </c:multiLvlStrRef>
          </c:cat>
          <c:val>
            <c:numRef>
              <c:f>modules!$CX$9:$GF$9</c:f>
              <c:numCache>
                <c:formatCode>General</c:formatCode>
                <c:ptCount val="87"/>
                <c:pt idx="37">
                  <c:v>0.7</c:v>
                </c:pt>
                <c:pt idx="38">
                  <c:v>0.68799999999999994</c:v>
                </c:pt>
                <c:pt idx="39">
                  <c:v>0.7</c:v>
                </c:pt>
                <c:pt idx="40">
                  <c:v>0.7</c:v>
                </c:pt>
                <c:pt idx="41">
                  <c:v>0.7</c:v>
                </c:pt>
                <c:pt idx="42">
                  <c:v>0.7</c:v>
                </c:pt>
                <c:pt idx="43">
                  <c:v>0.7</c:v>
                </c:pt>
                <c:pt idx="44">
                  <c:v>0.7</c:v>
                </c:pt>
                <c:pt idx="45">
                  <c:v>0.7</c:v>
                </c:pt>
                <c:pt idx="46">
                  <c:v>0.69</c:v>
                </c:pt>
                <c:pt idx="47">
                  <c:v>0.69</c:v>
                </c:pt>
                <c:pt idx="48">
                  <c:v>0.69</c:v>
                </c:pt>
                <c:pt idx="49">
                  <c:v>0.69</c:v>
                </c:pt>
                <c:pt idx="50">
                  <c:v>0.69</c:v>
                </c:pt>
                <c:pt idx="51">
                  <c:v>0.69</c:v>
                </c:pt>
                <c:pt idx="52">
                  <c:v>0.70799999999999996</c:v>
                </c:pt>
                <c:pt idx="53">
                  <c:v>0.79</c:v>
                </c:pt>
                <c:pt idx="54">
                  <c:v>0.82</c:v>
                </c:pt>
                <c:pt idx="55">
                  <c:v>0.82</c:v>
                </c:pt>
                <c:pt idx="56">
                  <c:v>0.82</c:v>
                </c:pt>
                <c:pt idx="57">
                  <c:v>0.86</c:v>
                </c:pt>
                <c:pt idx="58">
                  <c:v>0.86</c:v>
                </c:pt>
                <c:pt idx="59">
                  <c:v>0.86</c:v>
                </c:pt>
                <c:pt idx="60">
                  <c:v>0.84</c:v>
                </c:pt>
                <c:pt idx="61">
                  <c:v>0.82</c:v>
                </c:pt>
                <c:pt idx="62">
                  <c:v>0.79200000000000004</c:v>
                </c:pt>
                <c:pt idx="63">
                  <c:v>0.78</c:v>
                </c:pt>
                <c:pt idx="64">
                  <c:v>0.78</c:v>
                </c:pt>
                <c:pt idx="65">
                  <c:v>0.77200000000000002</c:v>
                </c:pt>
                <c:pt idx="66">
                  <c:v>0.77200000000000002</c:v>
                </c:pt>
                <c:pt idx="67">
                  <c:v>0.77200000000000002</c:v>
                </c:pt>
                <c:pt idx="68">
                  <c:v>0.76500000000000001</c:v>
                </c:pt>
                <c:pt idx="69">
                  <c:v>0.76</c:v>
                </c:pt>
                <c:pt idx="70">
                  <c:v>0.76</c:v>
                </c:pt>
                <c:pt idx="71">
                  <c:v>0.76</c:v>
                </c:pt>
                <c:pt idx="72">
                  <c:v>0.745</c:v>
                </c:pt>
                <c:pt idx="73">
                  <c:v>0.745</c:v>
                </c:pt>
                <c:pt idx="74">
                  <c:v>0.74</c:v>
                </c:pt>
                <c:pt idx="75">
                  <c:v>0.73499999999999999</c:v>
                </c:pt>
                <c:pt idx="76">
                  <c:v>0.73499999999999999</c:v>
                </c:pt>
                <c:pt idx="77">
                  <c:v>0.73</c:v>
                </c:pt>
                <c:pt idx="78">
                  <c:v>0.73</c:v>
                </c:pt>
                <c:pt idx="79">
                  <c:v>0.72</c:v>
                </c:pt>
                <c:pt idx="80">
                  <c:v>0.72</c:v>
                </c:pt>
                <c:pt idx="81">
                  <c:v>0.72</c:v>
                </c:pt>
                <c:pt idx="82">
                  <c:v>0.72</c:v>
                </c:pt>
                <c:pt idx="83">
                  <c:v>0.73</c:v>
                </c:pt>
              </c:numCache>
            </c:numRef>
          </c:val>
          <c:smooth val="0"/>
          <c:extLst>
            <c:ext xmlns:c16="http://schemas.microsoft.com/office/drawing/2014/chart" uri="{C3380CC4-5D6E-409C-BE32-E72D297353CC}">
              <c16:uniqueId val="{00000005-0846-4133-B357-E0D2533DE9AC}"/>
            </c:ext>
          </c:extLst>
        </c:ser>
        <c:ser>
          <c:idx val="6"/>
          <c:order val="6"/>
          <c:tx>
            <c:strRef>
              <c:f>modules!$A$10</c:f>
              <c:strCache>
                <c:ptCount val="1"/>
                <c:pt idx="0">
                  <c:v>210 mm HJT Module (615-635W)</c:v>
                </c:pt>
              </c:strCache>
            </c:strRef>
          </c:tx>
          <c:spPr>
            <a:ln w="28575" cap="rnd">
              <a:solidFill>
                <a:schemeClr val="accent1">
                  <a:lumMod val="60000"/>
                </a:schemeClr>
              </a:solidFill>
              <a:round/>
            </a:ln>
            <a:effectLst/>
          </c:spPr>
          <c:marker>
            <c:symbol val="none"/>
          </c:marker>
          <c:cat>
            <c:multiLvlStrRef>
              <c:f>modules!$CX$2:$GF$3</c:f>
              <c:multiLvlStrCache>
                <c:ptCount val="87"/>
                <c:lvl>
                  <c:pt idx="0">
                    <c:v>1</c:v>
                  </c:pt>
                  <c:pt idx="1">
                    <c:v>2</c:v>
                  </c:pt>
                  <c:pt idx="2">
                    <c:v>3</c:v>
                  </c:pt>
                  <c:pt idx="3">
                    <c:v>4</c:v>
                  </c:pt>
                  <c:pt idx="4">
                    <c:v>6</c:v>
                  </c:pt>
                  <c:pt idx="5">
                    <c:v>7</c:v>
                  </c:pt>
                  <c:pt idx="6">
                    <c:v>8</c:v>
                  </c:pt>
                  <c:pt idx="7">
                    <c:v>9</c:v>
                  </c:pt>
                  <c:pt idx="8">
                    <c:v>10</c:v>
                  </c:pt>
                  <c:pt idx="9">
                    <c:v>11</c:v>
                  </c:pt>
                  <c:pt idx="10">
                    <c:v>12</c:v>
                  </c:pt>
                  <c:pt idx="11">
                    <c:v>13</c:v>
                  </c:pt>
                  <c:pt idx="12">
                    <c:v>14</c:v>
                  </c:pt>
                  <c:pt idx="13">
                    <c:v>15</c:v>
                  </c:pt>
                  <c:pt idx="14">
                    <c:v>16</c:v>
                  </c:pt>
                  <c:pt idx="15">
                    <c:v>17</c:v>
                  </c:pt>
                  <c:pt idx="16">
                    <c:v>18</c:v>
                  </c:pt>
                  <c:pt idx="17">
                    <c:v>19</c:v>
                  </c:pt>
                  <c:pt idx="18">
                    <c:v>20</c:v>
                  </c:pt>
                  <c:pt idx="19">
                    <c:v>21</c:v>
                  </c:pt>
                  <c:pt idx="20">
                    <c:v>22</c:v>
                  </c:pt>
                  <c:pt idx="21">
                    <c:v>23</c:v>
                  </c:pt>
                  <c:pt idx="22">
                    <c:v>24</c:v>
                  </c:pt>
                  <c:pt idx="23">
                    <c:v>25</c:v>
                  </c:pt>
                  <c:pt idx="24">
                    <c:v>26</c:v>
                  </c:pt>
                  <c:pt idx="25">
                    <c:v>27</c:v>
                  </c:pt>
                  <c:pt idx="26">
                    <c:v>28</c:v>
                  </c:pt>
                  <c:pt idx="27">
                    <c:v>29</c:v>
                  </c:pt>
                  <c:pt idx="28">
                    <c:v>30</c:v>
                  </c:pt>
                  <c:pt idx="29">
                    <c:v>31</c:v>
                  </c:pt>
                  <c:pt idx="30">
                    <c:v>32</c:v>
                  </c:pt>
                  <c:pt idx="31">
                    <c:v>33</c:v>
                  </c:pt>
                  <c:pt idx="32">
                    <c:v>34</c:v>
                  </c:pt>
                  <c:pt idx="33">
                    <c:v>35</c:v>
                  </c:pt>
                  <c:pt idx="34">
                    <c:v>36</c:v>
                  </c:pt>
                  <c:pt idx="35">
                    <c:v>37</c:v>
                  </c:pt>
                  <c:pt idx="36">
                    <c:v>38</c:v>
                  </c:pt>
                  <c:pt idx="37">
                    <c:v>39</c:v>
                  </c:pt>
                  <c:pt idx="38">
                    <c:v>41</c:v>
                  </c:pt>
                  <c:pt idx="39">
                    <c:v>42</c:v>
                  </c:pt>
                  <c:pt idx="40">
                    <c:v>43</c:v>
                  </c:pt>
                  <c:pt idx="41">
                    <c:v>44</c:v>
                  </c:pt>
                  <c:pt idx="42">
                    <c:v>45</c:v>
                  </c:pt>
                  <c:pt idx="43">
                    <c:v>46</c:v>
                  </c:pt>
                  <c:pt idx="44">
                    <c:v>47</c:v>
                  </c:pt>
                  <c:pt idx="45">
                    <c:v>48</c:v>
                  </c:pt>
                  <c:pt idx="46">
                    <c:v>49</c:v>
                  </c:pt>
                  <c:pt idx="47">
                    <c:v>50</c:v>
                  </c:pt>
                  <c:pt idx="48">
                    <c:v>51</c:v>
                  </c:pt>
                  <c:pt idx="49">
                    <c:v>52</c:v>
                  </c:pt>
                  <c:pt idx="50">
                    <c:v>EoY</c:v>
                  </c:pt>
                  <c:pt idx="51">
                    <c:v>1</c:v>
                  </c:pt>
                  <c:pt idx="52">
                    <c:v>2</c:v>
                  </c:pt>
                  <c:pt idx="53">
                    <c:v>3</c:v>
                  </c:pt>
                  <c:pt idx="54">
                    <c:v>4</c:v>
                  </c:pt>
                  <c:pt idx="55">
                    <c:v>5</c:v>
                  </c:pt>
                  <c:pt idx="56">
                    <c:v>6</c:v>
                  </c:pt>
                  <c:pt idx="57">
                    <c:v>8</c:v>
                  </c:pt>
                  <c:pt idx="58">
                    <c:v>9</c:v>
                  </c:pt>
                  <c:pt idx="59">
                    <c:v>10</c:v>
                  </c:pt>
                  <c:pt idx="60">
                    <c:v>11</c:v>
                  </c:pt>
                  <c:pt idx="61">
                    <c:v>12</c:v>
                  </c:pt>
                  <c:pt idx="62">
                    <c:v>13</c:v>
                  </c:pt>
                  <c:pt idx="63">
                    <c:v>14</c:v>
                  </c:pt>
                  <c:pt idx="64">
                    <c:v>15</c:v>
                  </c:pt>
                  <c:pt idx="65">
                    <c:v>16</c:v>
                  </c:pt>
                  <c:pt idx="66">
                    <c:v>17</c:v>
                  </c:pt>
                  <c:pt idx="67">
                    <c:v>18</c:v>
                  </c:pt>
                  <c:pt idx="68">
                    <c:v>19</c:v>
                  </c:pt>
                  <c:pt idx="69">
                    <c:v>20</c:v>
                  </c:pt>
                  <c:pt idx="70">
                    <c:v>21</c:v>
                  </c:pt>
                  <c:pt idx="71">
                    <c:v>22</c:v>
                  </c:pt>
                  <c:pt idx="72">
                    <c:v>23</c:v>
                  </c:pt>
                  <c:pt idx="73">
                    <c:v>24</c:v>
                  </c:pt>
                  <c:pt idx="74">
                    <c:v>25</c:v>
                  </c:pt>
                  <c:pt idx="75">
                    <c:v>26</c:v>
                  </c:pt>
                  <c:pt idx="76">
                    <c:v>27</c:v>
                  </c:pt>
                  <c:pt idx="77">
                    <c:v>28</c:v>
                  </c:pt>
                  <c:pt idx="78">
                    <c:v>29</c:v>
                  </c:pt>
                  <c:pt idx="79">
                    <c:v>30</c:v>
                  </c:pt>
                  <c:pt idx="80">
                    <c:v>31</c:v>
                  </c:pt>
                  <c:pt idx="81">
                    <c:v>32</c:v>
                  </c:pt>
                  <c:pt idx="82">
                    <c:v>33</c:v>
                  </c:pt>
                  <c:pt idx="83">
                    <c:v>34</c:v>
                  </c:pt>
                  <c:pt idx="84">
                    <c:v>35</c:v>
                  </c:pt>
                  <c:pt idx="85">
                    <c:v>36</c:v>
                  </c:pt>
                  <c:pt idx="86">
                    <c:v>37</c:v>
                  </c:pt>
                </c:lvl>
                <c:lvl>
                  <c:pt idx="0">
                    <c:v>2025</c:v>
                  </c:pt>
                  <c:pt idx="51">
                    <c:v>2026</c:v>
                  </c:pt>
                </c:lvl>
              </c:multiLvlStrCache>
            </c:multiLvlStrRef>
          </c:cat>
          <c:val>
            <c:numRef>
              <c:f>modules!$CX$10:$GF$10</c:f>
              <c:numCache>
                <c:formatCode>General</c:formatCode>
                <c:ptCount val="87"/>
                <c:pt idx="0">
                  <c:v>0.75</c:v>
                </c:pt>
                <c:pt idx="1">
                  <c:v>0.75</c:v>
                </c:pt>
                <c:pt idx="2">
                  <c:v>0.75</c:v>
                </c:pt>
                <c:pt idx="3">
                  <c:v>0.75</c:v>
                </c:pt>
                <c:pt idx="4">
                  <c:v>0.75</c:v>
                </c:pt>
                <c:pt idx="5">
                  <c:v>0.75</c:v>
                </c:pt>
                <c:pt idx="6">
                  <c:v>0.75</c:v>
                </c:pt>
                <c:pt idx="7">
                  <c:v>0.75</c:v>
                </c:pt>
                <c:pt idx="8">
                  <c:v>0.75</c:v>
                </c:pt>
                <c:pt idx="9">
                  <c:v>0.75</c:v>
                </c:pt>
                <c:pt idx="10">
                  <c:v>0.75</c:v>
                </c:pt>
                <c:pt idx="11">
                  <c:v>0.79500000000000004</c:v>
                </c:pt>
                <c:pt idx="12">
                  <c:v>0.79500000000000004</c:v>
                </c:pt>
                <c:pt idx="13">
                  <c:v>0.79500000000000004</c:v>
                </c:pt>
                <c:pt idx="14">
                  <c:v>0.76</c:v>
                </c:pt>
                <c:pt idx="15">
                  <c:v>0.76</c:v>
                </c:pt>
                <c:pt idx="16">
                  <c:v>0.76</c:v>
                </c:pt>
                <c:pt idx="17">
                  <c:v>0.76</c:v>
                </c:pt>
                <c:pt idx="18">
                  <c:v>0.755</c:v>
                </c:pt>
                <c:pt idx="19">
                  <c:v>0.755</c:v>
                </c:pt>
                <c:pt idx="20">
                  <c:v>0.755</c:v>
                </c:pt>
                <c:pt idx="21">
                  <c:v>0.755</c:v>
                </c:pt>
                <c:pt idx="22">
                  <c:v>0.755</c:v>
                </c:pt>
                <c:pt idx="23">
                  <c:v>0.755</c:v>
                </c:pt>
              </c:numCache>
            </c:numRef>
          </c:val>
          <c:smooth val="0"/>
          <c:extLst>
            <c:ext xmlns:c16="http://schemas.microsoft.com/office/drawing/2014/chart" uri="{C3380CC4-5D6E-409C-BE32-E72D297353CC}">
              <c16:uniqueId val="{00000006-0846-4133-B357-E0D2533DE9AC}"/>
            </c:ext>
          </c:extLst>
        </c:ser>
        <c:ser>
          <c:idx val="7"/>
          <c:order val="7"/>
          <c:tx>
            <c:strRef>
              <c:f>modules!$A$11</c:f>
              <c:strCache>
                <c:ptCount val="1"/>
                <c:pt idx="0">
                  <c:v>BC Module (655W+)</c:v>
                </c:pt>
              </c:strCache>
            </c:strRef>
          </c:tx>
          <c:spPr>
            <a:ln w="28575" cap="rnd">
              <a:solidFill>
                <a:schemeClr val="accent2">
                  <a:lumMod val="60000"/>
                </a:schemeClr>
              </a:solidFill>
              <a:round/>
            </a:ln>
            <a:effectLst/>
          </c:spPr>
          <c:marker>
            <c:symbol val="none"/>
          </c:marker>
          <c:cat>
            <c:multiLvlStrRef>
              <c:f>modules!$CX$2:$GF$3</c:f>
              <c:multiLvlStrCache>
                <c:ptCount val="87"/>
                <c:lvl>
                  <c:pt idx="0">
                    <c:v>1</c:v>
                  </c:pt>
                  <c:pt idx="1">
                    <c:v>2</c:v>
                  </c:pt>
                  <c:pt idx="2">
                    <c:v>3</c:v>
                  </c:pt>
                  <c:pt idx="3">
                    <c:v>4</c:v>
                  </c:pt>
                  <c:pt idx="4">
                    <c:v>6</c:v>
                  </c:pt>
                  <c:pt idx="5">
                    <c:v>7</c:v>
                  </c:pt>
                  <c:pt idx="6">
                    <c:v>8</c:v>
                  </c:pt>
                  <c:pt idx="7">
                    <c:v>9</c:v>
                  </c:pt>
                  <c:pt idx="8">
                    <c:v>10</c:v>
                  </c:pt>
                  <c:pt idx="9">
                    <c:v>11</c:v>
                  </c:pt>
                  <c:pt idx="10">
                    <c:v>12</c:v>
                  </c:pt>
                  <c:pt idx="11">
                    <c:v>13</c:v>
                  </c:pt>
                  <c:pt idx="12">
                    <c:v>14</c:v>
                  </c:pt>
                  <c:pt idx="13">
                    <c:v>15</c:v>
                  </c:pt>
                  <c:pt idx="14">
                    <c:v>16</c:v>
                  </c:pt>
                  <c:pt idx="15">
                    <c:v>17</c:v>
                  </c:pt>
                  <c:pt idx="16">
                    <c:v>18</c:v>
                  </c:pt>
                  <c:pt idx="17">
                    <c:v>19</c:v>
                  </c:pt>
                  <c:pt idx="18">
                    <c:v>20</c:v>
                  </c:pt>
                  <c:pt idx="19">
                    <c:v>21</c:v>
                  </c:pt>
                  <c:pt idx="20">
                    <c:v>22</c:v>
                  </c:pt>
                  <c:pt idx="21">
                    <c:v>23</c:v>
                  </c:pt>
                  <c:pt idx="22">
                    <c:v>24</c:v>
                  </c:pt>
                  <c:pt idx="23">
                    <c:v>25</c:v>
                  </c:pt>
                  <c:pt idx="24">
                    <c:v>26</c:v>
                  </c:pt>
                  <c:pt idx="25">
                    <c:v>27</c:v>
                  </c:pt>
                  <c:pt idx="26">
                    <c:v>28</c:v>
                  </c:pt>
                  <c:pt idx="27">
                    <c:v>29</c:v>
                  </c:pt>
                  <c:pt idx="28">
                    <c:v>30</c:v>
                  </c:pt>
                  <c:pt idx="29">
                    <c:v>31</c:v>
                  </c:pt>
                  <c:pt idx="30">
                    <c:v>32</c:v>
                  </c:pt>
                  <c:pt idx="31">
                    <c:v>33</c:v>
                  </c:pt>
                  <c:pt idx="32">
                    <c:v>34</c:v>
                  </c:pt>
                  <c:pt idx="33">
                    <c:v>35</c:v>
                  </c:pt>
                  <c:pt idx="34">
                    <c:v>36</c:v>
                  </c:pt>
                  <c:pt idx="35">
                    <c:v>37</c:v>
                  </c:pt>
                  <c:pt idx="36">
                    <c:v>38</c:v>
                  </c:pt>
                  <c:pt idx="37">
                    <c:v>39</c:v>
                  </c:pt>
                  <c:pt idx="38">
                    <c:v>41</c:v>
                  </c:pt>
                  <c:pt idx="39">
                    <c:v>42</c:v>
                  </c:pt>
                  <c:pt idx="40">
                    <c:v>43</c:v>
                  </c:pt>
                  <c:pt idx="41">
                    <c:v>44</c:v>
                  </c:pt>
                  <c:pt idx="42">
                    <c:v>45</c:v>
                  </c:pt>
                  <c:pt idx="43">
                    <c:v>46</c:v>
                  </c:pt>
                  <c:pt idx="44">
                    <c:v>47</c:v>
                  </c:pt>
                  <c:pt idx="45">
                    <c:v>48</c:v>
                  </c:pt>
                  <c:pt idx="46">
                    <c:v>49</c:v>
                  </c:pt>
                  <c:pt idx="47">
                    <c:v>50</c:v>
                  </c:pt>
                  <c:pt idx="48">
                    <c:v>51</c:v>
                  </c:pt>
                  <c:pt idx="49">
                    <c:v>52</c:v>
                  </c:pt>
                  <c:pt idx="50">
                    <c:v>EoY</c:v>
                  </c:pt>
                  <c:pt idx="51">
                    <c:v>1</c:v>
                  </c:pt>
                  <c:pt idx="52">
                    <c:v>2</c:v>
                  </c:pt>
                  <c:pt idx="53">
                    <c:v>3</c:v>
                  </c:pt>
                  <c:pt idx="54">
                    <c:v>4</c:v>
                  </c:pt>
                  <c:pt idx="55">
                    <c:v>5</c:v>
                  </c:pt>
                  <c:pt idx="56">
                    <c:v>6</c:v>
                  </c:pt>
                  <c:pt idx="57">
                    <c:v>8</c:v>
                  </c:pt>
                  <c:pt idx="58">
                    <c:v>9</c:v>
                  </c:pt>
                  <c:pt idx="59">
                    <c:v>10</c:v>
                  </c:pt>
                  <c:pt idx="60">
                    <c:v>11</c:v>
                  </c:pt>
                  <c:pt idx="61">
                    <c:v>12</c:v>
                  </c:pt>
                  <c:pt idx="62">
                    <c:v>13</c:v>
                  </c:pt>
                  <c:pt idx="63">
                    <c:v>14</c:v>
                  </c:pt>
                  <c:pt idx="64">
                    <c:v>15</c:v>
                  </c:pt>
                  <c:pt idx="65">
                    <c:v>16</c:v>
                  </c:pt>
                  <c:pt idx="66">
                    <c:v>17</c:v>
                  </c:pt>
                  <c:pt idx="67">
                    <c:v>18</c:v>
                  </c:pt>
                  <c:pt idx="68">
                    <c:v>19</c:v>
                  </c:pt>
                  <c:pt idx="69">
                    <c:v>20</c:v>
                  </c:pt>
                  <c:pt idx="70">
                    <c:v>21</c:v>
                  </c:pt>
                  <c:pt idx="71">
                    <c:v>22</c:v>
                  </c:pt>
                  <c:pt idx="72">
                    <c:v>23</c:v>
                  </c:pt>
                  <c:pt idx="73">
                    <c:v>24</c:v>
                  </c:pt>
                  <c:pt idx="74">
                    <c:v>25</c:v>
                  </c:pt>
                  <c:pt idx="75">
                    <c:v>26</c:v>
                  </c:pt>
                  <c:pt idx="76">
                    <c:v>27</c:v>
                  </c:pt>
                  <c:pt idx="77">
                    <c:v>28</c:v>
                  </c:pt>
                  <c:pt idx="78">
                    <c:v>29</c:v>
                  </c:pt>
                  <c:pt idx="79">
                    <c:v>30</c:v>
                  </c:pt>
                  <c:pt idx="80">
                    <c:v>31</c:v>
                  </c:pt>
                  <c:pt idx="81">
                    <c:v>32</c:v>
                  </c:pt>
                  <c:pt idx="82">
                    <c:v>33</c:v>
                  </c:pt>
                  <c:pt idx="83">
                    <c:v>34</c:v>
                  </c:pt>
                  <c:pt idx="84">
                    <c:v>35</c:v>
                  </c:pt>
                  <c:pt idx="85">
                    <c:v>36</c:v>
                  </c:pt>
                  <c:pt idx="86">
                    <c:v>37</c:v>
                  </c:pt>
                </c:lvl>
                <c:lvl>
                  <c:pt idx="0">
                    <c:v>2025</c:v>
                  </c:pt>
                  <c:pt idx="51">
                    <c:v>2026</c:v>
                  </c:pt>
                </c:lvl>
              </c:multiLvlStrCache>
            </c:multiLvlStrRef>
          </c:cat>
          <c:val>
            <c:numRef>
              <c:f>modules!$CX$11:$GF$11</c:f>
              <c:numCache>
                <c:formatCode>General</c:formatCode>
                <c:ptCount val="87"/>
                <c:pt idx="11">
                  <c:v>0.87</c:v>
                </c:pt>
                <c:pt idx="12">
                  <c:v>0.87</c:v>
                </c:pt>
                <c:pt idx="13">
                  <c:v>0.87</c:v>
                </c:pt>
                <c:pt idx="14">
                  <c:v>0.87</c:v>
                </c:pt>
                <c:pt idx="15">
                  <c:v>0.83</c:v>
                </c:pt>
                <c:pt idx="16">
                  <c:v>0.83</c:v>
                </c:pt>
                <c:pt idx="17">
                  <c:v>0.83</c:v>
                </c:pt>
                <c:pt idx="18">
                  <c:v>0.78</c:v>
                </c:pt>
                <c:pt idx="19">
                  <c:v>0.78</c:v>
                </c:pt>
                <c:pt idx="20">
                  <c:v>0.78</c:v>
                </c:pt>
                <c:pt idx="21">
                  <c:v>0.78</c:v>
                </c:pt>
                <c:pt idx="22">
                  <c:v>0.78</c:v>
                </c:pt>
                <c:pt idx="23">
                  <c:v>0.78</c:v>
                </c:pt>
                <c:pt idx="24">
                  <c:v>0.78</c:v>
                </c:pt>
                <c:pt idx="25">
                  <c:v>0.78</c:v>
                </c:pt>
                <c:pt idx="26">
                  <c:v>0.78</c:v>
                </c:pt>
                <c:pt idx="27">
                  <c:v>0.78</c:v>
                </c:pt>
                <c:pt idx="28">
                  <c:v>0.79</c:v>
                </c:pt>
                <c:pt idx="29">
                  <c:v>0.79</c:v>
                </c:pt>
                <c:pt idx="30">
                  <c:v>0.79</c:v>
                </c:pt>
                <c:pt idx="31">
                  <c:v>0.79</c:v>
                </c:pt>
                <c:pt idx="32">
                  <c:v>0.79</c:v>
                </c:pt>
                <c:pt idx="33">
                  <c:v>0.79</c:v>
                </c:pt>
                <c:pt idx="34">
                  <c:v>0.79</c:v>
                </c:pt>
                <c:pt idx="35">
                  <c:v>0.79</c:v>
                </c:pt>
                <c:pt idx="36">
                  <c:v>0.79</c:v>
                </c:pt>
                <c:pt idx="37">
                  <c:v>0.79</c:v>
                </c:pt>
                <c:pt idx="38">
                  <c:v>0.79</c:v>
                </c:pt>
                <c:pt idx="39">
                  <c:v>0.79</c:v>
                </c:pt>
                <c:pt idx="40">
                  <c:v>0.79</c:v>
                </c:pt>
                <c:pt idx="41">
                  <c:v>0.79</c:v>
                </c:pt>
                <c:pt idx="42">
                  <c:v>0.79</c:v>
                </c:pt>
                <c:pt idx="43">
                  <c:v>0.78</c:v>
                </c:pt>
                <c:pt idx="44">
                  <c:v>0.78</c:v>
                </c:pt>
                <c:pt idx="45">
                  <c:v>0.78</c:v>
                </c:pt>
                <c:pt idx="46">
                  <c:v>0.76</c:v>
                </c:pt>
                <c:pt idx="47">
                  <c:v>0.76</c:v>
                </c:pt>
                <c:pt idx="48">
                  <c:v>0.76</c:v>
                </c:pt>
                <c:pt idx="49">
                  <c:v>0.76</c:v>
                </c:pt>
                <c:pt idx="50">
                  <c:v>0.76</c:v>
                </c:pt>
                <c:pt idx="51">
                  <c:v>0.76</c:v>
                </c:pt>
                <c:pt idx="52">
                  <c:v>0.83</c:v>
                </c:pt>
                <c:pt idx="53">
                  <c:v>0.83</c:v>
                </c:pt>
                <c:pt idx="54">
                  <c:v>0.83</c:v>
                </c:pt>
                <c:pt idx="55">
                  <c:v>0.83</c:v>
                </c:pt>
                <c:pt idx="56">
                  <c:v>0.83</c:v>
                </c:pt>
                <c:pt idx="57">
                  <c:v>0.9</c:v>
                </c:pt>
                <c:pt idx="58">
                  <c:v>0.9</c:v>
                </c:pt>
                <c:pt idx="59">
                  <c:v>0.9</c:v>
                </c:pt>
                <c:pt idx="60">
                  <c:v>0.9</c:v>
                </c:pt>
                <c:pt idx="61">
                  <c:v>0.88</c:v>
                </c:pt>
                <c:pt idx="62">
                  <c:v>0.875</c:v>
                </c:pt>
                <c:pt idx="63">
                  <c:v>0.86</c:v>
                </c:pt>
                <c:pt idx="64">
                  <c:v>0.86</c:v>
                </c:pt>
                <c:pt idx="65">
                  <c:v>0.84499999999999997</c:v>
                </c:pt>
                <c:pt idx="66">
                  <c:v>0.84499999999999997</c:v>
                </c:pt>
                <c:pt idx="67">
                  <c:v>0.84499999999999997</c:v>
                </c:pt>
                <c:pt idx="68">
                  <c:v>0.84</c:v>
                </c:pt>
                <c:pt idx="69">
                  <c:v>0.83</c:v>
                </c:pt>
                <c:pt idx="70">
                  <c:v>0.83</c:v>
                </c:pt>
                <c:pt idx="71">
                  <c:v>0.83</c:v>
                </c:pt>
                <c:pt idx="72">
                  <c:v>0.83</c:v>
                </c:pt>
                <c:pt idx="73">
                  <c:v>0.83</c:v>
                </c:pt>
                <c:pt idx="74">
                  <c:v>0.83</c:v>
                </c:pt>
                <c:pt idx="75">
                  <c:v>0.83</c:v>
                </c:pt>
                <c:pt idx="76">
                  <c:v>0.83</c:v>
                </c:pt>
                <c:pt idx="77">
                  <c:v>0.83</c:v>
                </c:pt>
                <c:pt idx="78">
                  <c:v>0.83</c:v>
                </c:pt>
                <c:pt idx="79">
                  <c:v>0.83</c:v>
                </c:pt>
                <c:pt idx="80">
                  <c:v>0.83</c:v>
                </c:pt>
                <c:pt idx="81">
                  <c:v>0.83</c:v>
                </c:pt>
                <c:pt idx="82">
                  <c:v>0.83</c:v>
                </c:pt>
                <c:pt idx="83">
                  <c:v>0.83</c:v>
                </c:pt>
                <c:pt idx="84">
                  <c:v>0.83</c:v>
                </c:pt>
                <c:pt idx="85">
                  <c:v>0.83</c:v>
                </c:pt>
                <c:pt idx="86">
                  <c:v>0.81</c:v>
                </c:pt>
              </c:numCache>
            </c:numRef>
          </c:val>
          <c:smooth val="0"/>
          <c:extLst>
            <c:ext xmlns:c16="http://schemas.microsoft.com/office/drawing/2014/chart" uri="{C3380CC4-5D6E-409C-BE32-E72D297353CC}">
              <c16:uniqueId val="{00000007-0846-4133-B357-E0D2533DE9AC}"/>
            </c:ext>
          </c:extLst>
        </c:ser>
        <c:ser>
          <c:idx val="8"/>
          <c:order val="8"/>
          <c:tx>
            <c:strRef>
              <c:f>modules!$A$12</c:f>
              <c:strCache>
                <c:ptCount val="1"/>
                <c:pt idx="0">
                  <c:v>BC Module (655W+) 210R</c:v>
                </c:pt>
              </c:strCache>
            </c:strRef>
          </c:tx>
          <c:spPr>
            <a:ln w="28575" cap="rnd">
              <a:solidFill>
                <a:schemeClr val="accent3">
                  <a:lumMod val="60000"/>
                </a:schemeClr>
              </a:solidFill>
              <a:round/>
            </a:ln>
            <a:effectLst/>
          </c:spPr>
          <c:marker>
            <c:symbol val="none"/>
          </c:marker>
          <c:cat>
            <c:multiLvlStrRef>
              <c:f>modules!$CX$2:$GF$3</c:f>
              <c:multiLvlStrCache>
                <c:ptCount val="87"/>
                <c:lvl>
                  <c:pt idx="0">
                    <c:v>1</c:v>
                  </c:pt>
                  <c:pt idx="1">
                    <c:v>2</c:v>
                  </c:pt>
                  <c:pt idx="2">
                    <c:v>3</c:v>
                  </c:pt>
                  <c:pt idx="3">
                    <c:v>4</c:v>
                  </c:pt>
                  <c:pt idx="4">
                    <c:v>6</c:v>
                  </c:pt>
                  <c:pt idx="5">
                    <c:v>7</c:v>
                  </c:pt>
                  <c:pt idx="6">
                    <c:v>8</c:v>
                  </c:pt>
                  <c:pt idx="7">
                    <c:v>9</c:v>
                  </c:pt>
                  <c:pt idx="8">
                    <c:v>10</c:v>
                  </c:pt>
                  <c:pt idx="9">
                    <c:v>11</c:v>
                  </c:pt>
                  <c:pt idx="10">
                    <c:v>12</c:v>
                  </c:pt>
                  <c:pt idx="11">
                    <c:v>13</c:v>
                  </c:pt>
                  <c:pt idx="12">
                    <c:v>14</c:v>
                  </c:pt>
                  <c:pt idx="13">
                    <c:v>15</c:v>
                  </c:pt>
                  <c:pt idx="14">
                    <c:v>16</c:v>
                  </c:pt>
                  <c:pt idx="15">
                    <c:v>17</c:v>
                  </c:pt>
                  <c:pt idx="16">
                    <c:v>18</c:v>
                  </c:pt>
                  <c:pt idx="17">
                    <c:v>19</c:v>
                  </c:pt>
                  <c:pt idx="18">
                    <c:v>20</c:v>
                  </c:pt>
                  <c:pt idx="19">
                    <c:v>21</c:v>
                  </c:pt>
                  <c:pt idx="20">
                    <c:v>22</c:v>
                  </c:pt>
                  <c:pt idx="21">
                    <c:v>23</c:v>
                  </c:pt>
                  <c:pt idx="22">
                    <c:v>24</c:v>
                  </c:pt>
                  <c:pt idx="23">
                    <c:v>25</c:v>
                  </c:pt>
                  <c:pt idx="24">
                    <c:v>26</c:v>
                  </c:pt>
                  <c:pt idx="25">
                    <c:v>27</c:v>
                  </c:pt>
                  <c:pt idx="26">
                    <c:v>28</c:v>
                  </c:pt>
                  <c:pt idx="27">
                    <c:v>29</c:v>
                  </c:pt>
                  <c:pt idx="28">
                    <c:v>30</c:v>
                  </c:pt>
                  <c:pt idx="29">
                    <c:v>31</c:v>
                  </c:pt>
                  <c:pt idx="30">
                    <c:v>32</c:v>
                  </c:pt>
                  <c:pt idx="31">
                    <c:v>33</c:v>
                  </c:pt>
                  <c:pt idx="32">
                    <c:v>34</c:v>
                  </c:pt>
                  <c:pt idx="33">
                    <c:v>35</c:v>
                  </c:pt>
                  <c:pt idx="34">
                    <c:v>36</c:v>
                  </c:pt>
                  <c:pt idx="35">
                    <c:v>37</c:v>
                  </c:pt>
                  <c:pt idx="36">
                    <c:v>38</c:v>
                  </c:pt>
                  <c:pt idx="37">
                    <c:v>39</c:v>
                  </c:pt>
                  <c:pt idx="38">
                    <c:v>41</c:v>
                  </c:pt>
                  <c:pt idx="39">
                    <c:v>42</c:v>
                  </c:pt>
                  <c:pt idx="40">
                    <c:v>43</c:v>
                  </c:pt>
                  <c:pt idx="41">
                    <c:v>44</c:v>
                  </c:pt>
                  <c:pt idx="42">
                    <c:v>45</c:v>
                  </c:pt>
                  <c:pt idx="43">
                    <c:v>46</c:v>
                  </c:pt>
                  <c:pt idx="44">
                    <c:v>47</c:v>
                  </c:pt>
                  <c:pt idx="45">
                    <c:v>48</c:v>
                  </c:pt>
                  <c:pt idx="46">
                    <c:v>49</c:v>
                  </c:pt>
                  <c:pt idx="47">
                    <c:v>50</c:v>
                  </c:pt>
                  <c:pt idx="48">
                    <c:v>51</c:v>
                  </c:pt>
                  <c:pt idx="49">
                    <c:v>52</c:v>
                  </c:pt>
                  <c:pt idx="50">
                    <c:v>EoY</c:v>
                  </c:pt>
                  <c:pt idx="51">
                    <c:v>1</c:v>
                  </c:pt>
                  <c:pt idx="52">
                    <c:v>2</c:v>
                  </c:pt>
                  <c:pt idx="53">
                    <c:v>3</c:v>
                  </c:pt>
                  <c:pt idx="54">
                    <c:v>4</c:v>
                  </c:pt>
                  <c:pt idx="55">
                    <c:v>5</c:v>
                  </c:pt>
                  <c:pt idx="56">
                    <c:v>6</c:v>
                  </c:pt>
                  <c:pt idx="57">
                    <c:v>8</c:v>
                  </c:pt>
                  <c:pt idx="58">
                    <c:v>9</c:v>
                  </c:pt>
                  <c:pt idx="59">
                    <c:v>10</c:v>
                  </c:pt>
                  <c:pt idx="60">
                    <c:v>11</c:v>
                  </c:pt>
                  <c:pt idx="61">
                    <c:v>12</c:v>
                  </c:pt>
                  <c:pt idx="62">
                    <c:v>13</c:v>
                  </c:pt>
                  <c:pt idx="63">
                    <c:v>14</c:v>
                  </c:pt>
                  <c:pt idx="64">
                    <c:v>15</c:v>
                  </c:pt>
                  <c:pt idx="65">
                    <c:v>16</c:v>
                  </c:pt>
                  <c:pt idx="66">
                    <c:v>17</c:v>
                  </c:pt>
                  <c:pt idx="67">
                    <c:v>18</c:v>
                  </c:pt>
                  <c:pt idx="68">
                    <c:v>19</c:v>
                  </c:pt>
                  <c:pt idx="69">
                    <c:v>20</c:v>
                  </c:pt>
                  <c:pt idx="70">
                    <c:v>21</c:v>
                  </c:pt>
                  <c:pt idx="71">
                    <c:v>22</c:v>
                  </c:pt>
                  <c:pt idx="72">
                    <c:v>23</c:v>
                  </c:pt>
                  <c:pt idx="73">
                    <c:v>24</c:v>
                  </c:pt>
                  <c:pt idx="74">
                    <c:v>25</c:v>
                  </c:pt>
                  <c:pt idx="75">
                    <c:v>26</c:v>
                  </c:pt>
                  <c:pt idx="76">
                    <c:v>27</c:v>
                  </c:pt>
                  <c:pt idx="77">
                    <c:v>28</c:v>
                  </c:pt>
                  <c:pt idx="78">
                    <c:v>29</c:v>
                  </c:pt>
                  <c:pt idx="79">
                    <c:v>30</c:v>
                  </c:pt>
                  <c:pt idx="80">
                    <c:v>31</c:v>
                  </c:pt>
                  <c:pt idx="81">
                    <c:v>32</c:v>
                  </c:pt>
                  <c:pt idx="82">
                    <c:v>33</c:v>
                  </c:pt>
                  <c:pt idx="83">
                    <c:v>34</c:v>
                  </c:pt>
                  <c:pt idx="84">
                    <c:v>35</c:v>
                  </c:pt>
                  <c:pt idx="85">
                    <c:v>36</c:v>
                  </c:pt>
                  <c:pt idx="86">
                    <c:v>37</c:v>
                  </c:pt>
                </c:lvl>
                <c:lvl>
                  <c:pt idx="0">
                    <c:v>2025</c:v>
                  </c:pt>
                  <c:pt idx="51">
                    <c:v>2026</c:v>
                  </c:pt>
                </c:lvl>
              </c:multiLvlStrCache>
            </c:multiLvlStrRef>
          </c:cat>
          <c:val>
            <c:numRef>
              <c:f>modules!$CX$12:$GF$12</c:f>
              <c:numCache>
                <c:formatCode>General</c:formatCode>
                <c:ptCount val="87"/>
                <c:pt idx="11">
                  <c:v>0.80500000000000005</c:v>
                </c:pt>
                <c:pt idx="12">
                  <c:v>0.80500000000000005</c:v>
                </c:pt>
                <c:pt idx="13">
                  <c:v>0.80500000000000005</c:v>
                </c:pt>
                <c:pt idx="14">
                  <c:v>0.80500000000000005</c:v>
                </c:pt>
                <c:pt idx="15">
                  <c:v>0.8</c:v>
                </c:pt>
                <c:pt idx="16">
                  <c:v>0.8</c:v>
                </c:pt>
                <c:pt idx="17">
                  <c:v>0.8</c:v>
                </c:pt>
                <c:pt idx="18">
                  <c:v>0.76</c:v>
                </c:pt>
                <c:pt idx="19">
                  <c:v>0.76</c:v>
                </c:pt>
                <c:pt idx="20">
                  <c:v>0.76</c:v>
                </c:pt>
                <c:pt idx="21">
                  <c:v>0.76</c:v>
                </c:pt>
                <c:pt idx="22">
                  <c:v>0.76</c:v>
                </c:pt>
                <c:pt idx="23">
                  <c:v>0.76</c:v>
                </c:pt>
                <c:pt idx="24">
                  <c:v>0.76</c:v>
                </c:pt>
                <c:pt idx="25">
                  <c:v>0.76</c:v>
                </c:pt>
                <c:pt idx="26">
                  <c:v>0.76</c:v>
                </c:pt>
                <c:pt idx="27">
                  <c:v>0.76</c:v>
                </c:pt>
                <c:pt idx="28">
                  <c:v>0.76</c:v>
                </c:pt>
                <c:pt idx="29">
                  <c:v>0.76</c:v>
                </c:pt>
                <c:pt idx="30">
                  <c:v>0.76</c:v>
                </c:pt>
                <c:pt idx="31">
                  <c:v>0.76</c:v>
                </c:pt>
                <c:pt idx="32">
                  <c:v>0.76</c:v>
                </c:pt>
                <c:pt idx="33">
                  <c:v>0.76</c:v>
                </c:pt>
                <c:pt idx="34">
                  <c:v>0.76</c:v>
                </c:pt>
                <c:pt idx="35">
                  <c:v>0.76</c:v>
                </c:pt>
                <c:pt idx="36">
                  <c:v>0.76</c:v>
                </c:pt>
                <c:pt idx="37">
                  <c:v>0.76</c:v>
                </c:pt>
                <c:pt idx="38">
                  <c:v>0.76</c:v>
                </c:pt>
                <c:pt idx="39">
                  <c:v>0.76</c:v>
                </c:pt>
                <c:pt idx="40">
                  <c:v>0.76</c:v>
                </c:pt>
                <c:pt idx="41">
                  <c:v>0.76</c:v>
                </c:pt>
                <c:pt idx="42">
                  <c:v>0.76</c:v>
                </c:pt>
                <c:pt idx="43">
                  <c:v>0.76</c:v>
                </c:pt>
                <c:pt idx="44">
                  <c:v>0.76</c:v>
                </c:pt>
                <c:pt idx="45">
                  <c:v>0.76</c:v>
                </c:pt>
                <c:pt idx="46">
                  <c:v>0.76</c:v>
                </c:pt>
                <c:pt idx="47">
                  <c:v>0.75</c:v>
                </c:pt>
                <c:pt idx="48">
                  <c:v>0.75</c:v>
                </c:pt>
                <c:pt idx="49">
                  <c:v>0.75</c:v>
                </c:pt>
                <c:pt idx="50">
                  <c:v>0.75</c:v>
                </c:pt>
                <c:pt idx="51">
                  <c:v>0.75</c:v>
                </c:pt>
                <c:pt idx="52">
                  <c:v>0.75</c:v>
                </c:pt>
                <c:pt idx="53">
                  <c:v>0.75</c:v>
                </c:pt>
                <c:pt idx="54">
                  <c:v>0.82</c:v>
                </c:pt>
                <c:pt idx="55">
                  <c:v>0.82</c:v>
                </c:pt>
                <c:pt idx="56">
                  <c:v>0.82</c:v>
                </c:pt>
                <c:pt idx="57">
                  <c:v>0.82</c:v>
                </c:pt>
                <c:pt idx="58">
                  <c:v>0.82</c:v>
                </c:pt>
                <c:pt idx="59">
                  <c:v>0.82</c:v>
                </c:pt>
                <c:pt idx="60">
                  <c:v>0.82</c:v>
                </c:pt>
                <c:pt idx="61">
                  <c:v>0.82</c:v>
                </c:pt>
                <c:pt idx="62">
                  <c:v>0.82</c:v>
                </c:pt>
                <c:pt idx="63">
                  <c:v>0.82</c:v>
                </c:pt>
                <c:pt idx="64">
                  <c:v>0.82</c:v>
                </c:pt>
                <c:pt idx="65">
                  <c:v>0.79</c:v>
                </c:pt>
                <c:pt idx="66">
                  <c:v>0.79</c:v>
                </c:pt>
                <c:pt idx="67">
                  <c:v>0.79</c:v>
                </c:pt>
                <c:pt idx="68">
                  <c:v>0.79</c:v>
                </c:pt>
                <c:pt idx="69">
                  <c:v>0.79</c:v>
                </c:pt>
                <c:pt idx="70">
                  <c:v>0.79</c:v>
                </c:pt>
                <c:pt idx="71">
                  <c:v>0.79</c:v>
                </c:pt>
                <c:pt idx="72">
                  <c:v>0.79</c:v>
                </c:pt>
                <c:pt idx="73">
                  <c:v>0.79</c:v>
                </c:pt>
                <c:pt idx="74">
                  <c:v>0.79</c:v>
                </c:pt>
                <c:pt idx="75">
                  <c:v>0.79</c:v>
                </c:pt>
                <c:pt idx="76">
                  <c:v>0.79</c:v>
                </c:pt>
                <c:pt idx="77">
                  <c:v>0.79</c:v>
                </c:pt>
                <c:pt idx="78">
                  <c:v>0.79</c:v>
                </c:pt>
                <c:pt idx="79">
                  <c:v>0.79</c:v>
                </c:pt>
                <c:pt idx="80">
                  <c:v>0.79</c:v>
                </c:pt>
                <c:pt idx="81">
                  <c:v>0.79</c:v>
                </c:pt>
                <c:pt idx="82">
                  <c:v>0.79</c:v>
                </c:pt>
                <c:pt idx="83">
                  <c:v>0.79</c:v>
                </c:pt>
                <c:pt idx="84">
                  <c:v>0.79</c:v>
                </c:pt>
                <c:pt idx="85">
                  <c:v>0.79</c:v>
                </c:pt>
                <c:pt idx="86">
                  <c:v>0.78</c:v>
                </c:pt>
              </c:numCache>
            </c:numRef>
          </c:val>
          <c:smooth val="0"/>
          <c:extLst>
            <c:ext xmlns:c16="http://schemas.microsoft.com/office/drawing/2014/chart" uri="{C3380CC4-5D6E-409C-BE32-E72D297353CC}">
              <c16:uniqueId val="{00000008-0846-4133-B357-E0D2533DE9AC}"/>
            </c:ext>
          </c:extLst>
        </c:ser>
        <c:ser>
          <c:idx val="9"/>
          <c:order val="9"/>
          <c:tx>
            <c:strRef>
              <c:f>modules!$A$13</c:f>
              <c:strCache>
                <c:ptCount val="1"/>
                <c:pt idx="0">
                  <c:v>210 mm HJT  Module (715-730W)</c:v>
                </c:pt>
              </c:strCache>
            </c:strRef>
          </c:tx>
          <c:spPr>
            <a:ln w="28575" cap="rnd">
              <a:solidFill>
                <a:schemeClr val="accent4">
                  <a:lumMod val="60000"/>
                </a:schemeClr>
              </a:solidFill>
              <a:round/>
            </a:ln>
            <a:effectLst/>
          </c:spPr>
          <c:marker>
            <c:symbol val="none"/>
          </c:marker>
          <c:cat>
            <c:multiLvlStrRef>
              <c:f>modules!$CX$2:$GF$3</c:f>
              <c:multiLvlStrCache>
                <c:ptCount val="87"/>
                <c:lvl>
                  <c:pt idx="0">
                    <c:v>1</c:v>
                  </c:pt>
                  <c:pt idx="1">
                    <c:v>2</c:v>
                  </c:pt>
                  <c:pt idx="2">
                    <c:v>3</c:v>
                  </c:pt>
                  <c:pt idx="3">
                    <c:v>4</c:v>
                  </c:pt>
                  <c:pt idx="4">
                    <c:v>6</c:v>
                  </c:pt>
                  <c:pt idx="5">
                    <c:v>7</c:v>
                  </c:pt>
                  <c:pt idx="6">
                    <c:v>8</c:v>
                  </c:pt>
                  <c:pt idx="7">
                    <c:v>9</c:v>
                  </c:pt>
                  <c:pt idx="8">
                    <c:v>10</c:v>
                  </c:pt>
                  <c:pt idx="9">
                    <c:v>11</c:v>
                  </c:pt>
                  <c:pt idx="10">
                    <c:v>12</c:v>
                  </c:pt>
                  <c:pt idx="11">
                    <c:v>13</c:v>
                  </c:pt>
                  <c:pt idx="12">
                    <c:v>14</c:v>
                  </c:pt>
                  <c:pt idx="13">
                    <c:v>15</c:v>
                  </c:pt>
                  <c:pt idx="14">
                    <c:v>16</c:v>
                  </c:pt>
                  <c:pt idx="15">
                    <c:v>17</c:v>
                  </c:pt>
                  <c:pt idx="16">
                    <c:v>18</c:v>
                  </c:pt>
                  <c:pt idx="17">
                    <c:v>19</c:v>
                  </c:pt>
                  <c:pt idx="18">
                    <c:v>20</c:v>
                  </c:pt>
                  <c:pt idx="19">
                    <c:v>21</c:v>
                  </c:pt>
                  <c:pt idx="20">
                    <c:v>22</c:v>
                  </c:pt>
                  <c:pt idx="21">
                    <c:v>23</c:v>
                  </c:pt>
                  <c:pt idx="22">
                    <c:v>24</c:v>
                  </c:pt>
                  <c:pt idx="23">
                    <c:v>25</c:v>
                  </c:pt>
                  <c:pt idx="24">
                    <c:v>26</c:v>
                  </c:pt>
                  <c:pt idx="25">
                    <c:v>27</c:v>
                  </c:pt>
                  <c:pt idx="26">
                    <c:v>28</c:v>
                  </c:pt>
                  <c:pt idx="27">
                    <c:v>29</c:v>
                  </c:pt>
                  <c:pt idx="28">
                    <c:v>30</c:v>
                  </c:pt>
                  <c:pt idx="29">
                    <c:v>31</c:v>
                  </c:pt>
                  <c:pt idx="30">
                    <c:v>32</c:v>
                  </c:pt>
                  <c:pt idx="31">
                    <c:v>33</c:v>
                  </c:pt>
                  <c:pt idx="32">
                    <c:v>34</c:v>
                  </c:pt>
                  <c:pt idx="33">
                    <c:v>35</c:v>
                  </c:pt>
                  <c:pt idx="34">
                    <c:v>36</c:v>
                  </c:pt>
                  <c:pt idx="35">
                    <c:v>37</c:v>
                  </c:pt>
                  <c:pt idx="36">
                    <c:v>38</c:v>
                  </c:pt>
                  <c:pt idx="37">
                    <c:v>39</c:v>
                  </c:pt>
                  <c:pt idx="38">
                    <c:v>41</c:v>
                  </c:pt>
                  <c:pt idx="39">
                    <c:v>42</c:v>
                  </c:pt>
                  <c:pt idx="40">
                    <c:v>43</c:v>
                  </c:pt>
                  <c:pt idx="41">
                    <c:v>44</c:v>
                  </c:pt>
                  <c:pt idx="42">
                    <c:v>45</c:v>
                  </c:pt>
                  <c:pt idx="43">
                    <c:v>46</c:v>
                  </c:pt>
                  <c:pt idx="44">
                    <c:v>47</c:v>
                  </c:pt>
                  <c:pt idx="45">
                    <c:v>48</c:v>
                  </c:pt>
                  <c:pt idx="46">
                    <c:v>49</c:v>
                  </c:pt>
                  <c:pt idx="47">
                    <c:v>50</c:v>
                  </c:pt>
                  <c:pt idx="48">
                    <c:v>51</c:v>
                  </c:pt>
                  <c:pt idx="49">
                    <c:v>52</c:v>
                  </c:pt>
                  <c:pt idx="50">
                    <c:v>EoY</c:v>
                  </c:pt>
                  <c:pt idx="51">
                    <c:v>1</c:v>
                  </c:pt>
                  <c:pt idx="52">
                    <c:v>2</c:v>
                  </c:pt>
                  <c:pt idx="53">
                    <c:v>3</c:v>
                  </c:pt>
                  <c:pt idx="54">
                    <c:v>4</c:v>
                  </c:pt>
                  <c:pt idx="55">
                    <c:v>5</c:v>
                  </c:pt>
                  <c:pt idx="56">
                    <c:v>6</c:v>
                  </c:pt>
                  <c:pt idx="57">
                    <c:v>8</c:v>
                  </c:pt>
                  <c:pt idx="58">
                    <c:v>9</c:v>
                  </c:pt>
                  <c:pt idx="59">
                    <c:v>10</c:v>
                  </c:pt>
                  <c:pt idx="60">
                    <c:v>11</c:v>
                  </c:pt>
                  <c:pt idx="61">
                    <c:v>12</c:v>
                  </c:pt>
                  <c:pt idx="62">
                    <c:v>13</c:v>
                  </c:pt>
                  <c:pt idx="63">
                    <c:v>14</c:v>
                  </c:pt>
                  <c:pt idx="64">
                    <c:v>15</c:v>
                  </c:pt>
                  <c:pt idx="65">
                    <c:v>16</c:v>
                  </c:pt>
                  <c:pt idx="66">
                    <c:v>17</c:v>
                  </c:pt>
                  <c:pt idx="67">
                    <c:v>18</c:v>
                  </c:pt>
                  <c:pt idx="68">
                    <c:v>19</c:v>
                  </c:pt>
                  <c:pt idx="69">
                    <c:v>20</c:v>
                  </c:pt>
                  <c:pt idx="70">
                    <c:v>21</c:v>
                  </c:pt>
                  <c:pt idx="71">
                    <c:v>22</c:v>
                  </c:pt>
                  <c:pt idx="72">
                    <c:v>23</c:v>
                  </c:pt>
                  <c:pt idx="73">
                    <c:v>24</c:v>
                  </c:pt>
                  <c:pt idx="74">
                    <c:v>25</c:v>
                  </c:pt>
                  <c:pt idx="75">
                    <c:v>26</c:v>
                  </c:pt>
                  <c:pt idx="76">
                    <c:v>27</c:v>
                  </c:pt>
                  <c:pt idx="77">
                    <c:v>28</c:v>
                  </c:pt>
                  <c:pt idx="78">
                    <c:v>29</c:v>
                  </c:pt>
                  <c:pt idx="79">
                    <c:v>30</c:v>
                  </c:pt>
                  <c:pt idx="80">
                    <c:v>31</c:v>
                  </c:pt>
                  <c:pt idx="81">
                    <c:v>32</c:v>
                  </c:pt>
                  <c:pt idx="82">
                    <c:v>33</c:v>
                  </c:pt>
                  <c:pt idx="83">
                    <c:v>34</c:v>
                  </c:pt>
                  <c:pt idx="84">
                    <c:v>35</c:v>
                  </c:pt>
                  <c:pt idx="85">
                    <c:v>36</c:v>
                  </c:pt>
                  <c:pt idx="86">
                    <c:v>37</c:v>
                  </c:pt>
                </c:lvl>
                <c:lvl>
                  <c:pt idx="0">
                    <c:v>2025</c:v>
                  </c:pt>
                  <c:pt idx="51">
                    <c:v>2026</c:v>
                  </c:pt>
                </c:lvl>
              </c:multiLvlStrCache>
            </c:multiLvlStrRef>
          </c:cat>
          <c:val>
            <c:numRef>
              <c:f>modules!$CX$13:$GF$13</c:f>
              <c:numCache>
                <c:formatCode>General</c:formatCode>
                <c:ptCount val="87"/>
                <c:pt idx="23">
                  <c:v>0.78</c:v>
                </c:pt>
                <c:pt idx="24">
                  <c:v>0.78</c:v>
                </c:pt>
                <c:pt idx="25">
                  <c:v>0.78</c:v>
                </c:pt>
                <c:pt idx="26">
                  <c:v>0.78</c:v>
                </c:pt>
                <c:pt idx="27">
                  <c:v>0.78</c:v>
                </c:pt>
                <c:pt idx="28">
                  <c:v>0.78500000000000003</c:v>
                </c:pt>
                <c:pt idx="29">
                  <c:v>0.78500000000000003</c:v>
                </c:pt>
                <c:pt idx="30">
                  <c:v>0.79</c:v>
                </c:pt>
                <c:pt idx="31">
                  <c:v>0.79</c:v>
                </c:pt>
                <c:pt idx="32">
                  <c:v>0.79</c:v>
                </c:pt>
                <c:pt idx="33">
                  <c:v>0.79</c:v>
                </c:pt>
                <c:pt idx="34">
                  <c:v>0.79</c:v>
                </c:pt>
                <c:pt idx="35">
                  <c:v>0.79</c:v>
                </c:pt>
                <c:pt idx="36">
                  <c:v>0.79</c:v>
                </c:pt>
                <c:pt idx="37">
                  <c:v>0.79</c:v>
                </c:pt>
                <c:pt idx="38">
                  <c:v>0.79</c:v>
                </c:pt>
                <c:pt idx="39">
                  <c:v>0.79</c:v>
                </c:pt>
                <c:pt idx="40">
                  <c:v>0.79</c:v>
                </c:pt>
                <c:pt idx="41">
                  <c:v>0.79</c:v>
                </c:pt>
                <c:pt idx="42">
                  <c:v>0.79</c:v>
                </c:pt>
                <c:pt idx="43">
                  <c:v>0.78500000000000003</c:v>
                </c:pt>
                <c:pt idx="44">
                  <c:v>0.78500000000000003</c:v>
                </c:pt>
                <c:pt idx="45">
                  <c:v>0.78500000000000003</c:v>
                </c:pt>
                <c:pt idx="46">
                  <c:v>0.78</c:v>
                </c:pt>
                <c:pt idx="47">
                  <c:v>0.78</c:v>
                </c:pt>
                <c:pt idx="48">
                  <c:v>0.78</c:v>
                </c:pt>
                <c:pt idx="49">
                  <c:v>0.78</c:v>
                </c:pt>
                <c:pt idx="50">
                  <c:v>0.78</c:v>
                </c:pt>
                <c:pt idx="51">
                  <c:v>0.78</c:v>
                </c:pt>
                <c:pt idx="52">
                  <c:v>0.83</c:v>
                </c:pt>
                <c:pt idx="53">
                  <c:v>0.83</c:v>
                </c:pt>
                <c:pt idx="54">
                  <c:v>0.83</c:v>
                </c:pt>
                <c:pt idx="55">
                  <c:v>0.83</c:v>
                </c:pt>
                <c:pt idx="56">
                  <c:v>0.83</c:v>
                </c:pt>
                <c:pt idx="57">
                  <c:v>0.9</c:v>
                </c:pt>
                <c:pt idx="58">
                  <c:v>0.9</c:v>
                </c:pt>
                <c:pt idx="59">
                  <c:v>0.9</c:v>
                </c:pt>
                <c:pt idx="60">
                  <c:v>0.9</c:v>
                </c:pt>
                <c:pt idx="61">
                  <c:v>0.88</c:v>
                </c:pt>
                <c:pt idx="62">
                  <c:v>0.87</c:v>
                </c:pt>
                <c:pt idx="63">
                  <c:v>0.86</c:v>
                </c:pt>
                <c:pt idx="64">
                  <c:v>0.86</c:v>
                </c:pt>
                <c:pt idx="65">
                  <c:v>0.84499999999999997</c:v>
                </c:pt>
                <c:pt idx="66">
                  <c:v>0.84499999999999997</c:v>
                </c:pt>
                <c:pt idx="67">
                  <c:v>0.84499999999999997</c:v>
                </c:pt>
                <c:pt idx="68">
                  <c:v>0.84499999999999997</c:v>
                </c:pt>
                <c:pt idx="69">
                  <c:v>0.84499999999999997</c:v>
                </c:pt>
                <c:pt idx="70">
                  <c:v>0.84499999999999997</c:v>
                </c:pt>
                <c:pt idx="71">
                  <c:v>0.84499999999999997</c:v>
                </c:pt>
                <c:pt idx="72">
                  <c:v>0.83</c:v>
                </c:pt>
                <c:pt idx="73">
                  <c:v>0.83</c:v>
                </c:pt>
                <c:pt idx="74">
                  <c:v>0.83</c:v>
                </c:pt>
                <c:pt idx="75">
                  <c:v>0.83</c:v>
                </c:pt>
                <c:pt idx="76">
                  <c:v>0.83</c:v>
                </c:pt>
                <c:pt idx="77">
                  <c:v>0.83</c:v>
                </c:pt>
                <c:pt idx="78">
                  <c:v>0.83</c:v>
                </c:pt>
                <c:pt idx="79">
                  <c:v>0.83</c:v>
                </c:pt>
                <c:pt idx="80">
                  <c:v>0.83</c:v>
                </c:pt>
                <c:pt idx="81">
                  <c:v>0.83</c:v>
                </c:pt>
                <c:pt idx="82">
                  <c:v>0.83</c:v>
                </c:pt>
                <c:pt idx="83">
                  <c:v>0.83</c:v>
                </c:pt>
                <c:pt idx="84">
                  <c:v>0.83</c:v>
                </c:pt>
                <c:pt idx="85">
                  <c:v>0.83</c:v>
                </c:pt>
                <c:pt idx="86">
                  <c:v>0.83</c:v>
                </c:pt>
              </c:numCache>
            </c:numRef>
          </c:val>
          <c:smooth val="0"/>
          <c:extLst>
            <c:ext xmlns:c16="http://schemas.microsoft.com/office/drawing/2014/chart" uri="{C3380CC4-5D6E-409C-BE32-E72D297353CC}">
              <c16:uniqueId val="{00000009-0846-4133-B357-E0D2533DE9AC}"/>
            </c:ext>
          </c:extLst>
        </c:ser>
        <c:ser>
          <c:idx val="10"/>
          <c:order val="10"/>
          <c:tx>
            <c:strRef>
              <c:f>modules!$A$14</c:f>
              <c:strCache>
                <c:ptCount val="1"/>
                <c:pt idx="0">
                  <c:v>China Project Price (≥595W)</c:v>
                </c:pt>
              </c:strCache>
            </c:strRef>
          </c:tx>
          <c:spPr>
            <a:ln w="28575" cap="rnd">
              <a:solidFill>
                <a:schemeClr val="accent5">
                  <a:lumMod val="60000"/>
                </a:schemeClr>
              </a:solidFill>
              <a:round/>
            </a:ln>
            <a:effectLst/>
          </c:spPr>
          <c:marker>
            <c:symbol val="none"/>
          </c:marker>
          <c:cat>
            <c:multiLvlStrRef>
              <c:f>modules!$CX$2:$GF$3</c:f>
              <c:multiLvlStrCache>
                <c:ptCount val="87"/>
                <c:lvl>
                  <c:pt idx="0">
                    <c:v>1</c:v>
                  </c:pt>
                  <c:pt idx="1">
                    <c:v>2</c:v>
                  </c:pt>
                  <c:pt idx="2">
                    <c:v>3</c:v>
                  </c:pt>
                  <c:pt idx="3">
                    <c:v>4</c:v>
                  </c:pt>
                  <c:pt idx="4">
                    <c:v>6</c:v>
                  </c:pt>
                  <c:pt idx="5">
                    <c:v>7</c:v>
                  </c:pt>
                  <c:pt idx="6">
                    <c:v>8</c:v>
                  </c:pt>
                  <c:pt idx="7">
                    <c:v>9</c:v>
                  </c:pt>
                  <c:pt idx="8">
                    <c:v>10</c:v>
                  </c:pt>
                  <c:pt idx="9">
                    <c:v>11</c:v>
                  </c:pt>
                  <c:pt idx="10">
                    <c:v>12</c:v>
                  </c:pt>
                  <c:pt idx="11">
                    <c:v>13</c:v>
                  </c:pt>
                  <c:pt idx="12">
                    <c:v>14</c:v>
                  </c:pt>
                  <c:pt idx="13">
                    <c:v>15</c:v>
                  </c:pt>
                  <c:pt idx="14">
                    <c:v>16</c:v>
                  </c:pt>
                  <c:pt idx="15">
                    <c:v>17</c:v>
                  </c:pt>
                  <c:pt idx="16">
                    <c:v>18</c:v>
                  </c:pt>
                  <c:pt idx="17">
                    <c:v>19</c:v>
                  </c:pt>
                  <c:pt idx="18">
                    <c:v>20</c:v>
                  </c:pt>
                  <c:pt idx="19">
                    <c:v>21</c:v>
                  </c:pt>
                  <c:pt idx="20">
                    <c:v>22</c:v>
                  </c:pt>
                  <c:pt idx="21">
                    <c:v>23</c:v>
                  </c:pt>
                  <c:pt idx="22">
                    <c:v>24</c:v>
                  </c:pt>
                  <c:pt idx="23">
                    <c:v>25</c:v>
                  </c:pt>
                  <c:pt idx="24">
                    <c:v>26</c:v>
                  </c:pt>
                  <c:pt idx="25">
                    <c:v>27</c:v>
                  </c:pt>
                  <c:pt idx="26">
                    <c:v>28</c:v>
                  </c:pt>
                  <c:pt idx="27">
                    <c:v>29</c:v>
                  </c:pt>
                  <c:pt idx="28">
                    <c:v>30</c:v>
                  </c:pt>
                  <c:pt idx="29">
                    <c:v>31</c:v>
                  </c:pt>
                  <c:pt idx="30">
                    <c:v>32</c:v>
                  </c:pt>
                  <c:pt idx="31">
                    <c:v>33</c:v>
                  </c:pt>
                  <c:pt idx="32">
                    <c:v>34</c:v>
                  </c:pt>
                  <c:pt idx="33">
                    <c:v>35</c:v>
                  </c:pt>
                  <c:pt idx="34">
                    <c:v>36</c:v>
                  </c:pt>
                  <c:pt idx="35">
                    <c:v>37</c:v>
                  </c:pt>
                  <c:pt idx="36">
                    <c:v>38</c:v>
                  </c:pt>
                  <c:pt idx="37">
                    <c:v>39</c:v>
                  </c:pt>
                  <c:pt idx="38">
                    <c:v>41</c:v>
                  </c:pt>
                  <c:pt idx="39">
                    <c:v>42</c:v>
                  </c:pt>
                  <c:pt idx="40">
                    <c:v>43</c:v>
                  </c:pt>
                  <c:pt idx="41">
                    <c:v>44</c:v>
                  </c:pt>
                  <c:pt idx="42">
                    <c:v>45</c:v>
                  </c:pt>
                  <c:pt idx="43">
                    <c:v>46</c:v>
                  </c:pt>
                  <c:pt idx="44">
                    <c:v>47</c:v>
                  </c:pt>
                  <c:pt idx="45">
                    <c:v>48</c:v>
                  </c:pt>
                  <c:pt idx="46">
                    <c:v>49</c:v>
                  </c:pt>
                  <c:pt idx="47">
                    <c:v>50</c:v>
                  </c:pt>
                  <c:pt idx="48">
                    <c:v>51</c:v>
                  </c:pt>
                  <c:pt idx="49">
                    <c:v>52</c:v>
                  </c:pt>
                  <c:pt idx="50">
                    <c:v>EoY</c:v>
                  </c:pt>
                  <c:pt idx="51">
                    <c:v>1</c:v>
                  </c:pt>
                  <c:pt idx="52">
                    <c:v>2</c:v>
                  </c:pt>
                  <c:pt idx="53">
                    <c:v>3</c:v>
                  </c:pt>
                  <c:pt idx="54">
                    <c:v>4</c:v>
                  </c:pt>
                  <c:pt idx="55">
                    <c:v>5</c:v>
                  </c:pt>
                  <c:pt idx="56">
                    <c:v>6</c:v>
                  </c:pt>
                  <c:pt idx="57">
                    <c:v>8</c:v>
                  </c:pt>
                  <c:pt idx="58">
                    <c:v>9</c:v>
                  </c:pt>
                  <c:pt idx="59">
                    <c:v>10</c:v>
                  </c:pt>
                  <c:pt idx="60">
                    <c:v>11</c:v>
                  </c:pt>
                  <c:pt idx="61">
                    <c:v>12</c:v>
                  </c:pt>
                  <c:pt idx="62">
                    <c:v>13</c:v>
                  </c:pt>
                  <c:pt idx="63">
                    <c:v>14</c:v>
                  </c:pt>
                  <c:pt idx="64">
                    <c:v>15</c:v>
                  </c:pt>
                  <c:pt idx="65">
                    <c:v>16</c:v>
                  </c:pt>
                  <c:pt idx="66">
                    <c:v>17</c:v>
                  </c:pt>
                  <c:pt idx="67">
                    <c:v>18</c:v>
                  </c:pt>
                  <c:pt idx="68">
                    <c:v>19</c:v>
                  </c:pt>
                  <c:pt idx="69">
                    <c:v>20</c:v>
                  </c:pt>
                  <c:pt idx="70">
                    <c:v>21</c:v>
                  </c:pt>
                  <c:pt idx="71">
                    <c:v>22</c:v>
                  </c:pt>
                  <c:pt idx="72">
                    <c:v>23</c:v>
                  </c:pt>
                  <c:pt idx="73">
                    <c:v>24</c:v>
                  </c:pt>
                  <c:pt idx="74">
                    <c:v>25</c:v>
                  </c:pt>
                  <c:pt idx="75">
                    <c:v>26</c:v>
                  </c:pt>
                  <c:pt idx="76">
                    <c:v>27</c:v>
                  </c:pt>
                  <c:pt idx="77">
                    <c:v>28</c:v>
                  </c:pt>
                  <c:pt idx="78">
                    <c:v>29</c:v>
                  </c:pt>
                  <c:pt idx="79">
                    <c:v>30</c:v>
                  </c:pt>
                  <c:pt idx="80">
                    <c:v>31</c:v>
                  </c:pt>
                  <c:pt idx="81">
                    <c:v>32</c:v>
                  </c:pt>
                  <c:pt idx="82">
                    <c:v>33</c:v>
                  </c:pt>
                  <c:pt idx="83">
                    <c:v>34</c:v>
                  </c:pt>
                  <c:pt idx="84">
                    <c:v>35</c:v>
                  </c:pt>
                  <c:pt idx="85">
                    <c:v>36</c:v>
                  </c:pt>
                  <c:pt idx="86">
                    <c:v>37</c:v>
                  </c:pt>
                </c:lvl>
                <c:lvl>
                  <c:pt idx="0">
                    <c:v>2025</c:v>
                  </c:pt>
                  <c:pt idx="51">
                    <c:v>2026</c:v>
                  </c:pt>
                </c:lvl>
              </c:multiLvlStrCache>
            </c:multiLvlStrRef>
          </c:cat>
          <c:val>
            <c:numRef>
              <c:f>modules!$CX$14:$GF$14</c:f>
              <c:numCache>
                <c:formatCode>General</c:formatCode>
                <c:ptCount val="87"/>
                <c:pt idx="20">
                  <c:v>0.68</c:v>
                </c:pt>
                <c:pt idx="21">
                  <c:v>0.69</c:v>
                </c:pt>
                <c:pt idx="22">
                  <c:v>0.69</c:v>
                </c:pt>
                <c:pt idx="23">
                  <c:v>0.78</c:v>
                </c:pt>
                <c:pt idx="24">
                  <c:v>0.78</c:v>
                </c:pt>
                <c:pt idx="25">
                  <c:v>0.78</c:v>
                </c:pt>
                <c:pt idx="26">
                  <c:v>0.78</c:v>
                </c:pt>
                <c:pt idx="27">
                  <c:v>0.78</c:v>
                </c:pt>
                <c:pt idx="28">
                  <c:v>0.79</c:v>
                </c:pt>
                <c:pt idx="29">
                  <c:v>0.79</c:v>
                </c:pt>
                <c:pt idx="30">
                  <c:v>0.79</c:v>
                </c:pt>
                <c:pt idx="31">
                  <c:v>0.79</c:v>
                </c:pt>
                <c:pt idx="32">
                  <c:v>0.79</c:v>
                </c:pt>
                <c:pt idx="33">
                  <c:v>0.79</c:v>
                </c:pt>
                <c:pt idx="34">
                  <c:v>0.79</c:v>
                </c:pt>
                <c:pt idx="35">
                  <c:v>0.79</c:v>
                </c:pt>
                <c:pt idx="36">
                  <c:v>0.79</c:v>
                </c:pt>
                <c:pt idx="37">
                  <c:v>0.79</c:v>
                </c:pt>
                <c:pt idx="38">
                  <c:v>0.79</c:v>
                </c:pt>
                <c:pt idx="39">
                  <c:v>0.79</c:v>
                </c:pt>
                <c:pt idx="40">
                  <c:v>0.79</c:v>
                </c:pt>
                <c:pt idx="41">
                  <c:v>0.79</c:v>
                </c:pt>
                <c:pt idx="42">
                  <c:v>0.79</c:v>
                </c:pt>
                <c:pt idx="43">
                  <c:v>0.78</c:v>
                </c:pt>
                <c:pt idx="44">
                  <c:v>0.78</c:v>
                </c:pt>
                <c:pt idx="45">
                  <c:v>0.78</c:v>
                </c:pt>
                <c:pt idx="46">
                  <c:v>0.76</c:v>
                </c:pt>
                <c:pt idx="47">
                  <c:v>0.76</c:v>
                </c:pt>
                <c:pt idx="48">
                  <c:v>0.76</c:v>
                </c:pt>
                <c:pt idx="49">
                  <c:v>0.76</c:v>
                </c:pt>
                <c:pt idx="50">
                  <c:v>0.76</c:v>
                </c:pt>
                <c:pt idx="51">
                  <c:v>0.76</c:v>
                </c:pt>
                <c:pt idx="52">
                  <c:v>0.83</c:v>
                </c:pt>
                <c:pt idx="53">
                  <c:v>0.83</c:v>
                </c:pt>
                <c:pt idx="54">
                  <c:v>0.83</c:v>
                </c:pt>
                <c:pt idx="55">
                  <c:v>0.83</c:v>
                </c:pt>
                <c:pt idx="56">
                  <c:v>0.83</c:v>
                </c:pt>
                <c:pt idx="57">
                  <c:v>0.9</c:v>
                </c:pt>
                <c:pt idx="58">
                  <c:v>0.9</c:v>
                </c:pt>
                <c:pt idx="59">
                  <c:v>0.9</c:v>
                </c:pt>
                <c:pt idx="60">
                  <c:v>0.9</c:v>
                </c:pt>
                <c:pt idx="61">
                  <c:v>0.88</c:v>
                </c:pt>
                <c:pt idx="62">
                  <c:v>0.875</c:v>
                </c:pt>
                <c:pt idx="63">
                  <c:v>0.86</c:v>
                </c:pt>
                <c:pt idx="64">
                  <c:v>0.86</c:v>
                </c:pt>
                <c:pt idx="65">
                  <c:v>0.84499999999999997</c:v>
                </c:pt>
                <c:pt idx="66">
                  <c:v>0.84499999999999997</c:v>
                </c:pt>
                <c:pt idx="67">
                  <c:v>0.84499999999999997</c:v>
                </c:pt>
                <c:pt idx="68">
                  <c:v>0.84</c:v>
                </c:pt>
                <c:pt idx="69">
                  <c:v>0.83</c:v>
                </c:pt>
                <c:pt idx="70">
                  <c:v>0.83</c:v>
                </c:pt>
                <c:pt idx="71">
                  <c:v>0.83</c:v>
                </c:pt>
                <c:pt idx="72">
                  <c:v>0.83</c:v>
                </c:pt>
                <c:pt idx="73">
                  <c:v>0.83</c:v>
                </c:pt>
                <c:pt idx="74">
                  <c:v>0.83</c:v>
                </c:pt>
                <c:pt idx="75">
                  <c:v>0.83</c:v>
                </c:pt>
                <c:pt idx="76">
                  <c:v>0.83</c:v>
                </c:pt>
                <c:pt idx="77">
                  <c:v>0.83</c:v>
                </c:pt>
                <c:pt idx="78">
                  <c:v>0.83</c:v>
                </c:pt>
                <c:pt idx="79">
                  <c:v>0.83</c:v>
                </c:pt>
                <c:pt idx="80">
                  <c:v>0.83</c:v>
                </c:pt>
                <c:pt idx="81">
                  <c:v>0.83</c:v>
                </c:pt>
                <c:pt idx="82">
                  <c:v>0.83</c:v>
                </c:pt>
                <c:pt idx="83">
                  <c:v>0.83</c:v>
                </c:pt>
                <c:pt idx="84">
                  <c:v>0.83</c:v>
                </c:pt>
                <c:pt idx="85">
                  <c:v>0.83</c:v>
                </c:pt>
                <c:pt idx="86">
                  <c:v>0.81</c:v>
                </c:pt>
              </c:numCache>
            </c:numRef>
          </c:val>
          <c:smooth val="0"/>
          <c:extLst>
            <c:ext xmlns:c16="http://schemas.microsoft.com/office/drawing/2014/chart" uri="{C3380CC4-5D6E-409C-BE32-E72D297353CC}">
              <c16:uniqueId val="{0000000A-0846-4133-B357-E0D2533DE9AC}"/>
            </c:ext>
          </c:extLst>
        </c:ser>
        <c:ser>
          <c:idx val="11"/>
          <c:order val="11"/>
          <c:tx>
            <c:strRef>
              <c:f>modules!$A$15</c:f>
              <c:strCache>
                <c:ptCount val="1"/>
                <c:pt idx="0">
                  <c:v>China Project Price (≥615W)</c:v>
                </c:pt>
              </c:strCache>
            </c:strRef>
          </c:tx>
          <c:spPr>
            <a:ln w="28575" cap="rnd">
              <a:solidFill>
                <a:schemeClr val="accent6">
                  <a:lumMod val="60000"/>
                </a:schemeClr>
              </a:solidFill>
              <a:round/>
            </a:ln>
            <a:effectLst/>
          </c:spPr>
          <c:marker>
            <c:symbol val="none"/>
          </c:marker>
          <c:cat>
            <c:multiLvlStrRef>
              <c:f>modules!$CX$2:$GF$3</c:f>
              <c:multiLvlStrCache>
                <c:ptCount val="87"/>
                <c:lvl>
                  <c:pt idx="0">
                    <c:v>1</c:v>
                  </c:pt>
                  <c:pt idx="1">
                    <c:v>2</c:v>
                  </c:pt>
                  <c:pt idx="2">
                    <c:v>3</c:v>
                  </c:pt>
                  <c:pt idx="3">
                    <c:v>4</c:v>
                  </c:pt>
                  <c:pt idx="4">
                    <c:v>6</c:v>
                  </c:pt>
                  <c:pt idx="5">
                    <c:v>7</c:v>
                  </c:pt>
                  <c:pt idx="6">
                    <c:v>8</c:v>
                  </c:pt>
                  <c:pt idx="7">
                    <c:v>9</c:v>
                  </c:pt>
                  <c:pt idx="8">
                    <c:v>10</c:v>
                  </c:pt>
                  <c:pt idx="9">
                    <c:v>11</c:v>
                  </c:pt>
                  <c:pt idx="10">
                    <c:v>12</c:v>
                  </c:pt>
                  <c:pt idx="11">
                    <c:v>13</c:v>
                  </c:pt>
                  <c:pt idx="12">
                    <c:v>14</c:v>
                  </c:pt>
                  <c:pt idx="13">
                    <c:v>15</c:v>
                  </c:pt>
                  <c:pt idx="14">
                    <c:v>16</c:v>
                  </c:pt>
                  <c:pt idx="15">
                    <c:v>17</c:v>
                  </c:pt>
                  <c:pt idx="16">
                    <c:v>18</c:v>
                  </c:pt>
                  <c:pt idx="17">
                    <c:v>19</c:v>
                  </c:pt>
                  <c:pt idx="18">
                    <c:v>20</c:v>
                  </c:pt>
                  <c:pt idx="19">
                    <c:v>21</c:v>
                  </c:pt>
                  <c:pt idx="20">
                    <c:v>22</c:v>
                  </c:pt>
                  <c:pt idx="21">
                    <c:v>23</c:v>
                  </c:pt>
                  <c:pt idx="22">
                    <c:v>24</c:v>
                  </c:pt>
                  <c:pt idx="23">
                    <c:v>25</c:v>
                  </c:pt>
                  <c:pt idx="24">
                    <c:v>26</c:v>
                  </c:pt>
                  <c:pt idx="25">
                    <c:v>27</c:v>
                  </c:pt>
                  <c:pt idx="26">
                    <c:v>28</c:v>
                  </c:pt>
                  <c:pt idx="27">
                    <c:v>29</c:v>
                  </c:pt>
                  <c:pt idx="28">
                    <c:v>30</c:v>
                  </c:pt>
                  <c:pt idx="29">
                    <c:v>31</c:v>
                  </c:pt>
                  <c:pt idx="30">
                    <c:v>32</c:v>
                  </c:pt>
                  <c:pt idx="31">
                    <c:v>33</c:v>
                  </c:pt>
                  <c:pt idx="32">
                    <c:v>34</c:v>
                  </c:pt>
                  <c:pt idx="33">
                    <c:v>35</c:v>
                  </c:pt>
                  <c:pt idx="34">
                    <c:v>36</c:v>
                  </c:pt>
                  <c:pt idx="35">
                    <c:v>37</c:v>
                  </c:pt>
                  <c:pt idx="36">
                    <c:v>38</c:v>
                  </c:pt>
                  <c:pt idx="37">
                    <c:v>39</c:v>
                  </c:pt>
                  <c:pt idx="38">
                    <c:v>41</c:v>
                  </c:pt>
                  <c:pt idx="39">
                    <c:v>42</c:v>
                  </c:pt>
                  <c:pt idx="40">
                    <c:v>43</c:v>
                  </c:pt>
                  <c:pt idx="41">
                    <c:v>44</c:v>
                  </c:pt>
                  <c:pt idx="42">
                    <c:v>45</c:v>
                  </c:pt>
                  <c:pt idx="43">
                    <c:v>46</c:v>
                  </c:pt>
                  <c:pt idx="44">
                    <c:v>47</c:v>
                  </c:pt>
                  <c:pt idx="45">
                    <c:v>48</c:v>
                  </c:pt>
                  <c:pt idx="46">
                    <c:v>49</c:v>
                  </c:pt>
                  <c:pt idx="47">
                    <c:v>50</c:v>
                  </c:pt>
                  <c:pt idx="48">
                    <c:v>51</c:v>
                  </c:pt>
                  <c:pt idx="49">
                    <c:v>52</c:v>
                  </c:pt>
                  <c:pt idx="50">
                    <c:v>EoY</c:v>
                  </c:pt>
                  <c:pt idx="51">
                    <c:v>1</c:v>
                  </c:pt>
                  <c:pt idx="52">
                    <c:v>2</c:v>
                  </c:pt>
                  <c:pt idx="53">
                    <c:v>3</c:v>
                  </c:pt>
                  <c:pt idx="54">
                    <c:v>4</c:v>
                  </c:pt>
                  <c:pt idx="55">
                    <c:v>5</c:v>
                  </c:pt>
                  <c:pt idx="56">
                    <c:v>6</c:v>
                  </c:pt>
                  <c:pt idx="57">
                    <c:v>8</c:v>
                  </c:pt>
                  <c:pt idx="58">
                    <c:v>9</c:v>
                  </c:pt>
                  <c:pt idx="59">
                    <c:v>10</c:v>
                  </c:pt>
                  <c:pt idx="60">
                    <c:v>11</c:v>
                  </c:pt>
                  <c:pt idx="61">
                    <c:v>12</c:v>
                  </c:pt>
                  <c:pt idx="62">
                    <c:v>13</c:v>
                  </c:pt>
                  <c:pt idx="63">
                    <c:v>14</c:v>
                  </c:pt>
                  <c:pt idx="64">
                    <c:v>15</c:v>
                  </c:pt>
                  <c:pt idx="65">
                    <c:v>16</c:v>
                  </c:pt>
                  <c:pt idx="66">
                    <c:v>17</c:v>
                  </c:pt>
                  <c:pt idx="67">
                    <c:v>18</c:v>
                  </c:pt>
                  <c:pt idx="68">
                    <c:v>19</c:v>
                  </c:pt>
                  <c:pt idx="69">
                    <c:v>20</c:v>
                  </c:pt>
                  <c:pt idx="70">
                    <c:v>21</c:v>
                  </c:pt>
                  <c:pt idx="71">
                    <c:v>22</c:v>
                  </c:pt>
                  <c:pt idx="72">
                    <c:v>23</c:v>
                  </c:pt>
                  <c:pt idx="73">
                    <c:v>24</c:v>
                  </c:pt>
                  <c:pt idx="74">
                    <c:v>25</c:v>
                  </c:pt>
                  <c:pt idx="75">
                    <c:v>26</c:v>
                  </c:pt>
                  <c:pt idx="76">
                    <c:v>27</c:v>
                  </c:pt>
                  <c:pt idx="77">
                    <c:v>28</c:v>
                  </c:pt>
                  <c:pt idx="78">
                    <c:v>29</c:v>
                  </c:pt>
                  <c:pt idx="79">
                    <c:v>30</c:v>
                  </c:pt>
                  <c:pt idx="80">
                    <c:v>31</c:v>
                  </c:pt>
                  <c:pt idx="81">
                    <c:v>32</c:v>
                  </c:pt>
                  <c:pt idx="82">
                    <c:v>33</c:v>
                  </c:pt>
                  <c:pt idx="83">
                    <c:v>34</c:v>
                  </c:pt>
                  <c:pt idx="84">
                    <c:v>35</c:v>
                  </c:pt>
                  <c:pt idx="85">
                    <c:v>36</c:v>
                  </c:pt>
                  <c:pt idx="86">
                    <c:v>37</c:v>
                  </c:pt>
                </c:lvl>
                <c:lvl>
                  <c:pt idx="0">
                    <c:v>2025</c:v>
                  </c:pt>
                  <c:pt idx="51">
                    <c:v>2026</c:v>
                  </c:pt>
                </c:lvl>
              </c:multiLvlStrCache>
            </c:multiLvlStrRef>
          </c:cat>
          <c:val>
            <c:numRef>
              <c:f>modules!$CX$15:$GF$15</c:f>
              <c:numCache>
                <c:formatCode>General</c:formatCode>
                <c:ptCount val="87"/>
                <c:pt idx="23">
                  <c:v>0.76</c:v>
                </c:pt>
                <c:pt idx="24">
                  <c:v>0.76</c:v>
                </c:pt>
                <c:pt idx="25">
                  <c:v>0.76</c:v>
                </c:pt>
                <c:pt idx="26">
                  <c:v>0.76</c:v>
                </c:pt>
                <c:pt idx="27">
                  <c:v>0.76</c:v>
                </c:pt>
                <c:pt idx="28">
                  <c:v>0.76</c:v>
                </c:pt>
                <c:pt idx="29">
                  <c:v>0.76</c:v>
                </c:pt>
                <c:pt idx="30">
                  <c:v>0.76</c:v>
                </c:pt>
                <c:pt idx="31">
                  <c:v>0.76</c:v>
                </c:pt>
                <c:pt idx="32">
                  <c:v>0.76</c:v>
                </c:pt>
                <c:pt idx="33">
                  <c:v>0.76</c:v>
                </c:pt>
                <c:pt idx="34">
                  <c:v>0.76</c:v>
                </c:pt>
                <c:pt idx="35">
                  <c:v>0.76</c:v>
                </c:pt>
                <c:pt idx="36">
                  <c:v>0.76</c:v>
                </c:pt>
                <c:pt idx="37">
                  <c:v>0.76</c:v>
                </c:pt>
                <c:pt idx="38">
                  <c:v>0.76</c:v>
                </c:pt>
                <c:pt idx="39">
                  <c:v>0.76</c:v>
                </c:pt>
                <c:pt idx="40">
                  <c:v>0.76</c:v>
                </c:pt>
                <c:pt idx="41">
                  <c:v>0.76</c:v>
                </c:pt>
                <c:pt idx="42">
                  <c:v>0.76</c:v>
                </c:pt>
                <c:pt idx="43">
                  <c:v>0.76</c:v>
                </c:pt>
                <c:pt idx="44">
                  <c:v>0.76</c:v>
                </c:pt>
                <c:pt idx="45">
                  <c:v>0.76</c:v>
                </c:pt>
                <c:pt idx="46">
                  <c:v>0.76</c:v>
                </c:pt>
                <c:pt idx="47">
                  <c:v>0.75</c:v>
                </c:pt>
                <c:pt idx="48">
                  <c:v>0.75</c:v>
                </c:pt>
                <c:pt idx="49">
                  <c:v>0.75</c:v>
                </c:pt>
                <c:pt idx="50">
                  <c:v>0.75</c:v>
                </c:pt>
                <c:pt idx="51">
                  <c:v>0.75</c:v>
                </c:pt>
                <c:pt idx="52">
                  <c:v>0.75</c:v>
                </c:pt>
                <c:pt idx="53">
                  <c:v>0.75</c:v>
                </c:pt>
                <c:pt idx="54">
                  <c:v>0.82</c:v>
                </c:pt>
                <c:pt idx="55">
                  <c:v>0.82</c:v>
                </c:pt>
                <c:pt idx="56">
                  <c:v>0.82</c:v>
                </c:pt>
                <c:pt idx="57">
                  <c:v>0.82</c:v>
                </c:pt>
                <c:pt idx="58">
                  <c:v>0.82</c:v>
                </c:pt>
                <c:pt idx="59">
                  <c:v>0.82</c:v>
                </c:pt>
                <c:pt idx="60">
                  <c:v>0.82</c:v>
                </c:pt>
                <c:pt idx="61">
                  <c:v>0.82</c:v>
                </c:pt>
                <c:pt idx="62">
                  <c:v>0.82</c:v>
                </c:pt>
                <c:pt idx="63">
                  <c:v>0.82</c:v>
                </c:pt>
                <c:pt idx="64">
                  <c:v>0.82</c:v>
                </c:pt>
                <c:pt idx="65">
                  <c:v>0.79</c:v>
                </c:pt>
                <c:pt idx="66">
                  <c:v>0.79</c:v>
                </c:pt>
                <c:pt idx="67">
                  <c:v>0.79</c:v>
                </c:pt>
                <c:pt idx="68">
                  <c:v>0.79</c:v>
                </c:pt>
                <c:pt idx="69">
                  <c:v>0.79</c:v>
                </c:pt>
                <c:pt idx="70">
                  <c:v>0.79</c:v>
                </c:pt>
                <c:pt idx="71">
                  <c:v>0.79</c:v>
                </c:pt>
                <c:pt idx="72">
                  <c:v>0.79</c:v>
                </c:pt>
                <c:pt idx="73">
                  <c:v>0.79</c:v>
                </c:pt>
                <c:pt idx="74">
                  <c:v>0.79</c:v>
                </c:pt>
                <c:pt idx="75">
                  <c:v>0.79</c:v>
                </c:pt>
                <c:pt idx="76">
                  <c:v>0.79</c:v>
                </c:pt>
                <c:pt idx="77">
                  <c:v>0.79</c:v>
                </c:pt>
                <c:pt idx="78">
                  <c:v>0.79</c:v>
                </c:pt>
                <c:pt idx="79">
                  <c:v>0.79</c:v>
                </c:pt>
                <c:pt idx="80">
                  <c:v>0.79</c:v>
                </c:pt>
                <c:pt idx="81">
                  <c:v>0.79</c:v>
                </c:pt>
                <c:pt idx="82">
                  <c:v>0.79</c:v>
                </c:pt>
                <c:pt idx="83">
                  <c:v>0.79</c:v>
                </c:pt>
                <c:pt idx="84">
                  <c:v>0.79</c:v>
                </c:pt>
                <c:pt idx="85">
                  <c:v>0.79</c:v>
                </c:pt>
                <c:pt idx="86">
                  <c:v>0.78</c:v>
                </c:pt>
              </c:numCache>
            </c:numRef>
          </c:val>
          <c:smooth val="0"/>
          <c:extLst>
            <c:ext xmlns:c16="http://schemas.microsoft.com/office/drawing/2014/chart" uri="{C3380CC4-5D6E-409C-BE32-E72D297353CC}">
              <c16:uniqueId val="{0000000B-0846-4133-B357-E0D2533DE9AC}"/>
            </c:ext>
          </c:extLst>
        </c:ser>
        <c:ser>
          <c:idx val="12"/>
          <c:order val="12"/>
          <c:tx>
            <c:strRef>
              <c:f>modules!$A$16</c:f>
              <c:strCache>
                <c:ptCount val="1"/>
                <c:pt idx="0">
                  <c:v>China Project Price (≥585W)</c:v>
                </c:pt>
              </c:strCache>
            </c:strRef>
          </c:tx>
          <c:spPr>
            <a:ln w="28575" cap="rnd">
              <a:solidFill>
                <a:schemeClr val="accent1">
                  <a:lumMod val="80000"/>
                  <a:lumOff val="20000"/>
                </a:schemeClr>
              </a:solidFill>
              <a:round/>
            </a:ln>
            <a:effectLst/>
          </c:spPr>
          <c:marker>
            <c:symbol val="none"/>
          </c:marker>
          <c:cat>
            <c:multiLvlStrRef>
              <c:f>modules!$CX$2:$GF$3</c:f>
              <c:multiLvlStrCache>
                <c:ptCount val="87"/>
                <c:lvl>
                  <c:pt idx="0">
                    <c:v>1</c:v>
                  </c:pt>
                  <c:pt idx="1">
                    <c:v>2</c:v>
                  </c:pt>
                  <c:pt idx="2">
                    <c:v>3</c:v>
                  </c:pt>
                  <c:pt idx="3">
                    <c:v>4</c:v>
                  </c:pt>
                  <c:pt idx="4">
                    <c:v>6</c:v>
                  </c:pt>
                  <c:pt idx="5">
                    <c:v>7</c:v>
                  </c:pt>
                  <c:pt idx="6">
                    <c:v>8</c:v>
                  </c:pt>
                  <c:pt idx="7">
                    <c:v>9</c:v>
                  </c:pt>
                  <c:pt idx="8">
                    <c:v>10</c:v>
                  </c:pt>
                  <c:pt idx="9">
                    <c:v>11</c:v>
                  </c:pt>
                  <c:pt idx="10">
                    <c:v>12</c:v>
                  </c:pt>
                  <c:pt idx="11">
                    <c:v>13</c:v>
                  </c:pt>
                  <c:pt idx="12">
                    <c:v>14</c:v>
                  </c:pt>
                  <c:pt idx="13">
                    <c:v>15</c:v>
                  </c:pt>
                  <c:pt idx="14">
                    <c:v>16</c:v>
                  </c:pt>
                  <c:pt idx="15">
                    <c:v>17</c:v>
                  </c:pt>
                  <c:pt idx="16">
                    <c:v>18</c:v>
                  </c:pt>
                  <c:pt idx="17">
                    <c:v>19</c:v>
                  </c:pt>
                  <c:pt idx="18">
                    <c:v>20</c:v>
                  </c:pt>
                  <c:pt idx="19">
                    <c:v>21</c:v>
                  </c:pt>
                  <c:pt idx="20">
                    <c:v>22</c:v>
                  </c:pt>
                  <c:pt idx="21">
                    <c:v>23</c:v>
                  </c:pt>
                  <c:pt idx="22">
                    <c:v>24</c:v>
                  </c:pt>
                  <c:pt idx="23">
                    <c:v>25</c:v>
                  </c:pt>
                  <c:pt idx="24">
                    <c:v>26</c:v>
                  </c:pt>
                  <c:pt idx="25">
                    <c:v>27</c:v>
                  </c:pt>
                  <c:pt idx="26">
                    <c:v>28</c:v>
                  </c:pt>
                  <c:pt idx="27">
                    <c:v>29</c:v>
                  </c:pt>
                  <c:pt idx="28">
                    <c:v>30</c:v>
                  </c:pt>
                  <c:pt idx="29">
                    <c:v>31</c:v>
                  </c:pt>
                  <c:pt idx="30">
                    <c:v>32</c:v>
                  </c:pt>
                  <c:pt idx="31">
                    <c:v>33</c:v>
                  </c:pt>
                  <c:pt idx="32">
                    <c:v>34</c:v>
                  </c:pt>
                  <c:pt idx="33">
                    <c:v>35</c:v>
                  </c:pt>
                  <c:pt idx="34">
                    <c:v>36</c:v>
                  </c:pt>
                  <c:pt idx="35">
                    <c:v>37</c:v>
                  </c:pt>
                  <c:pt idx="36">
                    <c:v>38</c:v>
                  </c:pt>
                  <c:pt idx="37">
                    <c:v>39</c:v>
                  </c:pt>
                  <c:pt idx="38">
                    <c:v>41</c:v>
                  </c:pt>
                  <c:pt idx="39">
                    <c:v>42</c:v>
                  </c:pt>
                  <c:pt idx="40">
                    <c:v>43</c:v>
                  </c:pt>
                  <c:pt idx="41">
                    <c:v>44</c:v>
                  </c:pt>
                  <c:pt idx="42">
                    <c:v>45</c:v>
                  </c:pt>
                  <c:pt idx="43">
                    <c:v>46</c:v>
                  </c:pt>
                  <c:pt idx="44">
                    <c:v>47</c:v>
                  </c:pt>
                  <c:pt idx="45">
                    <c:v>48</c:v>
                  </c:pt>
                  <c:pt idx="46">
                    <c:v>49</c:v>
                  </c:pt>
                  <c:pt idx="47">
                    <c:v>50</c:v>
                  </c:pt>
                  <c:pt idx="48">
                    <c:v>51</c:v>
                  </c:pt>
                  <c:pt idx="49">
                    <c:v>52</c:v>
                  </c:pt>
                  <c:pt idx="50">
                    <c:v>EoY</c:v>
                  </c:pt>
                  <c:pt idx="51">
                    <c:v>1</c:v>
                  </c:pt>
                  <c:pt idx="52">
                    <c:v>2</c:v>
                  </c:pt>
                  <c:pt idx="53">
                    <c:v>3</c:v>
                  </c:pt>
                  <c:pt idx="54">
                    <c:v>4</c:v>
                  </c:pt>
                  <c:pt idx="55">
                    <c:v>5</c:v>
                  </c:pt>
                  <c:pt idx="56">
                    <c:v>6</c:v>
                  </c:pt>
                  <c:pt idx="57">
                    <c:v>8</c:v>
                  </c:pt>
                  <c:pt idx="58">
                    <c:v>9</c:v>
                  </c:pt>
                  <c:pt idx="59">
                    <c:v>10</c:v>
                  </c:pt>
                  <c:pt idx="60">
                    <c:v>11</c:v>
                  </c:pt>
                  <c:pt idx="61">
                    <c:v>12</c:v>
                  </c:pt>
                  <c:pt idx="62">
                    <c:v>13</c:v>
                  </c:pt>
                  <c:pt idx="63">
                    <c:v>14</c:v>
                  </c:pt>
                  <c:pt idx="64">
                    <c:v>15</c:v>
                  </c:pt>
                  <c:pt idx="65">
                    <c:v>16</c:v>
                  </c:pt>
                  <c:pt idx="66">
                    <c:v>17</c:v>
                  </c:pt>
                  <c:pt idx="67">
                    <c:v>18</c:v>
                  </c:pt>
                  <c:pt idx="68">
                    <c:v>19</c:v>
                  </c:pt>
                  <c:pt idx="69">
                    <c:v>20</c:v>
                  </c:pt>
                  <c:pt idx="70">
                    <c:v>21</c:v>
                  </c:pt>
                  <c:pt idx="71">
                    <c:v>22</c:v>
                  </c:pt>
                  <c:pt idx="72">
                    <c:v>23</c:v>
                  </c:pt>
                  <c:pt idx="73">
                    <c:v>24</c:v>
                  </c:pt>
                  <c:pt idx="74">
                    <c:v>25</c:v>
                  </c:pt>
                  <c:pt idx="75">
                    <c:v>26</c:v>
                  </c:pt>
                  <c:pt idx="76">
                    <c:v>27</c:v>
                  </c:pt>
                  <c:pt idx="77">
                    <c:v>28</c:v>
                  </c:pt>
                  <c:pt idx="78">
                    <c:v>29</c:v>
                  </c:pt>
                  <c:pt idx="79">
                    <c:v>30</c:v>
                  </c:pt>
                  <c:pt idx="80">
                    <c:v>31</c:v>
                  </c:pt>
                  <c:pt idx="81">
                    <c:v>32</c:v>
                  </c:pt>
                  <c:pt idx="82">
                    <c:v>33</c:v>
                  </c:pt>
                  <c:pt idx="83">
                    <c:v>34</c:v>
                  </c:pt>
                  <c:pt idx="84">
                    <c:v>35</c:v>
                  </c:pt>
                  <c:pt idx="85">
                    <c:v>36</c:v>
                  </c:pt>
                  <c:pt idx="86">
                    <c:v>37</c:v>
                  </c:pt>
                </c:lvl>
                <c:lvl>
                  <c:pt idx="0">
                    <c:v>2025</c:v>
                  </c:pt>
                  <c:pt idx="51">
                    <c:v>2026</c:v>
                  </c:pt>
                </c:lvl>
              </c:multiLvlStrCache>
            </c:multiLvlStrRef>
          </c:cat>
          <c:val>
            <c:numRef>
              <c:f>modules!$CX$16:$GF$16</c:f>
              <c:numCache>
                <c:formatCode>General</c:formatCode>
                <c:ptCount val="87"/>
                <c:pt idx="23">
                  <c:v>0.68</c:v>
                </c:pt>
                <c:pt idx="24">
                  <c:v>0.68</c:v>
                </c:pt>
                <c:pt idx="25">
                  <c:v>0.68</c:v>
                </c:pt>
                <c:pt idx="26">
                  <c:v>0.68</c:v>
                </c:pt>
                <c:pt idx="27">
                  <c:v>0.68500000000000005</c:v>
                </c:pt>
                <c:pt idx="28">
                  <c:v>0.70499999999999996</c:v>
                </c:pt>
                <c:pt idx="29">
                  <c:v>0.70499999999999996</c:v>
                </c:pt>
                <c:pt idx="30">
                  <c:v>0.72</c:v>
                </c:pt>
                <c:pt idx="31">
                  <c:v>0.71</c:v>
                </c:pt>
                <c:pt idx="32">
                  <c:v>0.71</c:v>
                </c:pt>
                <c:pt idx="33">
                  <c:v>0.71</c:v>
                </c:pt>
                <c:pt idx="34">
                  <c:v>0.71</c:v>
                </c:pt>
                <c:pt idx="35">
                  <c:v>0.71</c:v>
                </c:pt>
                <c:pt idx="36">
                  <c:v>0.7</c:v>
                </c:pt>
                <c:pt idx="37">
                  <c:v>0.68</c:v>
                </c:pt>
                <c:pt idx="38">
                  <c:v>0.67800000000000005</c:v>
                </c:pt>
                <c:pt idx="39">
                  <c:v>0.67800000000000005</c:v>
                </c:pt>
                <c:pt idx="40">
                  <c:v>0.66500000000000004</c:v>
                </c:pt>
                <c:pt idx="41">
                  <c:v>0.66500000000000004</c:v>
                </c:pt>
                <c:pt idx="42">
                  <c:v>0.66500000000000004</c:v>
                </c:pt>
                <c:pt idx="43">
                  <c:v>0.66</c:v>
                </c:pt>
                <c:pt idx="44">
                  <c:v>0.66</c:v>
                </c:pt>
                <c:pt idx="45">
                  <c:v>0.66</c:v>
                </c:pt>
                <c:pt idx="46">
                  <c:v>0.65500000000000003</c:v>
                </c:pt>
                <c:pt idx="47">
                  <c:v>0.65500000000000003</c:v>
                </c:pt>
                <c:pt idx="48">
                  <c:v>0.65500000000000003</c:v>
                </c:pt>
                <c:pt idx="49">
                  <c:v>0.65500000000000003</c:v>
                </c:pt>
                <c:pt idx="50">
                  <c:v>0.65500000000000003</c:v>
                </c:pt>
                <c:pt idx="51">
                  <c:v>0.66</c:v>
                </c:pt>
                <c:pt idx="52">
                  <c:v>0.72</c:v>
                </c:pt>
                <c:pt idx="53">
                  <c:v>0.74</c:v>
                </c:pt>
                <c:pt idx="54">
                  <c:v>0.78</c:v>
                </c:pt>
                <c:pt idx="55">
                  <c:v>0.78</c:v>
                </c:pt>
                <c:pt idx="56">
                  <c:v>0.78</c:v>
                </c:pt>
                <c:pt idx="57">
                  <c:v>0.86</c:v>
                </c:pt>
                <c:pt idx="58">
                  <c:v>0.86</c:v>
                </c:pt>
                <c:pt idx="59">
                  <c:v>0.84</c:v>
                </c:pt>
                <c:pt idx="60">
                  <c:v>0.79500000000000004</c:v>
                </c:pt>
                <c:pt idx="61">
                  <c:v>0.79</c:v>
                </c:pt>
                <c:pt idx="62">
                  <c:v>0.77</c:v>
                </c:pt>
                <c:pt idx="63">
                  <c:v>0.76</c:v>
                </c:pt>
                <c:pt idx="64">
                  <c:v>0.76</c:v>
                </c:pt>
                <c:pt idx="65">
                  <c:v>0.75800000000000001</c:v>
                </c:pt>
                <c:pt idx="66">
                  <c:v>0.75800000000000001</c:v>
                </c:pt>
                <c:pt idx="67">
                  <c:v>0.755</c:v>
                </c:pt>
                <c:pt idx="68">
                  <c:v>0.75</c:v>
                </c:pt>
                <c:pt idx="69">
                  <c:v>0.75</c:v>
                </c:pt>
                <c:pt idx="70">
                  <c:v>0.745</c:v>
                </c:pt>
                <c:pt idx="71">
                  <c:v>0.745</c:v>
                </c:pt>
                <c:pt idx="72">
                  <c:v>0.73</c:v>
                </c:pt>
                <c:pt idx="73">
                  <c:v>0.73</c:v>
                </c:pt>
                <c:pt idx="74">
                  <c:v>0.72</c:v>
                </c:pt>
                <c:pt idx="75">
                  <c:v>0.71499999999999997</c:v>
                </c:pt>
                <c:pt idx="76">
                  <c:v>0.71499999999999997</c:v>
                </c:pt>
                <c:pt idx="77">
                  <c:v>0.71499999999999997</c:v>
                </c:pt>
                <c:pt idx="78">
                  <c:v>0.71499999999999997</c:v>
                </c:pt>
                <c:pt idx="79">
                  <c:v>0.71499999999999997</c:v>
                </c:pt>
                <c:pt idx="80">
                  <c:v>0.69</c:v>
                </c:pt>
                <c:pt idx="81">
                  <c:v>0.69</c:v>
                </c:pt>
                <c:pt idx="82">
                  <c:v>0.69</c:v>
                </c:pt>
                <c:pt idx="83">
                  <c:v>0.69</c:v>
                </c:pt>
                <c:pt idx="84">
                  <c:v>0.69</c:v>
                </c:pt>
                <c:pt idx="85">
                  <c:v>0.67</c:v>
                </c:pt>
                <c:pt idx="86">
                  <c:v>0.67</c:v>
                </c:pt>
              </c:numCache>
            </c:numRef>
          </c:val>
          <c:smooth val="0"/>
          <c:extLst>
            <c:ext xmlns:c16="http://schemas.microsoft.com/office/drawing/2014/chart" uri="{C3380CC4-5D6E-409C-BE32-E72D297353CC}">
              <c16:uniqueId val="{0000000C-0846-4133-B357-E0D2533DE9AC}"/>
            </c:ext>
          </c:extLst>
        </c:ser>
        <c:ser>
          <c:idx val="13"/>
          <c:order val="13"/>
          <c:tx>
            <c:strRef>
              <c:f>modules!$A$17</c:f>
              <c:strCache>
                <c:ptCount val="1"/>
                <c:pt idx="0">
                  <c:v>TOPCon bifacial - n-type, 210R, 60 Cell (610-635W)</c:v>
                </c:pt>
              </c:strCache>
            </c:strRef>
          </c:tx>
          <c:spPr>
            <a:ln w="28575" cap="rnd">
              <a:solidFill>
                <a:schemeClr val="accent2">
                  <a:lumMod val="80000"/>
                  <a:lumOff val="20000"/>
                </a:schemeClr>
              </a:solidFill>
              <a:round/>
            </a:ln>
            <a:effectLst/>
          </c:spPr>
          <c:marker>
            <c:symbol val="none"/>
          </c:marker>
          <c:cat>
            <c:multiLvlStrRef>
              <c:f>modules!$CX$2:$GF$3</c:f>
              <c:multiLvlStrCache>
                <c:ptCount val="87"/>
                <c:lvl>
                  <c:pt idx="0">
                    <c:v>1</c:v>
                  </c:pt>
                  <c:pt idx="1">
                    <c:v>2</c:v>
                  </c:pt>
                  <c:pt idx="2">
                    <c:v>3</c:v>
                  </c:pt>
                  <c:pt idx="3">
                    <c:v>4</c:v>
                  </c:pt>
                  <c:pt idx="4">
                    <c:v>6</c:v>
                  </c:pt>
                  <c:pt idx="5">
                    <c:v>7</c:v>
                  </c:pt>
                  <c:pt idx="6">
                    <c:v>8</c:v>
                  </c:pt>
                  <c:pt idx="7">
                    <c:v>9</c:v>
                  </c:pt>
                  <c:pt idx="8">
                    <c:v>10</c:v>
                  </c:pt>
                  <c:pt idx="9">
                    <c:v>11</c:v>
                  </c:pt>
                  <c:pt idx="10">
                    <c:v>12</c:v>
                  </c:pt>
                  <c:pt idx="11">
                    <c:v>13</c:v>
                  </c:pt>
                  <c:pt idx="12">
                    <c:v>14</c:v>
                  </c:pt>
                  <c:pt idx="13">
                    <c:v>15</c:v>
                  </c:pt>
                  <c:pt idx="14">
                    <c:v>16</c:v>
                  </c:pt>
                  <c:pt idx="15">
                    <c:v>17</c:v>
                  </c:pt>
                  <c:pt idx="16">
                    <c:v>18</c:v>
                  </c:pt>
                  <c:pt idx="17">
                    <c:v>19</c:v>
                  </c:pt>
                  <c:pt idx="18">
                    <c:v>20</c:v>
                  </c:pt>
                  <c:pt idx="19">
                    <c:v>21</c:v>
                  </c:pt>
                  <c:pt idx="20">
                    <c:v>22</c:v>
                  </c:pt>
                  <c:pt idx="21">
                    <c:v>23</c:v>
                  </c:pt>
                  <c:pt idx="22">
                    <c:v>24</c:v>
                  </c:pt>
                  <c:pt idx="23">
                    <c:v>25</c:v>
                  </c:pt>
                  <c:pt idx="24">
                    <c:v>26</c:v>
                  </c:pt>
                  <c:pt idx="25">
                    <c:v>27</c:v>
                  </c:pt>
                  <c:pt idx="26">
                    <c:v>28</c:v>
                  </c:pt>
                  <c:pt idx="27">
                    <c:v>29</c:v>
                  </c:pt>
                  <c:pt idx="28">
                    <c:v>30</c:v>
                  </c:pt>
                  <c:pt idx="29">
                    <c:v>31</c:v>
                  </c:pt>
                  <c:pt idx="30">
                    <c:v>32</c:v>
                  </c:pt>
                  <c:pt idx="31">
                    <c:v>33</c:v>
                  </c:pt>
                  <c:pt idx="32">
                    <c:v>34</c:v>
                  </c:pt>
                  <c:pt idx="33">
                    <c:v>35</c:v>
                  </c:pt>
                  <c:pt idx="34">
                    <c:v>36</c:v>
                  </c:pt>
                  <c:pt idx="35">
                    <c:v>37</c:v>
                  </c:pt>
                  <c:pt idx="36">
                    <c:v>38</c:v>
                  </c:pt>
                  <c:pt idx="37">
                    <c:v>39</c:v>
                  </c:pt>
                  <c:pt idx="38">
                    <c:v>41</c:v>
                  </c:pt>
                  <c:pt idx="39">
                    <c:v>42</c:v>
                  </c:pt>
                  <c:pt idx="40">
                    <c:v>43</c:v>
                  </c:pt>
                  <c:pt idx="41">
                    <c:v>44</c:v>
                  </c:pt>
                  <c:pt idx="42">
                    <c:v>45</c:v>
                  </c:pt>
                  <c:pt idx="43">
                    <c:v>46</c:v>
                  </c:pt>
                  <c:pt idx="44">
                    <c:v>47</c:v>
                  </c:pt>
                  <c:pt idx="45">
                    <c:v>48</c:v>
                  </c:pt>
                  <c:pt idx="46">
                    <c:v>49</c:v>
                  </c:pt>
                  <c:pt idx="47">
                    <c:v>50</c:v>
                  </c:pt>
                  <c:pt idx="48">
                    <c:v>51</c:v>
                  </c:pt>
                  <c:pt idx="49">
                    <c:v>52</c:v>
                  </c:pt>
                  <c:pt idx="50">
                    <c:v>EoY</c:v>
                  </c:pt>
                  <c:pt idx="51">
                    <c:v>1</c:v>
                  </c:pt>
                  <c:pt idx="52">
                    <c:v>2</c:v>
                  </c:pt>
                  <c:pt idx="53">
                    <c:v>3</c:v>
                  </c:pt>
                  <c:pt idx="54">
                    <c:v>4</c:v>
                  </c:pt>
                  <c:pt idx="55">
                    <c:v>5</c:v>
                  </c:pt>
                  <c:pt idx="56">
                    <c:v>6</c:v>
                  </c:pt>
                  <c:pt idx="57">
                    <c:v>8</c:v>
                  </c:pt>
                  <c:pt idx="58">
                    <c:v>9</c:v>
                  </c:pt>
                  <c:pt idx="59">
                    <c:v>10</c:v>
                  </c:pt>
                  <c:pt idx="60">
                    <c:v>11</c:v>
                  </c:pt>
                  <c:pt idx="61">
                    <c:v>12</c:v>
                  </c:pt>
                  <c:pt idx="62">
                    <c:v>13</c:v>
                  </c:pt>
                  <c:pt idx="63">
                    <c:v>14</c:v>
                  </c:pt>
                  <c:pt idx="64">
                    <c:v>15</c:v>
                  </c:pt>
                  <c:pt idx="65">
                    <c:v>16</c:v>
                  </c:pt>
                  <c:pt idx="66">
                    <c:v>17</c:v>
                  </c:pt>
                  <c:pt idx="67">
                    <c:v>18</c:v>
                  </c:pt>
                  <c:pt idx="68">
                    <c:v>19</c:v>
                  </c:pt>
                  <c:pt idx="69">
                    <c:v>20</c:v>
                  </c:pt>
                  <c:pt idx="70">
                    <c:v>21</c:v>
                  </c:pt>
                  <c:pt idx="71">
                    <c:v>22</c:v>
                  </c:pt>
                  <c:pt idx="72">
                    <c:v>23</c:v>
                  </c:pt>
                  <c:pt idx="73">
                    <c:v>24</c:v>
                  </c:pt>
                  <c:pt idx="74">
                    <c:v>25</c:v>
                  </c:pt>
                  <c:pt idx="75">
                    <c:v>26</c:v>
                  </c:pt>
                  <c:pt idx="76">
                    <c:v>27</c:v>
                  </c:pt>
                  <c:pt idx="77">
                    <c:v>28</c:v>
                  </c:pt>
                  <c:pt idx="78">
                    <c:v>29</c:v>
                  </c:pt>
                  <c:pt idx="79">
                    <c:v>30</c:v>
                  </c:pt>
                  <c:pt idx="80">
                    <c:v>31</c:v>
                  </c:pt>
                  <c:pt idx="81">
                    <c:v>32</c:v>
                  </c:pt>
                  <c:pt idx="82">
                    <c:v>33</c:v>
                  </c:pt>
                  <c:pt idx="83">
                    <c:v>34</c:v>
                  </c:pt>
                  <c:pt idx="84">
                    <c:v>35</c:v>
                  </c:pt>
                  <c:pt idx="85">
                    <c:v>36</c:v>
                  </c:pt>
                  <c:pt idx="86">
                    <c:v>37</c:v>
                  </c:pt>
                </c:lvl>
                <c:lvl>
                  <c:pt idx="0">
                    <c:v>2025</c:v>
                  </c:pt>
                  <c:pt idx="51">
                    <c:v>2026</c:v>
                  </c:pt>
                </c:lvl>
              </c:multiLvlStrCache>
            </c:multiLvlStrRef>
          </c:cat>
          <c:val>
            <c:numRef>
              <c:f>modules!$CX$17:$GF$17</c:f>
              <c:numCache>
                <c:formatCode>General</c:formatCode>
                <c:ptCount val="87"/>
                <c:pt idx="40">
                  <c:v>0.68500000000000005</c:v>
                </c:pt>
                <c:pt idx="41">
                  <c:v>0.68</c:v>
                </c:pt>
                <c:pt idx="42">
                  <c:v>0.67</c:v>
                </c:pt>
                <c:pt idx="43">
                  <c:v>0.67</c:v>
                </c:pt>
                <c:pt idx="44">
                  <c:v>0.67</c:v>
                </c:pt>
                <c:pt idx="45">
                  <c:v>0.67</c:v>
                </c:pt>
                <c:pt idx="46">
                  <c:v>0.66</c:v>
                </c:pt>
                <c:pt idx="47">
                  <c:v>0.66</c:v>
                </c:pt>
                <c:pt idx="48">
                  <c:v>0.66</c:v>
                </c:pt>
                <c:pt idx="49">
                  <c:v>0.66</c:v>
                </c:pt>
                <c:pt idx="50">
                  <c:v>0.66</c:v>
                </c:pt>
                <c:pt idx="51">
                  <c:v>0.68</c:v>
                </c:pt>
                <c:pt idx="52">
                  <c:v>0.73</c:v>
                </c:pt>
                <c:pt idx="53">
                  <c:v>0.79</c:v>
                </c:pt>
                <c:pt idx="54">
                  <c:v>0.82</c:v>
                </c:pt>
                <c:pt idx="55">
                  <c:v>0.82</c:v>
                </c:pt>
                <c:pt idx="56">
                  <c:v>0.82</c:v>
                </c:pt>
                <c:pt idx="57">
                  <c:v>0.86</c:v>
                </c:pt>
                <c:pt idx="58">
                  <c:v>0.86</c:v>
                </c:pt>
                <c:pt idx="59">
                  <c:v>0.86</c:v>
                </c:pt>
                <c:pt idx="60">
                  <c:v>0.83</c:v>
                </c:pt>
                <c:pt idx="61">
                  <c:v>0.83</c:v>
                </c:pt>
                <c:pt idx="62">
                  <c:v>0.79500000000000004</c:v>
                </c:pt>
                <c:pt idx="63">
                  <c:v>0.78500000000000003</c:v>
                </c:pt>
                <c:pt idx="64">
                  <c:v>0.78500000000000003</c:v>
                </c:pt>
                <c:pt idx="65">
                  <c:v>0.77500000000000002</c:v>
                </c:pt>
                <c:pt idx="66">
                  <c:v>0.77500000000000002</c:v>
                </c:pt>
                <c:pt idx="67">
                  <c:v>0.77500000000000002</c:v>
                </c:pt>
                <c:pt idx="68">
                  <c:v>0.77200000000000002</c:v>
                </c:pt>
                <c:pt idx="69">
                  <c:v>0.755</c:v>
                </c:pt>
                <c:pt idx="70">
                  <c:v>0.755</c:v>
                </c:pt>
                <c:pt idx="71">
                  <c:v>0.755</c:v>
                </c:pt>
                <c:pt idx="72">
                  <c:v>0.745</c:v>
                </c:pt>
                <c:pt idx="73">
                  <c:v>0.745</c:v>
                </c:pt>
                <c:pt idx="74">
                  <c:v>0.74</c:v>
                </c:pt>
                <c:pt idx="75">
                  <c:v>0.73</c:v>
                </c:pt>
                <c:pt idx="76">
                  <c:v>0.73</c:v>
                </c:pt>
                <c:pt idx="77">
                  <c:v>0.70499999999999996</c:v>
                </c:pt>
                <c:pt idx="78">
                  <c:v>0.70499999999999996</c:v>
                </c:pt>
                <c:pt idx="79">
                  <c:v>0.69</c:v>
                </c:pt>
                <c:pt idx="80">
                  <c:v>0.69</c:v>
                </c:pt>
                <c:pt idx="81">
                  <c:v>0.69</c:v>
                </c:pt>
                <c:pt idx="82">
                  <c:v>0.69</c:v>
                </c:pt>
                <c:pt idx="83">
                  <c:v>0.7</c:v>
                </c:pt>
                <c:pt idx="84">
                  <c:v>0.70499999999999996</c:v>
                </c:pt>
                <c:pt idx="85">
                  <c:v>0.7</c:v>
                </c:pt>
                <c:pt idx="86">
                  <c:v>0.7</c:v>
                </c:pt>
              </c:numCache>
            </c:numRef>
          </c:val>
          <c:smooth val="0"/>
          <c:extLst>
            <c:ext xmlns:c16="http://schemas.microsoft.com/office/drawing/2014/chart" uri="{C3380CC4-5D6E-409C-BE32-E72D297353CC}">
              <c16:uniqueId val="{0000000D-0846-4133-B357-E0D2533DE9AC}"/>
            </c:ext>
          </c:extLst>
        </c:ser>
        <c:dLbls>
          <c:showLegendKey val="0"/>
          <c:showVal val="0"/>
          <c:showCatName val="0"/>
          <c:showSerName val="0"/>
          <c:showPercent val="0"/>
          <c:showBubbleSize val="0"/>
        </c:dLbls>
        <c:marker val="1"/>
        <c:smooth val="0"/>
        <c:axId val="752979536"/>
        <c:axId val="753775696"/>
      </c:lineChart>
      <c:catAx>
        <c:axId val="18468699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1"/>
          <a:lstStyle/>
          <a:p>
            <a:pPr>
              <a:defRPr lang="zh-CN" sz="1400" b="0" i="0" u="none" strike="noStrike" kern="1200" baseline="0">
                <a:solidFill>
                  <a:schemeClr val="bg1"/>
                </a:solidFill>
                <a:latin typeface="+mn-lt"/>
                <a:ea typeface="+mn-ea"/>
                <a:cs typeface="+mn-cs"/>
              </a:defRPr>
            </a:pPr>
            <a:endParaRPr lang="en-US"/>
          </a:p>
        </c:txPr>
        <c:crossAx val="1847551151"/>
        <c:crosses val="autoZero"/>
        <c:auto val="1"/>
        <c:lblAlgn val="ctr"/>
        <c:lblOffset val="100"/>
        <c:tickLblSkip val="1"/>
        <c:noMultiLvlLbl val="0"/>
      </c:catAx>
      <c:valAx>
        <c:axId val="1847551151"/>
        <c:scaling>
          <c:orientation val="minMax"/>
          <c:min val="0.6"/>
        </c:scaling>
        <c:delete val="0"/>
        <c:axPos val="l"/>
        <c:title>
          <c:tx>
            <c:rich>
              <a:bodyPr rot="-5400000" spcFirstLastPara="1" vertOverflow="ellipsis" vert="horz" wrap="square" anchor="ctr" anchorCtr="1"/>
              <a:lstStyle/>
              <a:p>
                <a:pPr>
                  <a:defRPr lang="zh-CN" sz="1800" b="0" i="0" u="none" strike="noStrike" kern="1200" baseline="0">
                    <a:solidFill>
                      <a:schemeClr val="bg1"/>
                    </a:solidFill>
                    <a:latin typeface="+mn-lt"/>
                    <a:ea typeface="+mn-ea"/>
                    <a:cs typeface="+mn-cs"/>
                  </a:defRPr>
                </a:pPr>
                <a:r>
                  <a:rPr lang="en-IN" sz="1800"/>
                  <a:t>Price</a:t>
                </a:r>
                <a:r>
                  <a:rPr lang="en-IN" sz="1800" baseline="0"/>
                  <a:t> RMB/Piece</a:t>
                </a:r>
                <a:endParaRPr lang="en-IN" sz="1800"/>
              </a:p>
            </c:rich>
          </c:tx>
          <c:overlay val="0"/>
          <c:spPr>
            <a:noFill/>
            <a:ln>
              <a:noFill/>
            </a:ln>
            <a:effectLst/>
          </c:spPr>
          <c:txPr>
            <a:bodyPr rot="-5400000" spcFirstLastPara="1" vertOverflow="ellipsis" vert="horz" wrap="square" anchor="ctr" anchorCtr="1"/>
            <a:lstStyle/>
            <a:p>
              <a:pPr>
                <a:defRPr lang="zh-CN" sz="1800" b="0" i="0" u="none" strike="noStrike" kern="1200" baseline="0">
                  <a:solidFill>
                    <a:schemeClr val="bg1"/>
                  </a:solidFill>
                  <a:latin typeface="+mn-lt"/>
                  <a:ea typeface="+mn-ea"/>
                  <a:cs typeface="+mn-cs"/>
                </a:defRPr>
              </a:pPr>
              <a:endParaRPr lang="en-IN"/>
            </a:p>
          </c:txPr>
        </c:title>
        <c:numFmt formatCode="General" sourceLinked="1"/>
        <c:majorTickMark val="out"/>
        <c:minorTickMark val="none"/>
        <c:tickLblPos val="nextTo"/>
        <c:spPr>
          <a:noFill/>
          <a:ln>
            <a:solidFill>
              <a:schemeClr val="bg1"/>
            </a:solidFill>
          </a:ln>
          <a:effectLst/>
        </c:spPr>
        <c:txPr>
          <a:bodyPr rot="-60000000" spcFirstLastPara="1" vertOverflow="ellipsis" vert="horz" wrap="square" anchor="ctr" anchorCtr="1"/>
          <a:lstStyle/>
          <a:p>
            <a:pPr>
              <a:defRPr lang="zh-CN" sz="1800" b="0" i="0" u="none" strike="noStrike" kern="1200" baseline="0">
                <a:solidFill>
                  <a:schemeClr val="bg1"/>
                </a:solidFill>
                <a:latin typeface="+mn-lt"/>
                <a:ea typeface="+mn-ea"/>
                <a:cs typeface="+mn-cs"/>
              </a:defRPr>
            </a:pPr>
            <a:endParaRPr lang="en-US"/>
          </a:p>
        </c:txPr>
        <c:crossAx val="1846869999"/>
        <c:crosses val="autoZero"/>
        <c:crossBetween val="between"/>
      </c:valAx>
      <c:catAx>
        <c:axId val="752979536"/>
        <c:scaling>
          <c:orientation val="minMax"/>
        </c:scaling>
        <c:delete val="1"/>
        <c:axPos val="b"/>
        <c:numFmt formatCode="General" sourceLinked="1"/>
        <c:majorTickMark val="out"/>
        <c:minorTickMark val="none"/>
        <c:tickLblPos val="nextTo"/>
        <c:crossAx val="753775696"/>
        <c:crosses val="autoZero"/>
        <c:auto val="1"/>
        <c:lblAlgn val="ctr"/>
        <c:lblOffset val="100"/>
        <c:noMultiLvlLbl val="0"/>
      </c:catAx>
      <c:valAx>
        <c:axId val="753775696"/>
        <c:scaling>
          <c:orientation val="minMax"/>
        </c:scaling>
        <c:delete val="1"/>
        <c:axPos val="r"/>
        <c:numFmt formatCode="General" sourceLinked="1"/>
        <c:majorTickMark val="out"/>
        <c:minorTickMark val="none"/>
        <c:tickLblPos val="nextTo"/>
        <c:crossAx val="752979536"/>
        <c:crosses val="max"/>
        <c:crossBetween val="between"/>
      </c:valAx>
      <c:spPr>
        <a:noFill/>
        <a:ln>
          <a:noFill/>
        </a:ln>
        <a:effectLst/>
      </c:spPr>
    </c:plotArea>
    <c:legend>
      <c:legendPos val="b"/>
      <c:layout>
        <c:manualLayout>
          <c:xMode val="edge"/>
          <c:yMode val="edge"/>
          <c:x val="3.8387422362154297E-2"/>
          <c:y val="0.82933374904759904"/>
          <c:w val="0.934561301680367"/>
          <c:h val="0.16502568345801399"/>
        </c:manualLayout>
      </c:layout>
      <c:overlay val="0"/>
      <c:spPr>
        <a:noFill/>
        <a:ln>
          <a:noFill/>
        </a:ln>
        <a:effectLst/>
      </c:spPr>
      <c:txPr>
        <a:bodyPr rot="0" spcFirstLastPara="1" vertOverflow="ellipsis" vert="horz" wrap="square" anchor="ctr" anchorCtr="1"/>
        <a:lstStyle/>
        <a:p>
          <a:pPr>
            <a:defRPr lang="zh-CN" sz="1800" b="0" i="0" u="none" strike="noStrike" kern="1200" baseline="0">
              <a:solidFill>
                <a:schemeClr val="bg1"/>
              </a:solidFill>
              <a:latin typeface="+mn-lt"/>
              <a:ea typeface="+mn-ea"/>
              <a:cs typeface="+mn-cs"/>
            </a:defRPr>
          </a:pPr>
          <a:endParaRPr lang="en-US"/>
        </a:p>
      </c:txPr>
    </c:legend>
    <c:plotVisOnly val="1"/>
    <c:dispBlanksAs val="gap"/>
    <c:showDLblsOverMax val="0"/>
    <c:extLst>
      <c:ext uri="{0b15fc19-7d7d-44ad-8c2d-2c3a37ce22c3}">
        <chartProps xmlns="https://web.wps.cn/et/2018/main" chartId="{030b39ae-bf30-4ce3-9699-477ba521b76e}"/>
      </c:ext>
    </c:extLst>
  </c:chart>
  <c:spPr>
    <a:solidFill>
      <a:schemeClr val="tx1"/>
    </a:solidFill>
    <a:ln w="9525" cap="flat" cmpd="sng" algn="ctr">
      <a:solidFill>
        <a:schemeClr val="tx1">
          <a:lumMod val="15000"/>
          <a:lumOff val="85000"/>
        </a:schemeClr>
      </a:solidFill>
      <a:round/>
    </a:ln>
    <a:effectLst/>
  </c:spPr>
  <c:txPr>
    <a:bodyPr/>
    <a:lstStyle/>
    <a:p>
      <a:pPr>
        <a:defRPr lang="zh-CN" sz="1400">
          <a:solidFill>
            <a:schemeClr val="bg1"/>
          </a:solidFill>
        </a:defRPr>
      </a:pPr>
      <a:endParaRPr lang="en-US"/>
    </a:p>
  </c:txPr>
  <c:printSettings>
    <c:headerFooter/>
    <c:pageMargins b="0.75" l="0.7" r="0.7" t="0.75" header="0.3" footer="0.3"/>
    <c:pageSetup/>
  </c:printSettings>
  <c:userShapes r:id="rId4"/>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lang="zh-CN" sz="1680" b="0" i="0" u="none" strike="noStrike" kern="1200" spc="0" baseline="0">
                <a:solidFill>
                  <a:schemeClr val="bg1"/>
                </a:solidFill>
                <a:latin typeface="+mn-lt"/>
                <a:ea typeface="+mn-ea"/>
                <a:cs typeface="+mn-cs"/>
              </a:defRPr>
            </a:pPr>
            <a:r>
              <a:rPr lang="en-US" sz="2800"/>
              <a:t>Solar Glass Prices - Week 37 / 2026</a:t>
            </a:r>
          </a:p>
        </c:rich>
      </c:tx>
      <c:layout>
        <c:manualLayout>
          <c:xMode val="edge"/>
          <c:yMode val="edge"/>
          <c:x val="0.37245974633155199"/>
          <c:y val="5.9200477300540497E-3"/>
        </c:manualLayout>
      </c:layout>
      <c:overlay val="0"/>
      <c:spPr>
        <a:noFill/>
        <a:ln>
          <a:noFill/>
        </a:ln>
        <a:effectLst/>
      </c:spPr>
      <c:txPr>
        <a:bodyPr rot="0" spcFirstLastPara="1" vertOverflow="ellipsis" vert="horz" wrap="square" anchor="ctr" anchorCtr="1"/>
        <a:lstStyle/>
        <a:p>
          <a:pPr>
            <a:defRPr lang="zh-CN" sz="1680" b="0" i="0" u="none" strike="noStrike" kern="1200" spc="0" baseline="0">
              <a:solidFill>
                <a:schemeClr val="bg1"/>
              </a:solidFill>
              <a:latin typeface="+mn-lt"/>
              <a:ea typeface="+mn-ea"/>
              <a:cs typeface="+mn-cs"/>
            </a:defRPr>
          </a:pPr>
          <a:endParaRPr lang="en-US"/>
        </a:p>
      </c:txPr>
    </c:title>
    <c:autoTitleDeleted val="0"/>
    <c:plotArea>
      <c:layout>
        <c:manualLayout>
          <c:layoutTarget val="inner"/>
          <c:xMode val="edge"/>
          <c:yMode val="edge"/>
          <c:x val="4.83103686380595E-2"/>
          <c:y val="0.19960872710081901"/>
          <c:w val="0.938193380825592"/>
          <c:h val="0.63155459967077499"/>
        </c:manualLayout>
      </c:layout>
      <c:lineChart>
        <c:grouping val="standard"/>
        <c:varyColors val="0"/>
        <c:ser>
          <c:idx val="0"/>
          <c:order val="0"/>
          <c:tx>
            <c:strRef>
              <c:f>glass!$A$4</c:f>
              <c:strCache>
                <c:ptCount val="1"/>
                <c:pt idx="0">
                  <c:v>3.2 mm</c:v>
                </c:pt>
              </c:strCache>
            </c:strRef>
          </c:tx>
          <c:spPr>
            <a:ln w="28575" cap="rnd">
              <a:solidFill>
                <a:schemeClr val="accent2"/>
              </a:solidFill>
              <a:round/>
            </a:ln>
            <a:effectLst/>
          </c:spPr>
          <c:marker>
            <c:symbol val="none"/>
          </c:marker>
          <c:cat>
            <c:multiLvlStrRef>
              <c:f>glass!$CX$2:$GF$3</c:f>
              <c:multiLvlStrCache>
                <c:ptCount val="87"/>
                <c:lvl>
                  <c:pt idx="0">
                    <c:v>1</c:v>
                  </c:pt>
                  <c:pt idx="1">
                    <c:v>2</c:v>
                  </c:pt>
                  <c:pt idx="2">
                    <c:v>3</c:v>
                  </c:pt>
                  <c:pt idx="3">
                    <c:v>4</c:v>
                  </c:pt>
                  <c:pt idx="4">
                    <c:v>6</c:v>
                  </c:pt>
                  <c:pt idx="5">
                    <c:v>7</c:v>
                  </c:pt>
                  <c:pt idx="6">
                    <c:v>8</c:v>
                  </c:pt>
                  <c:pt idx="7">
                    <c:v>9</c:v>
                  </c:pt>
                  <c:pt idx="8">
                    <c:v>10</c:v>
                  </c:pt>
                  <c:pt idx="9">
                    <c:v>11</c:v>
                  </c:pt>
                  <c:pt idx="10">
                    <c:v>12</c:v>
                  </c:pt>
                  <c:pt idx="11">
                    <c:v>13</c:v>
                  </c:pt>
                  <c:pt idx="12">
                    <c:v>14</c:v>
                  </c:pt>
                  <c:pt idx="13">
                    <c:v>15</c:v>
                  </c:pt>
                  <c:pt idx="14">
                    <c:v>16</c:v>
                  </c:pt>
                  <c:pt idx="15">
                    <c:v>17</c:v>
                  </c:pt>
                  <c:pt idx="16">
                    <c:v>18</c:v>
                  </c:pt>
                  <c:pt idx="17">
                    <c:v>19</c:v>
                  </c:pt>
                  <c:pt idx="18">
                    <c:v>20</c:v>
                  </c:pt>
                  <c:pt idx="19">
                    <c:v>21</c:v>
                  </c:pt>
                  <c:pt idx="20">
                    <c:v>22</c:v>
                  </c:pt>
                  <c:pt idx="21">
                    <c:v>23</c:v>
                  </c:pt>
                  <c:pt idx="22">
                    <c:v>24</c:v>
                  </c:pt>
                  <c:pt idx="23">
                    <c:v>25</c:v>
                  </c:pt>
                  <c:pt idx="24">
                    <c:v>26</c:v>
                  </c:pt>
                  <c:pt idx="25">
                    <c:v>27</c:v>
                  </c:pt>
                  <c:pt idx="26">
                    <c:v>28</c:v>
                  </c:pt>
                  <c:pt idx="27">
                    <c:v>29</c:v>
                  </c:pt>
                  <c:pt idx="28">
                    <c:v>30</c:v>
                  </c:pt>
                  <c:pt idx="29">
                    <c:v>31</c:v>
                  </c:pt>
                  <c:pt idx="30">
                    <c:v>32</c:v>
                  </c:pt>
                  <c:pt idx="31">
                    <c:v>33</c:v>
                  </c:pt>
                  <c:pt idx="32">
                    <c:v>34</c:v>
                  </c:pt>
                  <c:pt idx="33">
                    <c:v>35</c:v>
                  </c:pt>
                  <c:pt idx="34">
                    <c:v>36</c:v>
                  </c:pt>
                  <c:pt idx="35">
                    <c:v>37</c:v>
                  </c:pt>
                  <c:pt idx="36">
                    <c:v>38</c:v>
                  </c:pt>
                  <c:pt idx="37">
                    <c:v>39</c:v>
                  </c:pt>
                  <c:pt idx="38">
                    <c:v>41</c:v>
                  </c:pt>
                  <c:pt idx="39">
                    <c:v>42</c:v>
                  </c:pt>
                  <c:pt idx="40">
                    <c:v>43</c:v>
                  </c:pt>
                  <c:pt idx="41">
                    <c:v>44</c:v>
                  </c:pt>
                  <c:pt idx="42">
                    <c:v>45</c:v>
                  </c:pt>
                  <c:pt idx="43">
                    <c:v>46</c:v>
                  </c:pt>
                  <c:pt idx="44">
                    <c:v>47</c:v>
                  </c:pt>
                  <c:pt idx="45">
                    <c:v>48</c:v>
                  </c:pt>
                  <c:pt idx="46">
                    <c:v>49</c:v>
                  </c:pt>
                  <c:pt idx="47">
                    <c:v>50</c:v>
                  </c:pt>
                  <c:pt idx="48">
                    <c:v>51</c:v>
                  </c:pt>
                  <c:pt idx="49">
                    <c:v>52</c:v>
                  </c:pt>
                  <c:pt idx="50">
                    <c:v>EoY</c:v>
                  </c:pt>
                  <c:pt idx="51">
                    <c:v>1</c:v>
                  </c:pt>
                  <c:pt idx="52">
                    <c:v>2</c:v>
                  </c:pt>
                  <c:pt idx="53">
                    <c:v>3</c:v>
                  </c:pt>
                  <c:pt idx="54">
                    <c:v>4</c:v>
                  </c:pt>
                  <c:pt idx="55">
                    <c:v>5</c:v>
                  </c:pt>
                  <c:pt idx="56">
                    <c:v>6</c:v>
                  </c:pt>
                  <c:pt idx="57">
                    <c:v>8</c:v>
                  </c:pt>
                  <c:pt idx="58">
                    <c:v>9</c:v>
                  </c:pt>
                  <c:pt idx="59">
                    <c:v>10</c:v>
                  </c:pt>
                  <c:pt idx="60">
                    <c:v>11</c:v>
                  </c:pt>
                  <c:pt idx="61">
                    <c:v>12</c:v>
                  </c:pt>
                  <c:pt idx="62">
                    <c:v>13</c:v>
                  </c:pt>
                  <c:pt idx="63">
                    <c:v>14</c:v>
                  </c:pt>
                  <c:pt idx="64">
                    <c:v>15</c:v>
                  </c:pt>
                  <c:pt idx="65">
                    <c:v>16</c:v>
                  </c:pt>
                  <c:pt idx="66">
                    <c:v>17</c:v>
                  </c:pt>
                  <c:pt idx="67">
                    <c:v>18</c:v>
                  </c:pt>
                  <c:pt idx="68">
                    <c:v>19</c:v>
                  </c:pt>
                  <c:pt idx="69">
                    <c:v>20</c:v>
                  </c:pt>
                  <c:pt idx="70">
                    <c:v>21</c:v>
                  </c:pt>
                  <c:pt idx="71">
                    <c:v>22</c:v>
                  </c:pt>
                  <c:pt idx="72">
                    <c:v>23</c:v>
                  </c:pt>
                  <c:pt idx="73">
                    <c:v>24</c:v>
                  </c:pt>
                  <c:pt idx="74">
                    <c:v>25</c:v>
                  </c:pt>
                  <c:pt idx="75">
                    <c:v>26</c:v>
                  </c:pt>
                  <c:pt idx="76">
                    <c:v>27</c:v>
                  </c:pt>
                  <c:pt idx="77">
                    <c:v>28</c:v>
                  </c:pt>
                  <c:pt idx="78">
                    <c:v>29</c:v>
                  </c:pt>
                  <c:pt idx="79">
                    <c:v>30</c:v>
                  </c:pt>
                  <c:pt idx="80">
                    <c:v>31</c:v>
                  </c:pt>
                  <c:pt idx="81">
                    <c:v>32</c:v>
                  </c:pt>
                  <c:pt idx="82">
                    <c:v>33</c:v>
                  </c:pt>
                  <c:pt idx="83">
                    <c:v>34</c:v>
                  </c:pt>
                  <c:pt idx="84">
                    <c:v>35</c:v>
                  </c:pt>
                  <c:pt idx="85">
                    <c:v>36</c:v>
                  </c:pt>
                  <c:pt idx="86">
                    <c:v>37</c:v>
                  </c:pt>
                </c:lvl>
                <c:lvl>
                  <c:pt idx="0">
                    <c:v>2025</c:v>
                  </c:pt>
                  <c:pt idx="51">
                    <c:v>2026</c:v>
                  </c:pt>
                </c:lvl>
              </c:multiLvlStrCache>
            </c:multiLvlStrRef>
          </c:cat>
          <c:val>
            <c:numRef>
              <c:f>glass!$CX$4:$GF$4</c:f>
              <c:numCache>
                <c:formatCode>General</c:formatCode>
                <c:ptCount val="87"/>
                <c:pt idx="0">
                  <c:v>19.5</c:v>
                </c:pt>
                <c:pt idx="1">
                  <c:v>19.5</c:v>
                </c:pt>
                <c:pt idx="2">
                  <c:v>19.5</c:v>
                </c:pt>
                <c:pt idx="3">
                  <c:v>19.5</c:v>
                </c:pt>
                <c:pt idx="4">
                  <c:v>19.5</c:v>
                </c:pt>
                <c:pt idx="5">
                  <c:v>19.5</c:v>
                </c:pt>
                <c:pt idx="6">
                  <c:v>19.5</c:v>
                </c:pt>
                <c:pt idx="7">
                  <c:v>19.5</c:v>
                </c:pt>
                <c:pt idx="8">
                  <c:v>20</c:v>
                </c:pt>
                <c:pt idx="9">
                  <c:v>20</c:v>
                </c:pt>
                <c:pt idx="10">
                  <c:v>20</c:v>
                </c:pt>
                <c:pt idx="11">
                  <c:v>23</c:v>
                </c:pt>
                <c:pt idx="12">
                  <c:v>23.5</c:v>
                </c:pt>
                <c:pt idx="13">
                  <c:v>23.5</c:v>
                </c:pt>
                <c:pt idx="14">
                  <c:v>23.5</c:v>
                </c:pt>
                <c:pt idx="15">
                  <c:v>23.5</c:v>
                </c:pt>
                <c:pt idx="16">
                  <c:v>23.5</c:v>
                </c:pt>
                <c:pt idx="17">
                  <c:v>23.5</c:v>
                </c:pt>
                <c:pt idx="18">
                  <c:v>23</c:v>
                </c:pt>
                <c:pt idx="19">
                  <c:v>22.5</c:v>
                </c:pt>
                <c:pt idx="20">
                  <c:v>22.5</c:v>
                </c:pt>
                <c:pt idx="21">
                  <c:v>22.5</c:v>
                </c:pt>
                <c:pt idx="22">
                  <c:v>22.5</c:v>
                </c:pt>
                <c:pt idx="23">
                  <c:v>22.5</c:v>
                </c:pt>
                <c:pt idx="24">
                  <c:v>20</c:v>
                </c:pt>
                <c:pt idx="25">
                  <c:v>20</c:v>
                </c:pt>
                <c:pt idx="26">
                  <c:v>20</c:v>
                </c:pt>
                <c:pt idx="27">
                  <c:v>20</c:v>
                </c:pt>
                <c:pt idx="28">
                  <c:v>20</c:v>
                </c:pt>
                <c:pt idx="29">
                  <c:v>20</c:v>
                </c:pt>
                <c:pt idx="30">
                  <c:v>20</c:v>
                </c:pt>
                <c:pt idx="31">
                  <c:v>20</c:v>
                </c:pt>
                <c:pt idx="32">
                  <c:v>20</c:v>
                </c:pt>
                <c:pt idx="33">
                  <c:v>20</c:v>
                </c:pt>
                <c:pt idx="34">
                  <c:v>20</c:v>
                </c:pt>
                <c:pt idx="35">
                  <c:v>20</c:v>
                </c:pt>
                <c:pt idx="36">
                  <c:v>20</c:v>
                </c:pt>
                <c:pt idx="37">
                  <c:v>20</c:v>
                </c:pt>
                <c:pt idx="38">
                  <c:v>20</c:v>
                </c:pt>
                <c:pt idx="39">
                  <c:v>20</c:v>
                </c:pt>
                <c:pt idx="40">
                  <c:v>20</c:v>
                </c:pt>
                <c:pt idx="41">
                  <c:v>20</c:v>
                </c:pt>
                <c:pt idx="42">
                  <c:v>20</c:v>
                </c:pt>
                <c:pt idx="43">
                  <c:v>20</c:v>
                </c:pt>
                <c:pt idx="44">
                  <c:v>20</c:v>
                </c:pt>
                <c:pt idx="45">
                  <c:v>20</c:v>
                </c:pt>
                <c:pt idx="46">
                  <c:v>20</c:v>
                </c:pt>
                <c:pt idx="47">
                  <c:v>20</c:v>
                </c:pt>
                <c:pt idx="48">
                  <c:v>20</c:v>
                </c:pt>
                <c:pt idx="49">
                  <c:v>20</c:v>
                </c:pt>
                <c:pt idx="50">
                  <c:v>20</c:v>
                </c:pt>
                <c:pt idx="51">
                  <c:v>20</c:v>
                </c:pt>
                <c:pt idx="52">
                  <c:v>20</c:v>
                </c:pt>
                <c:pt idx="53">
                  <c:v>20</c:v>
                </c:pt>
                <c:pt idx="54">
                  <c:v>20</c:v>
                </c:pt>
                <c:pt idx="55">
                  <c:v>20</c:v>
                </c:pt>
                <c:pt idx="56">
                  <c:v>20</c:v>
                </c:pt>
                <c:pt idx="57">
                  <c:v>20</c:v>
                </c:pt>
                <c:pt idx="58">
                  <c:v>20</c:v>
                </c:pt>
                <c:pt idx="59">
                  <c:v>20</c:v>
                </c:pt>
                <c:pt idx="60">
                  <c:v>19.5</c:v>
                </c:pt>
                <c:pt idx="61">
                  <c:v>19.5</c:v>
                </c:pt>
                <c:pt idx="62">
                  <c:v>19.5</c:v>
                </c:pt>
                <c:pt idx="63">
                  <c:v>19.5</c:v>
                </c:pt>
                <c:pt idx="64">
                  <c:v>19.5</c:v>
                </c:pt>
                <c:pt idx="65">
                  <c:v>18.5</c:v>
                </c:pt>
                <c:pt idx="66">
                  <c:v>18.5</c:v>
                </c:pt>
                <c:pt idx="67">
                  <c:v>18.5</c:v>
                </c:pt>
                <c:pt idx="68">
                  <c:v>18.5</c:v>
                </c:pt>
                <c:pt idx="69">
                  <c:v>18.5</c:v>
                </c:pt>
                <c:pt idx="70">
                  <c:v>18.5</c:v>
                </c:pt>
                <c:pt idx="71">
                  <c:v>18.5</c:v>
                </c:pt>
                <c:pt idx="72">
                  <c:v>18.5</c:v>
                </c:pt>
                <c:pt idx="73">
                  <c:v>18.5</c:v>
                </c:pt>
                <c:pt idx="74">
                  <c:v>18.5</c:v>
                </c:pt>
                <c:pt idx="75">
                  <c:v>18.5</c:v>
                </c:pt>
                <c:pt idx="76">
                  <c:v>18.5</c:v>
                </c:pt>
                <c:pt idx="77">
                  <c:v>18.5</c:v>
                </c:pt>
                <c:pt idx="78">
                  <c:v>18.5</c:v>
                </c:pt>
                <c:pt idx="79">
                  <c:v>18.5</c:v>
                </c:pt>
                <c:pt idx="80">
                  <c:v>18.5</c:v>
                </c:pt>
                <c:pt idx="81">
                  <c:v>18.5</c:v>
                </c:pt>
                <c:pt idx="82">
                  <c:v>18.5</c:v>
                </c:pt>
                <c:pt idx="83">
                  <c:v>18.5</c:v>
                </c:pt>
                <c:pt idx="84">
                  <c:v>18.5</c:v>
                </c:pt>
                <c:pt idx="85">
                  <c:v>18.5</c:v>
                </c:pt>
                <c:pt idx="86">
                  <c:v>18.5</c:v>
                </c:pt>
              </c:numCache>
            </c:numRef>
          </c:val>
          <c:smooth val="0"/>
          <c:extLst>
            <c:ext xmlns:c16="http://schemas.microsoft.com/office/drawing/2014/chart" uri="{C3380CC4-5D6E-409C-BE32-E72D297353CC}">
              <c16:uniqueId val="{00000000-2528-4A07-BE6E-D0B28C2A7B3C}"/>
            </c:ext>
          </c:extLst>
        </c:ser>
        <c:ser>
          <c:idx val="1"/>
          <c:order val="1"/>
          <c:tx>
            <c:strRef>
              <c:f>glass!$A$5</c:f>
              <c:strCache>
                <c:ptCount val="1"/>
                <c:pt idx="0">
                  <c:v>2.0 mm</c:v>
                </c:pt>
              </c:strCache>
            </c:strRef>
          </c:tx>
          <c:spPr>
            <a:ln w="28575" cap="rnd">
              <a:solidFill>
                <a:schemeClr val="accent6"/>
              </a:solidFill>
              <a:round/>
            </a:ln>
            <a:effectLst/>
          </c:spPr>
          <c:marker>
            <c:symbol val="none"/>
          </c:marker>
          <c:cat>
            <c:multiLvlStrRef>
              <c:f>glass!$CX$2:$GF$3</c:f>
              <c:multiLvlStrCache>
                <c:ptCount val="87"/>
                <c:lvl>
                  <c:pt idx="0">
                    <c:v>1</c:v>
                  </c:pt>
                  <c:pt idx="1">
                    <c:v>2</c:v>
                  </c:pt>
                  <c:pt idx="2">
                    <c:v>3</c:v>
                  </c:pt>
                  <c:pt idx="3">
                    <c:v>4</c:v>
                  </c:pt>
                  <c:pt idx="4">
                    <c:v>6</c:v>
                  </c:pt>
                  <c:pt idx="5">
                    <c:v>7</c:v>
                  </c:pt>
                  <c:pt idx="6">
                    <c:v>8</c:v>
                  </c:pt>
                  <c:pt idx="7">
                    <c:v>9</c:v>
                  </c:pt>
                  <c:pt idx="8">
                    <c:v>10</c:v>
                  </c:pt>
                  <c:pt idx="9">
                    <c:v>11</c:v>
                  </c:pt>
                  <c:pt idx="10">
                    <c:v>12</c:v>
                  </c:pt>
                  <c:pt idx="11">
                    <c:v>13</c:v>
                  </c:pt>
                  <c:pt idx="12">
                    <c:v>14</c:v>
                  </c:pt>
                  <c:pt idx="13">
                    <c:v>15</c:v>
                  </c:pt>
                  <c:pt idx="14">
                    <c:v>16</c:v>
                  </c:pt>
                  <c:pt idx="15">
                    <c:v>17</c:v>
                  </c:pt>
                  <c:pt idx="16">
                    <c:v>18</c:v>
                  </c:pt>
                  <c:pt idx="17">
                    <c:v>19</c:v>
                  </c:pt>
                  <c:pt idx="18">
                    <c:v>20</c:v>
                  </c:pt>
                  <c:pt idx="19">
                    <c:v>21</c:v>
                  </c:pt>
                  <c:pt idx="20">
                    <c:v>22</c:v>
                  </c:pt>
                  <c:pt idx="21">
                    <c:v>23</c:v>
                  </c:pt>
                  <c:pt idx="22">
                    <c:v>24</c:v>
                  </c:pt>
                  <c:pt idx="23">
                    <c:v>25</c:v>
                  </c:pt>
                  <c:pt idx="24">
                    <c:v>26</c:v>
                  </c:pt>
                  <c:pt idx="25">
                    <c:v>27</c:v>
                  </c:pt>
                  <c:pt idx="26">
                    <c:v>28</c:v>
                  </c:pt>
                  <c:pt idx="27">
                    <c:v>29</c:v>
                  </c:pt>
                  <c:pt idx="28">
                    <c:v>30</c:v>
                  </c:pt>
                  <c:pt idx="29">
                    <c:v>31</c:v>
                  </c:pt>
                  <c:pt idx="30">
                    <c:v>32</c:v>
                  </c:pt>
                  <c:pt idx="31">
                    <c:v>33</c:v>
                  </c:pt>
                  <c:pt idx="32">
                    <c:v>34</c:v>
                  </c:pt>
                  <c:pt idx="33">
                    <c:v>35</c:v>
                  </c:pt>
                  <c:pt idx="34">
                    <c:v>36</c:v>
                  </c:pt>
                  <c:pt idx="35">
                    <c:v>37</c:v>
                  </c:pt>
                  <c:pt idx="36">
                    <c:v>38</c:v>
                  </c:pt>
                  <c:pt idx="37">
                    <c:v>39</c:v>
                  </c:pt>
                  <c:pt idx="38">
                    <c:v>41</c:v>
                  </c:pt>
                  <c:pt idx="39">
                    <c:v>42</c:v>
                  </c:pt>
                  <c:pt idx="40">
                    <c:v>43</c:v>
                  </c:pt>
                  <c:pt idx="41">
                    <c:v>44</c:v>
                  </c:pt>
                  <c:pt idx="42">
                    <c:v>45</c:v>
                  </c:pt>
                  <c:pt idx="43">
                    <c:v>46</c:v>
                  </c:pt>
                  <c:pt idx="44">
                    <c:v>47</c:v>
                  </c:pt>
                  <c:pt idx="45">
                    <c:v>48</c:v>
                  </c:pt>
                  <c:pt idx="46">
                    <c:v>49</c:v>
                  </c:pt>
                  <c:pt idx="47">
                    <c:v>50</c:v>
                  </c:pt>
                  <c:pt idx="48">
                    <c:v>51</c:v>
                  </c:pt>
                  <c:pt idx="49">
                    <c:v>52</c:v>
                  </c:pt>
                  <c:pt idx="50">
                    <c:v>EoY</c:v>
                  </c:pt>
                  <c:pt idx="51">
                    <c:v>1</c:v>
                  </c:pt>
                  <c:pt idx="52">
                    <c:v>2</c:v>
                  </c:pt>
                  <c:pt idx="53">
                    <c:v>3</c:v>
                  </c:pt>
                  <c:pt idx="54">
                    <c:v>4</c:v>
                  </c:pt>
                  <c:pt idx="55">
                    <c:v>5</c:v>
                  </c:pt>
                  <c:pt idx="56">
                    <c:v>6</c:v>
                  </c:pt>
                  <c:pt idx="57">
                    <c:v>8</c:v>
                  </c:pt>
                  <c:pt idx="58">
                    <c:v>9</c:v>
                  </c:pt>
                  <c:pt idx="59">
                    <c:v>10</c:v>
                  </c:pt>
                  <c:pt idx="60">
                    <c:v>11</c:v>
                  </c:pt>
                  <c:pt idx="61">
                    <c:v>12</c:v>
                  </c:pt>
                  <c:pt idx="62">
                    <c:v>13</c:v>
                  </c:pt>
                  <c:pt idx="63">
                    <c:v>14</c:v>
                  </c:pt>
                  <c:pt idx="64">
                    <c:v>15</c:v>
                  </c:pt>
                  <c:pt idx="65">
                    <c:v>16</c:v>
                  </c:pt>
                  <c:pt idx="66">
                    <c:v>17</c:v>
                  </c:pt>
                  <c:pt idx="67">
                    <c:v>18</c:v>
                  </c:pt>
                  <c:pt idx="68">
                    <c:v>19</c:v>
                  </c:pt>
                  <c:pt idx="69">
                    <c:v>20</c:v>
                  </c:pt>
                  <c:pt idx="70">
                    <c:v>21</c:v>
                  </c:pt>
                  <c:pt idx="71">
                    <c:v>22</c:v>
                  </c:pt>
                  <c:pt idx="72">
                    <c:v>23</c:v>
                  </c:pt>
                  <c:pt idx="73">
                    <c:v>24</c:v>
                  </c:pt>
                  <c:pt idx="74">
                    <c:v>25</c:v>
                  </c:pt>
                  <c:pt idx="75">
                    <c:v>26</c:v>
                  </c:pt>
                  <c:pt idx="76">
                    <c:v>27</c:v>
                  </c:pt>
                  <c:pt idx="77">
                    <c:v>28</c:v>
                  </c:pt>
                  <c:pt idx="78">
                    <c:v>29</c:v>
                  </c:pt>
                  <c:pt idx="79">
                    <c:v>30</c:v>
                  </c:pt>
                  <c:pt idx="80">
                    <c:v>31</c:v>
                  </c:pt>
                  <c:pt idx="81">
                    <c:v>32</c:v>
                  </c:pt>
                  <c:pt idx="82">
                    <c:v>33</c:v>
                  </c:pt>
                  <c:pt idx="83">
                    <c:v>34</c:v>
                  </c:pt>
                  <c:pt idx="84">
                    <c:v>35</c:v>
                  </c:pt>
                  <c:pt idx="85">
                    <c:v>36</c:v>
                  </c:pt>
                  <c:pt idx="86">
                    <c:v>37</c:v>
                  </c:pt>
                </c:lvl>
                <c:lvl>
                  <c:pt idx="0">
                    <c:v>2025</c:v>
                  </c:pt>
                  <c:pt idx="51">
                    <c:v>2026</c:v>
                  </c:pt>
                </c:lvl>
              </c:multiLvlStrCache>
            </c:multiLvlStrRef>
          </c:cat>
          <c:val>
            <c:numRef>
              <c:f>glass!$CX$5:$GF$5</c:f>
              <c:numCache>
                <c:formatCode>General</c:formatCode>
                <c:ptCount val="87"/>
                <c:pt idx="0">
                  <c:v>12</c:v>
                </c:pt>
                <c:pt idx="1">
                  <c:v>12</c:v>
                </c:pt>
                <c:pt idx="2">
                  <c:v>12</c:v>
                </c:pt>
                <c:pt idx="3">
                  <c:v>12</c:v>
                </c:pt>
                <c:pt idx="4">
                  <c:v>12</c:v>
                </c:pt>
                <c:pt idx="5">
                  <c:v>12</c:v>
                </c:pt>
                <c:pt idx="6">
                  <c:v>12</c:v>
                </c:pt>
                <c:pt idx="7">
                  <c:v>12</c:v>
                </c:pt>
                <c:pt idx="8">
                  <c:v>13</c:v>
                </c:pt>
                <c:pt idx="9">
                  <c:v>13</c:v>
                </c:pt>
                <c:pt idx="10">
                  <c:v>13</c:v>
                </c:pt>
                <c:pt idx="11">
                  <c:v>13.5</c:v>
                </c:pt>
                <c:pt idx="12">
                  <c:v>14</c:v>
                </c:pt>
                <c:pt idx="13">
                  <c:v>14.5</c:v>
                </c:pt>
                <c:pt idx="14">
                  <c:v>14.5</c:v>
                </c:pt>
                <c:pt idx="15">
                  <c:v>14.5</c:v>
                </c:pt>
                <c:pt idx="16">
                  <c:v>14.5</c:v>
                </c:pt>
                <c:pt idx="17">
                  <c:v>14.5</c:v>
                </c:pt>
                <c:pt idx="18">
                  <c:v>14.2</c:v>
                </c:pt>
                <c:pt idx="19">
                  <c:v>14</c:v>
                </c:pt>
                <c:pt idx="20">
                  <c:v>14</c:v>
                </c:pt>
                <c:pt idx="21">
                  <c:v>14</c:v>
                </c:pt>
                <c:pt idx="22">
                  <c:v>14</c:v>
                </c:pt>
                <c:pt idx="23">
                  <c:v>14</c:v>
                </c:pt>
                <c:pt idx="24">
                  <c:v>12</c:v>
                </c:pt>
                <c:pt idx="25">
                  <c:v>12</c:v>
                </c:pt>
                <c:pt idx="26">
                  <c:v>12</c:v>
                </c:pt>
                <c:pt idx="27">
                  <c:v>12</c:v>
                </c:pt>
                <c:pt idx="28">
                  <c:v>12</c:v>
                </c:pt>
                <c:pt idx="29">
                  <c:v>12</c:v>
                </c:pt>
                <c:pt idx="30">
                  <c:v>12</c:v>
                </c:pt>
                <c:pt idx="31">
                  <c:v>12</c:v>
                </c:pt>
                <c:pt idx="32">
                  <c:v>12</c:v>
                </c:pt>
                <c:pt idx="33">
                  <c:v>14</c:v>
                </c:pt>
                <c:pt idx="34">
                  <c:v>14</c:v>
                </c:pt>
                <c:pt idx="35">
                  <c:v>14</c:v>
                </c:pt>
                <c:pt idx="36">
                  <c:v>14</c:v>
                </c:pt>
                <c:pt idx="37">
                  <c:v>14</c:v>
                </c:pt>
                <c:pt idx="38">
                  <c:v>14</c:v>
                </c:pt>
                <c:pt idx="39">
                  <c:v>14</c:v>
                </c:pt>
                <c:pt idx="40">
                  <c:v>14</c:v>
                </c:pt>
                <c:pt idx="41">
                  <c:v>14</c:v>
                </c:pt>
                <c:pt idx="42">
                  <c:v>14</c:v>
                </c:pt>
                <c:pt idx="43">
                  <c:v>14</c:v>
                </c:pt>
                <c:pt idx="44">
                  <c:v>14</c:v>
                </c:pt>
                <c:pt idx="45">
                  <c:v>14</c:v>
                </c:pt>
                <c:pt idx="46">
                  <c:v>13.5</c:v>
                </c:pt>
                <c:pt idx="47">
                  <c:v>13.5</c:v>
                </c:pt>
                <c:pt idx="48">
                  <c:v>13.5</c:v>
                </c:pt>
                <c:pt idx="49">
                  <c:v>13.5</c:v>
                </c:pt>
                <c:pt idx="50">
                  <c:v>13.5</c:v>
                </c:pt>
                <c:pt idx="51">
                  <c:v>13.5</c:v>
                </c:pt>
                <c:pt idx="52">
                  <c:v>13.5</c:v>
                </c:pt>
                <c:pt idx="53">
                  <c:v>13.5</c:v>
                </c:pt>
                <c:pt idx="54">
                  <c:v>13.5</c:v>
                </c:pt>
                <c:pt idx="55">
                  <c:v>13.5</c:v>
                </c:pt>
                <c:pt idx="56">
                  <c:v>13.5</c:v>
                </c:pt>
                <c:pt idx="57">
                  <c:v>13.5</c:v>
                </c:pt>
                <c:pt idx="58">
                  <c:v>13.5</c:v>
                </c:pt>
                <c:pt idx="59">
                  <c:v>13.5</c:v>
                </c:pt>
                <c:pt idx="60">
                  <c:v>12.8</c:v>
                </c:pt>
                <c:pt idx="61">
                  <c:v>12.8</c:v>
                </c:pt>
                <c:pt idx="62">
                  <c:v>12.8</c:v>
                </c:pt>
                <c:pt idx="63">
                  <c:v>12.8</c:v>
                </c:pt>
                <c:pt idx="64">
                  <c:v>12.8</c:v>
                </c:pt>
                <c:pt idx="65">
                  <c:v>11.5</c:v>
                </c:pt>
                <c:pt idx="66">
                  <c:v>11.5</c:v>
                </c:pt>
                <c:pt idx="67">
                  <c:v>11.5</c:v>
                </c:pt>
                <c:pt idx="68">
                  <c:v>11.5</c:v>
                </c:pt>
                <c:pt idx="69">
                  <c:v>11.5</c:v>
                </c:pt>
                <c:pt idx="70">
                  <c:v>11.5</c:v>
                </c:pt>
                <c:pt idx="71">
                  <c:v>11.5</c:v>
                </c:pt>
                <c:pt idx="72">
                  <c:v>11.5</c:v>
                </c:pt>
                <c:pt idx="73">
                  <c:v>11.5</c:v>
                </c:pt>
                <c:pt idx="74">
                  <c:v>11.5</c:v>
                </c:pt>
                <c:pt idx="75">
                  <c:v>11.5</c:v>
                </c:pt>
                <c:pt idx="76">
                  <c:v>11.5</c:v>
                </c:pt>
                <c:pt idx="77">
                  <c:v>11.5</c:v>
                </c:pt>
                <c:pt idx="78">
                  <c:v>11.5</c:v>
                </c:pt>
                <c:pt idx="79">
                  <c:v>11.5</c:v>
                </c:pt>
                <c:pt idx="80">
                  <c:v>11.5</c:v>
                </c:pt>
                <c:pt idx="81">
                  <c:v>11.5</c:v>
                </c:pt>
                <c:pt idx="82">
                  <c:v>11.5</c:v>
                </c:pt>
                <c:pt idx="83">
                  <c:v>11.5</c:v>
                </c:pt>
                <c:pt idx="84">
                  <c:v>11.5</c:v>
                </c:pt>
                <c:pt idx="85">
                  <c:v>11.5</c:v>
                </c:pt>
                <c:pt idx="86">
                  <c:v>11.5</c:v>
                </c:pt>
              </c:numCache>
            </c:numRef>
          </c:val>
          <c:smooth val="0"/>
          <c:extLst>
            <c:ext xmlns:c16="http://schemas.microsoft.com/office/drawing/2014/chart" uri="{C3380CC4-5D6E-409C-BE32-E72D297353CC}">
              <c16:uniqueId val="{00000001-2528-4A07-BE6E-D0B28C2A7B3C}"/>
            </c:ext>
          </c:extLst>
        </c:ser>
        <c:dLbls>
          <c:showLegendKey val="0"/>
          <c:showVal val="0"/>
          <c:showCatName val="0"/>
          <c:showSerName val="0"/>
          <c:showPercent val="0"/>
          <c:showBubbleSize val="0"/>
        </c:dLbls>
        <c:smooth val="0"/>
        <c:axId val="1846869999"/>
        <c:axId val="1847551151"/>
      </c:lineChart>
      <c:catAx>
        <c:axId val="18468699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1"/>
          <a:lstStyle/>
          <a:p>
            <a:pPr>
              <a:defRPr lang="zh-CN" sz="1100" b="0" i="0" u="none" strike="noStrike" kern="1200" baseline="0">
                <a:solidFill>
                  <a:schemeClr val="bg1"/>
                </a:solidFill>
                <a:latin typeface="+mn-lt"/>
                <a:ea typeface="+mn-ea"/>
                <a:cs typeface="+mn-cs"/>
              </a:defRPr>
            </a:pPr>
            <a:endParaRPr lang="en-US"/>
          </a:p>
        </c:txPr>
        <c:crossAx val="1847551151"/>
        <c:crosses val="autoZero"/>
        <c:auto val="1"/>
        <c:lblAlgn val="ctr"/>
        <c:lblOffset val="100"/>
        <c:tickLblSkip val="1"/>
        <c:noMultiLvlLbl val="0"/>
      </c:catAx>
      <c:valAx>
        <c:axId val="1847551151"/>
        <c:scaling>
          <c:orientation val="minMax"/>
          <c:max val="30"/>
          <c:min val="10"/>
        </c:scaling>
        <c:delete val="0"/>
        <c:axPos val="l"/>
        <c:title>
          <c:tx>
            <c:rich>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defRPr lang="zh-CN" sz="1400" b="0" i="0" u="none" strike="noStrike" kern="1200" baseline="0">
                    <a:solidFill>
                      <a:sysClr val="window" lastClr="FFFFFF"/>
                    </a:solidFill>
                    <a:latin typeface="+mn-lt"/>
                    <a:ea typeface="+mn-ea"/>
                    <a:cs typeface="+mn-cs"/>
                  </a:defRPr>
                </a:pPr>
                <a:r>
                  <a:rPr lang="en-GB" sz="1400" b="0" i="0" u="none" strike="noStrike" kern="1200" baseline="0">
                    <a:solidFill>
                      <a:schemeClr val="bg1"/>
                    </a:solidFill>
                  </a:rPr>
                  <a:t>Price (RMB/m2)</a:t>
                </a:r>
              </a:p>
            </c:rich>
          </c:tx>
          <c:overlay val="0"/>
          <c:spPr>
            <a:noFill/>
            <a:ln>
              <a:noFill/>
            </a:ln>
            <a:effectLst/>
          </c:spPr>
          <c:txPr>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defRPr lang="zh-CN" sz="1400" b="0" i="0" u="none" strike="noStrike" kern="1200" baseline="0">
                  <a:solidFill>
                    <a:sysClr val="window" lastClr="FFFFFF"/>
                  </a:solidFill>
                  <a:latin typeface="+mn-lt"/>
                  <a:ea typeface="+mn-ea"/>
                  <a:cs typeface="+mn-cs"/>
                </a:defRPr>
              </a:pPr>
              <a:endParaRPr lang="en-GB"/>
            </a:p>
          </c:txPr>
        </c:title>
        <c:numFmt formatCode="General" sourceLinked="1"/>
        <c:majorTickMark val="out"/>
        <c:minorTickMark val="none"/>
        <c:tickLblPos val="nextTo"/>
        <c:spPr>
          <a:noFill/>
          <a:ln>
            <a:solidFill>
              <a:schemeClr val="bg1"/>
            </a:solidFill>
          </a:ln>
          <a:effectLst/>
        </c:spPr>
        <c:txPr>
          <a:bodyPr rot="-60000000" spcFirstLastPara="1" vertOverflow="ellipsis" vert="horz" wrap="square" anchor="ctr" anchorCtr="1"/>
          <a:lstStyle/>
          <a:p>
            <a:pPr>
              <a:defRPr lang="zh-CN" sz="1400" b="0" i="0" u="none" strike="noStrike" kern="1200" baseline="0">
                <a:solidFill>
                  <a:schemeClr val="bg1"/>
                </a:solidFill>
                <a:latin typeface="+mn-lt"/>
                <a:ea typeface="+mn-ea"/>
                <a:cs typeface="+mn-cs"/>
              </a:defRPr>
            </a:pPr>
            <a:endParaRPr lang="en-US"/>
          </a:p>
        </c:txPr>
        <c:crossAx val="1846869999"/>
        <c:crosses val="autoZero"/>
        <c:crossBetween val="between"/>
        <c:majorUnit val="3"/>
      </c:valAx>
      <c:spPr>
        <a:noFill/>
        <a:ln>
          <a:noFill/>
        </a:ln>
        <a:effectLst/>
      </c:spPr>
    </c:plotArea>
    <c:legend>
      <c:legendPos val="b"/>
      <c:overlay val="0"/>
      <c:spPr>
        <a:noFill/>
        <a:ln>
          <a:noFill/>
        </a:ln>
        <a:effectLst/>
      </c:spPr>
      <c:txPr>
        <a:bodyPr rot="0" spcFirstLastPara="1" vertOverflow="ellipsis" vert="horz" wrap="square" anchor="ctr" anchorCtr="1"/>
        <a:lstStyle/>
        <a:p>
          <a:pPr>
            <a:defRPr lang="zh-CN" sz="1400" b="0" i="0" u="none" strike="noStrike" kern="1200" baseline="0">
              <a:solidFill>
                <a:schemeClr val="bg1"/>
              </a:solidFill>
              <a:latin typeface="+mn-lt"/>
              <a:ea typeface="+mn-ea"/>
              <a:cs typeface="+mn-cs"/>
            </a:defRPr>
          </a:pPr>
          <a:endParaRPr lang="en-US"/>
        </a:p>
      </c:txPr>
    </c:legend>
    <c:plotVisOnly val="1"/>
    <c:dispBlanksAs val="gap"/>
    <c:showDLblsOverMax val="0"/>
    <c:extLst>
      <c:ext uri="{0b15fc19-7d7d-44ad-8c2d-2c3a37ce22c3}">
        <chartProps xmlns="https://web.wps.cn/et/2018/main" chartId="{b43e0410-486d-4a15-9fa5-85e15bb9cc7b}"/>
      </c:ext>
    </c:extLst>
  </c:chart>
  <c:spPr>
    <a:solidFill>
      <a:schemeClr val="tx1"/>
    </a:solidFill>
    <a:ln w="9525" cap="flat" cmpd="sng" algn="ctr">
      <a:solidFill>
        <a:schemeClr val="tx1">
          <a:lumMod val="15000"/>
          <a:lumOff val="85000"/>
        </a:schemeClr>
      </a:solidFill>
      <a:round/>
    </a:ln>
    <a:effectLst/>
  </c:spPr>
  <c:txPr>
    <a:bodyPr/>
    <a:lstStyle/>
    <a:p>
      <a:pPr>
        <a:defRPr lang="zh-CN" sz="1400">
          <a:solidFill>
            <a:schemeClr val="bg1"/>
          </a:solidFill>
        </a:defRPr>
      </a:pPr>
      <a:endParaRPr lang="en-US"/>
    </a:p>
  </c:txPr>
  <c:printSettings>
    <c:headerFooter/>
    <c:pageMargins b="0.75" l="0.7" r="0.7" t="0.75" header="0.3" footer="0.3"/>
    <c:pageSetup/>
  </c:printSettings>
  <c:userShapes r:id="rId4"/>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s>
</file>

<file path=xl/drawings/_rels/drawing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7.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image" Target="../media/image3.jpeg"/></Relationships>
</file>

<file path=xl/drawings/_rels/drawing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9.xml.rels><?xml version="1.0" encoding="UTF-8" standalone="yes"?>
<Relationships xmlns="http://schemas.openxmlformats.org/package/2006/relationships"><Relationship Id="rId1" Type="http://schemas.openxmlformats.org/officeDocument/2006/relationships/chart" Target="../charts/chart5.xml"/></Relationships>
</file>

<file path=xl/drawings/_rels/drawing10.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133</xdr:col>
      <xdr:colOff>673735</xdr:colOff>
      <xdr:row>12</xdr:row>
      <xdr:rowOff>55245</xdr:rowOff>
    </xdr:from>
    <xdr:to>
      <xdr:col>156</xdr:col>
      <xdr:colOff>747818</xdr:colOff>
      <xdr:row>49</xdr:row>
      <xdr:rowOff>146051</xdr:rowOff>
    </xdr:to>
    <xdr:graphicFrame macro="">
      <xdr:nvGraphicFramePr>
        <xdr:cNvPr id="31" name="Chart 36">
          <a:extLst>
            <a:ext uri="{FF2B5EF4-FFF2-40B4-BE49-F238E27FC236}">
              <a16:creationId xmlns:a16="http://schemas.microsoft.com/office/drawing/2014/main" id="{00000000-0008-0000-0300-00001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0.00444</cdr:x>
      <cdr:y>0.01061</cdr:y>
    </cdr:from>
    <cdr:to>
      <cdr:x>0.11099</cdr:x>
      <cdr:y>0.11164</cdr:y>
    </cdr:to>
    <cdr:pic>
      <cdr:nvPicPr>
        <cdr:cNvPr id="2" name="图片 1">
          <a:extLst xmlns:a="http://schemas.openxmlformats.org/drawingml/2006/main">
            <a:ext uri="{FF2B5EF4-FFF2-40B4-BE49-F238E27FC236}">
              <a16:creationId xmlns:a16="http://schemas.microsoft.com/office/drawing/2014/main" id="{24CFB357-7891-F130-C1DF-3C4631C49E4B}"/>
            </a:ext>
          </a:extLst>
        </cdr:cNvPr>
        <cdr:cNvPicPr/>
      </cdr:nvPicPr>
      <cdr:blipFill>
        <a:blip xmlns:a="http://schemas.openxmlformats.org/drawingml/2006/main" xmlns:r="http://schemas.openxmlformats.org/officeDocument/2006/relationships" r:embed="rId1" cstate="print">
          <a:clrChange>
            <a:clrFrom>
              <a:srgbClr val="003464">
                <a:alpha val="100000"/>
              </a:srgbClr>
            </a:clrFrom>
            <a:clrTo>
              <a:srgbClr val="003464">
                <a:alpha val="100000"/>
                <a:alpha val="0"/>
              </a:srgbClr>
            </a:clrTo>
          </a:clrChange>
          <a:extLst>
            <a:ext uri="{28A0092B-C50C-407E-A947-70E740481C1C}">
              <a14:useLocalDpi xmlns:a14="http://schemas.microsoft.com/office/drawing/2010/main" val="0"/>
            </a:ext>
          </a:extLst>
        </a:blip>
        <a:stretch xmlns:a="http://schemas.openxmlformats.org/drawingml/2006/main">
          <a:fillRect/>
        </a:stretch>
      </cdr:blipFill>
      <cdr:spPr>
        <a:xfrm xmlns:a="http://schemas.openxmlformats.org/drawingml/2006/main">
          <a:off x="52547" y="56729"/>
          <a:ext cx="1261903" cy="540171"/>
        </a:xfrm>
        <a:prstGeom xmlns:a="http://schemas.openxmlformats.org/drawingml/2006/main" prst="rect">
          <a:avLst/>
        </a:prstGeom>
      </cdr:spPr>
    </cdr:pic>
  </cdr:relSizeAnchor>
  <cdr:relSizeAnchor xmlns:cdr="http://schemas.openxmlformats.org/drawingml/2006/chartDrawing">
    <cdr:from>
      <cdr:x>0.8443</cdr:x>
      <cdr:y>0.00201</cdr:y>
    </cdr:from>
    <cdr:to>
      <cdr:x>0.99898</cdr:x>
      <cdr:y>0.11175</cdr:y>
    </cdr:to>
    <cdr:pic>
      <cdr:nvPicPr>
        <cdr:cNvPr id="3" name="图片 2">
          <a:extLst xmlns:a="http://schemas.openxmlformats.org/drawingml/2006/main">
            <a:ext uri="{FF2B5EF4-FFF2-40B4-BE49-F238E27FC236}">
              <a16:creationId xmlns:a16="http://schemas.microsoft.com/office/drawing/2014/main" id="{01E83E24-E9A8-2272-3657-F45ECA58BB81}"/>
            </a:ext>
          </a:extLst>
        </cdr:cNvPr>
        <cdr:cNvPicPr/>
      </cdr:nvPicPr>
      <cdr:blipFill>
        <a:blip xmlns:a="http://schemas.openxmlformats.org/drawingml/2006/main" xmlns:r="http://schemas.openxmlformats.org/officeDocument/2006/relationships" r:embed="rId2">
          <a:extLst>
            <a:ext uri="{28A0092B-C50C-407E-A947-70E740481C1C}">
              <a14:useLocalDpi xmlns:a14="http://schemas.microsoft.com/office/drawing/2010/main" val="0"/>
            </a:ext>
          </a:extLst>
        </a:blip>
        <a:stretch xmlns:a="http://schemas.openxmlformats.org/drawingml/2006/main">
          <a:fillRect/>
        </a:stretch>
      </cdr:blipFill>
      <cdr:spPr>
        <a:xfrm xmlns:a="http://schemas.openxmlformats.org/drawingml/2006/main">
          <a:off x="13230705" y="13448"/>
          <a:ext cx="2423932" cy="734219"/>
        </a:xfrm>
        <a:prstGeom xmlns:a="http://schemas.openxmlformats.org/drawingml/2006/main" prst="rect">
          <a:avLst/>
        </a:prstGeom>
      </cdr:spPr>
    </cdr:pic>
  </cdr:relSizeAnchor>
</c:userShapes>
</file>

<file path=xl/drawings/drawing3.xml><?xml version="1.0" encoding="utf-8"?>
<xdr:wsDr xmlns:xdr="http://schemas.openxmlformats.org/drawingml/2006/spreadsheetDrawing" xmlns:a="http://schemas.openxmlformats.org/drawingml/2006/main">
  <xdr:twoCellAnchor>
    <xdr:from>
      <xdr:col>142</xdr:col>
      <xdr:colOff>68580</xdr:colOff>
      <xdr:row>16</xdr:row>
      <xdr:rowOff>51435</xdr:rowOff>
    </xdr:from>
    <xdr:to>
      <xdr:col>161</xdr:col>
      <xdr:colOff>395605</xdr:colOff>
      <xdr:row>46</xdr:row>
      <xdr:rowOff>165100</xdr:rowOff>
    </xdr:to>
    <xdr:graphicFrame macro="">
      <xdr:nvGraphicFramePr>
        <xdr:cNvPr id="2" name="Chart 1">
          <a:extLst>
            <a:ext uri="{FF2B5EF4-FFF2-40B4-BE49-F238E27FC236}">
              <a16:creationId xmlns:a16="http://schemas.microsoft.com/office/drawing/2014/main" id="{00000000-0008-0000-0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c:userShapes xmlns:c="http://schemas.openxmlformats.org/drawingml/2006/chart">
  <cdr:relSizeAnchor xmlns:cdr="http://schemas.openxmlformats.org/drawingml/2006/chartDrawing">
    <cdr:from>
      <cdr:x>0.00444</cdr:x>
      <cdr:y>0.01061</cdr:y>
    </cdr:from>
    <cdr:to>
      <cdr:x>0.11099</cdr:x>
      <cdr:y>0.11164</cdr:y>
    </cdr:to>
    <cdr:pic>
      <cdr:nvPicPr>
        <cdr:cNvPr id="2" name="图片 1">
          <a:extLst xmlns:a="http://schemas.openxmlformats.org/drawingml/2006/main">
            <a:ext uri="{FF2B5EF4-FFF2-40B4-BE49-F238E27FC236}">
              <a16:creationId xmlns:a16="http://schemas.microsoft.com/office/drawing/2014/main" id="{2359FDD3-8594-3E42-12D8-D364BF5FB0CA}"/>
            </a:ext>
          </a:extLst>
        </cdr:cNvPr>
        <cdr:cNvPicPr/>
      </cdr:nvPicPr>
      <cdr:blipFill>
        <a:blip xmlns:a="http://schemas.openxmlformats.org/drawingml/2006/main" xmlns:r="http://schemas.openxmlformats.org/officeDocument/2006/relationships" r:embed="rId1" cstate="print">
          <a:clrChange>
            <a:clrFrom>
              <a:srgbClr val="003464">
                <a:alpha val="100000"/>
              </a:srgbClr>
            </a:clrFrom>
            <a:clrTo>
              <a:srgbClr val="003464">
                <a:alpha val="100000"/>
                <a:alpha val="0"/>
              </a:srgbClr>
            </a:clrTo>
          </a:clrChange>
          <a:extLst>
            <a:ext uri="{28A0092B-C50C-407E-A947-70E740481C1C}">
              <a14:useLocalDpi xmlns:a14="http://schemas.microsoft.com/office/drawing/2010/main" val="0"/>
            </a:ext>
          </a:extLst>
        </a:blip>
        <a:stretch xmlns:a="http://schemas.openxmlformats.org/drawingml/2006/main">
          <a:fillRect/>
        </a:stretch>
      </cdr:blipFill>
      <cdr:spPr>
        <a:xfrm xmlns:a="http://schemas.openxmlformats.org/drawingml/2006/main">
          <a:off x="52547" y="56729"/>
          <a:ext cx="1261903" cy="540171"/>
        </a:xfrm>
        <a:prstGeom xmlns:a="http://schemas.openxmlformats.org/drawingml/2006/main" prst="rect">
          <a:avLst/>
        </a:prstGeom>
      </cdr:spPr>
    </cdr:pic>
  </cdr:relSizeAnchor>
  <cdr:relSizeAnchor xmlns:cdr="http://schemas.openxmlformats.org/drawingml/2006/chartDrawing">
    <cdr:from>
      <cdr:x>0.844</cdr:x>
      <cdr:y>0.00391</cdr:y>
    </cdr:from>
    <cdr:to>
      <cdr:x>0.99868</cdr:x>
      <cdr:y>0.12106</cdr:y>
    </cdr:to>
    <cdr:pic>
      <cdr:nvPicPr>
        <cdr:cNvPr id="3" name="图片 2">
          <a:extLst xmlns:a="http://schemas.openxmlformats.org/drawingml/2006/main">
            <a:ext uri="{FF2B5EF4-FFF2-40B4-BE49-F238E27FC236}">
              <a16:creationId xmlns:a16="http://schemas.microsoft.com/office/drawing/2014/main" id="{9607B393-02C4-05FC-E7CC-73167B14FD64}"/>
            </a:ext>
          </a:extLst>
        </cdr:cNvPr>
        <cdr:cNvPicPr/>
      </cdr:nvPicPr>
      <cdr:blipFill>
        <a:blip xmlns:a="http://schemas.openxmlformats.org/drawingml/2006/main" xmlns:r="http://schemas.openxmlformats.org/officeDocument/2006/relationships" r:embed="rId2">
          <a:extLst>
            <a:ext uri="{28A0092B-C50C-407E-A947-70E740481C1C}">
              <a14:useLocalDpi xmlns:a14="http://schemas.microsoft.com/office/drawing/2010/main" val="0"/>
            </a:ext>
          </a:extLst>
        </a:blip>
        <a:stretch xmlns:a="http://schemas.openxmlformats.org/drawingml/2006/main">
          <a:fillRect/>
        </a:stretch>
      </cdr:blipFill>
      <cdr:spPr>
        <a:xfrm xmlns:a="http://schemas.openxmlformats.org/drawingml/2006/main">
          <a:off x="11034028" y="19050"/>
          <a:ext cx="2022215" cy="570778"/>
        </a:xfrm>
        <a:prstGeom xmlns:a="http://schemas.openxmlformats.org/drawingml/2006/main" prst="rect">
          <a:avLst/>
        </a:prstGeom>
      </cdr:spPr>
    </cdr:pic>
  </cdr:relSizeAnchor>
</c:userShapes>
</file>

<file path=xl/drawings/drawing5.xml><?xml version="1.0" encoding="utf-8"?>
<xdr:wsDr xmlns:xdr="http://schemas.openxmlformats.org/drawingml/2006/spreadsheetDrawing" xmlns:a="http://schemas.openxmlformats.org/drawingml/2006/main">
  <xdr:twoCellAnchor>
    <xdr:from>
      <xdr:col>140</xdr:col>
      <xdr:colOff>181609</xdr:colOff>
      <xdr:row>12</xdr:row>
      <xdr:rowOff>52705</xdr:rowOff>
    </xdr:from>
    <xdr:to>
      <xdr:col>159</xdr:col>
      <xdr:colOff>625927</xdr:colOff>
      <xdr:row>51</xdr:row>
      <xdr:rowOff>122193</xdr:rowOff>
    </xdr:to>
    <xdr:graphicFrame macro="">
      <xdr:nvGraphicFramePr>
        <xdr:cNvPr id="4" name="Chart 1">
          <a:extLst>
            <a:ext uri="{FF2B5EF4-FFF2-40B4-BE49-F238E27FC236}">
              <a16:creationId xmlns:a16="http://schemas.microsoft.com/office/drawing/2014/main" id="{00000000-0008-0000-05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c:userShapes xmlns:c="http://schemas.openxmlformats.org/drawingml/2006/chart">
  <cdr:relSizeAnchor xmlns:cdr="http://schemas.openxmlformats.org/drawingml/2006/chartDrawing">
    <cdr:from>
      <cdr:x>0.00444</cdr:x>
      <cdr:y>0.01061</cdr:y>
    </cdr:from>
    <cdr:to>
      <cdr:x>0.11099</cdr:x>
      <cdr:y>0.11164</cdr:y>
    </cdr:to>
    <cdr:pic>
      <cdr:nvPicPr>
        <cdr:cNvPr id="2" name="图片 1">
          <a:extLst xmlns:a="http://schemas.openxmlformats.org/drawingml/2006/main">
            <a:ext uri="{FF2B5EF4-FFF2-40B4-BE49-F238E27FC236}">
              <a16:creationId xmlns:a16="http://schemas.microsoft.com/office/drawing/2014/main" id="{9FDF02F5-9405-1B83-223B-A40BF997D7F9}"/>
            </a:ext>
          </a:extLst>
        </cdr:cNvPr>
        <cdr:cNvPicPr/>
      </cdr:nvPicPr>
      <cdr:blipFill>
        <a:blip xmlns:a="http://schemas.openxmlformats.org/drawingml/2006/main" xmlns:r="http://schemas.openxmlformats.org/officeDocument/2006/relationships" r:embed="rId1" cstate="print">
          <a:clrChange>
            <a:clrFrom>
              <a:srgbClr val="003464">
                <a:alpha val="100000"/>
              </a:srgbClr>
            </a:clrFrom>
            <a:clrTo>
              <a:srgbClr val="003464">
                <a:alpha val="100000"/>
                <a:alpha val="0"/>
              </a:srgbClr>
            </a:clrTo>
          </a:clrChange>
          <a:extLst>
            <a:ext uri="{28A0092B-C50C-407E-A947-70E740481C1C}">
              <a14:useLocalDpi xmlns:a14="http://schemas.microsoft.com/office/drawing/2010/main" val="0"/>
            </a:ext>
          </a:extLst>
        </a:blip>
        <a:stretch xmlns:a="http://schemas.openxmlformats.org/drawingml/2006/main">
          <a:fillRect/>
        </a:stretch>
      </cdr:blipFill>
      <cdr:spPr>
        <a:xfrm xmlns:a="http://schemas.openxmlformats.org/drawingml/2006/main">
          <a:off x="52547" y="56729"/>
          <a:ext cx="1261903" cy="540171"/>
        </a:xfrm>
        <a:prstGeom xmlns:a="http://schemas.openxmlformats.org/drawingml/2006/main" prst="rect">
          <a:avLst/>
        </a:prstGeom>
      </cdr:spPr>
    </cdr:pic>
  </cdr:relSizeAnchor>
  <cdr:relSizeAnchor xmlns:cdr="http://schemas.openxmlformats.org/drawingml/2006/chartDrawing">
    <cdr:from>
      <cdr:x>0.84215</cdr:x>
      <cdr:y>0.00379</cdr:y>
    </cdr:from>
    <cdr:to>
      <cdr:x>0.99683</cdr:x>
      <cdr:y>0.12094</cdr:y>
    </cdr:to>
    <cdr:pic>
      <cdr:nvPicPr>
        <cdr:cNvPr id="3" name="图片 2">
          <a:extLst xmlns:a="http://schemas.openxmlformats.org/drawingml/2006/main">
            <a:ext uri="{FF2B5EF4-FFF2-40B4-BE49-F238E27FC236}">
              <a16:creationId xmlns:a16="http://schemas.microsoft.com/office/drawing/2014/main" id="{DBE49D9B-5D35-5D21-1F41-59CACC28C9AF}"/>
            </a:ext>
          </a:extLst>
        </cdr:cNvPr>
        <cdr:cNvPicPr/>
      </cdr:nvPicPr>
      <cdr:blipFill>
        <a:blip xmlns:a="http://schemas.openxmlformats.org/drawingml/2006/main" xmlns:r="http://schemas.openxmlformats.org/officeDocument/2006/relationships" r:embed="rId2">
          <a:extLst>
            <a:ext uri="{28A0092B-C50C-407E-A947-70E740481C1C}">
              <a14:useLocalDpi xmlns:a14="http://schemas.microsoft.com/office/drawing/2010/main" val="0"/>
            </a:ext>
          </a:extLst>
        </a:blip>
        <a:stretch xmlns:a="http://schemas.openxmlformats.org/drawingml/2006/main">
          <a:fillRect/>
        </a:stretch>
      </cdr:blipFill>
      <cdr:spPr>
        <a:xfrm xmlns:a="http://schemas.openxmlformats.org/drawingml/2006/main">
          <a:off x="9422062" y="19050"/>
          <a:ext cx="1730569" cy="589618"/>
        </a:xfrm>
        <a:prstGeom xmlns:a="http://schemas.openxmlformats.org/drawingml/2006/main" prst="rect">
          <a:avLst/>
        </a:prstGeom>
      </cdr:spPr>
    </cdr:pic>
  </cdr:relSizeAnchor>
</c:userShapes>
</file>

<file path=xl/drawings/drawing7.xml><?xml version="1.0" encoding="utf-8"?>
<xdr:wsDr xmlns:xdr="http://schemas.openxmlformats.org/drawingml/2006/spreadsheetDrawing" xmlns:a="http://schemas.openxmlformats.org/drawingml/2006/main">
  <xdr:twoCellAnchor>
    <xdr:from>
      <xdr:col>22</xdr:col>
      <xdr:colOff>9434</xdr:colOff>
      <xdr:row>33</xdr:row>
      <xdr:rowOff>62774</xdr:rowOff>
    </xdr:from>
    <xdr:to>
      <xdr:col>24</xdr:col>
      <xdr:colOff>51979</xdr:colOff>
      <xdr:row>36</xdr:row>
      <xdr:rowOff>148137</xdr:rowOff>
    </xdr:to>
    <xdr:pic>
      <xdr:nvPicPr>
        <xdr:cNvPr id="4" name="图片 3">
          <a:extLst>
            <a:ext uri="{FF2B5EF4-FFF2-40B4-BE49-F238E27FC236}">
              <a16:creationId xmlns:a16="http://schemas.microsoft.com/office/drawing/2014/main" id="{00000000-0008-0000-0600-000004000000}"/>
            </a:ext>
          </a:extLst>
        </xdr:cNvPr>
        <xdr:cNvPicPr/>
      </xdr:nvPicPr>
      <xdr:blipFill>
        <a:blip xmlns:r="http://schemas.openxmlformats.org/officeDocument/2006/relationships" r:embed="rId1" cstate="print">
          <a:clrChange>
            <a:clrFrom>
              <a:srgbClr val="003464">
                <a:alpha val="100000"/>
              </a:srgbClr>
            </a:clrFrom>
            <a:clrTo>
              <a:srgbClr val="003464">
                <a:alpha val="100000"/>
                <a:alpha val="0"/>
              </a:srgbClr>
            </a:clrTo>
          </a:clrChange>
          <a:extLst>
            <a:ext uri="{28A0092B-C50C-407E-A947-70E740481C1C}">
              <a14:useLocalDpi xmlns:a14="http://schemas.microsoft.com/office/drawing/2010/main" val="0"/>
            </a:ext>
          </a:extLst>
        </a:blip>
        <a:stretch>
          <a:fillRect/>
        </a:stretch>
      </xdr:blipFill>
      <xdr:spPr>
        <a:xfrm>
          <a:off x="4114800" y="6673850"/>
          <a:ext cx="0" cy="657225"/>
        </a:xfrm>
        <a:prstGeom prst="rect">
          <a:avLst/>
        </a:prstGeom>
      </xdr:spPr>
    </xdr:pic>
    <xdr:clientData/>
  </xdr:twoCellAnchor>
  <xdr:twoCellAnchor>
    <xdr:from>
      <xdr:col>132</xdr:col>
      <xdr:colOff>462280</xdr:colOff>
      <xdr:row>21</xdr:row>
      <xdr:rowOff>172084</xdr:rowOff>
    </xdr:from>
    <xdr:to>
      <xdr:col>160</xdr:col>
      <xdr:colOff>86591</xdr:colOff>
      <xdr:row>86</xdr:row>
      <xdr:rowOff>173181</xdr:rowOff>
    </xdr:to>
    <xdr:graphicFrame macro="">
      <xdr:nvGraphicFramePr>
        <xdr:cNvPr id="2" name="Chart 2">
          <a:extLst>
            <a:ext uri="{FF2B5EF4-FFF2-40B4-BE49-F238E27FC236}">
              <a16:creationId xmlns:a16="http://schemas.microsoft.com/office/drawing/2014/main" id="{00000000-0008-0000-06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8.xml><?xml version="1.0" encoding="utf-8"?>
<c:userShapes xmlns:c="http://schemas.openxmlformats.org/drawingml/2006/chart">
  <cdr:relSizeAnchor xmlns:cdr="http://schemas.openxmlformats.org/drawingml/2006/chartDrawing">
    <cdr:from>
      <cdr:x>0.00444</cdr:x>
      <cdr:y>0.01061</cdr:y>
    </cdr:from>
    <cdr:to>
      <cdr:x>0.1288</cdr:x>
      <cdr:y>0.11164</cdr:y>
    </cdr:to>
    <cdr:pic>
      <cdr:nvPicPr>
        <cdr:cNvPr id="2" name="图片 1">
          <a:extLst xmlns:a="http://schemas.openxmlformats.org/drawingml/2006/main">
            <a:ext uri="{FF2B5EF4-FFF2-40B4-BE49-F238E27FC236}">
              <a16:creationId xmlns:a16="http://schemas.microsoft.com/office/drawing/2014/main" id="{AC7F1045-AEA2-977B-CB28-255DED31FF0F}"/>
            </a:ext>
          </a:extLst>
        </cdr:cNvPr>
        <cdr:cNvPicPr/>
      </cdr:nvPicPr>
      <cdr:blipFill>
        <a:blip xmlns:a="http://schemas.openxmlformats.org/drawingml/2006/main" xmlns:r="http://schemas.openxmlformats.org/officeDocument/2006/relationships" r:embed="rId1" cstate="print">
          <a:clrChange>
            <a:clrFrom>
              <a:srgbClr val="003464">
                <a:alpha val="100000"/>
              </a:srgbClr>
            </a:clrFrom>
            <a:clrTo>
              <a:srgbClr val="003464">
                <a:alpha val="100000"/>
                <a:alpha val="0"/>
              </a:srgbClr>
            </a:clrTo>
          </a:clrChange>
          <a:extLst>
            <a:ext uri="{28A0092B-C50C-407E-A947-70E740481C1C}">
              <a14:useLocalDpi xmlns:a14="http://schemas.microsoft.com/office/drawing/2010/main" val="0"/>
            </a:ext>
          </a:extLst>
        </a:blip>
        <a:stretch xmlns:a="http://schemas.openxmlformats.org/drawingml/2006/main">
          <a:fillRect/>
        </a:stretch>
      </cdr:blipFill>
      <cdr:spPr>
        <a:xfrm xmlns:a="http://schemas.openxmlformats.org/drawingml/2006/main">
          <a:off x="101676" y="143333"/>
          <a:ext cx="2847726" cy="1364843"/>
        </a:xfrm>
        <a:prstGeom xmlns:a="http://schemas.openxmlformats.org/drawingml/2006/main" prst="rect">
          <a:avLst/>
        </a:prstGeom>
      </cdr:spPr>
    </cdr:pic>
  </cdr:relSizeAnchor>
  <cdr:relSizeAnchor xmlns:cdr="http://schemas.openxmlformats.org/drawingml/2006/chartDrawing">
    <cdr:from>
      <cdr:x>0.83816</cdr:x>
      <cdr:y>0</cdr:y>
    </cdr:from>
    <cdr:to>
      <cdr:x>0.9979</cdr:x>
      <cdr:y>0.11715</cdr:y>
    </cdr:to>
    <cdr:pic>
      <cdr:nvPicPr>
        <cdr:cNvPr id="3" name="图片 2">
          <a:extLst xmlns:a="http://schemas.openxmlformats.org/drawingml/2006/main">
            <a:ext uri="{FF2B5EF4-FFF2-40B4-BE49-F238E27FC236}">
              <a16:creationId xmlns:a16="http://schemas.microsoft.com/office/drawing/2014/main" id="{C5906890-486A-F8F0-9FD6-1E5D22B2B6AC}"/>
            </a:ext>
          </a:extLst>
        </cdr:cNvPr>
        <cdr:cNvPicPr/>
      </cdr:nvPicPr>
      <cdr:blipFill>
        <a:blip xmlns:a="http://schemas.openxmlformats.org/drawingml/2006/main" xmlns:r="http://schemas.openxmlformats.org/officeDocument/2006/relationships" r:embed="rId2">
          <a:extLst>
            <a:ext uri="{28A0092B-C50C-407E-A947-70E740481C1C}">
              <a14:useLocalDpi xmlns:a14="http://schemas.microsoft.com/office/drawing/2010/main" val="0"/>
            </a:ext>
          </a:extLst>
        </a:blip>
        <a:stretch xmlns:a="http://schemas.openxmlformats.org/drawingml/2006/main">
          <a:fillRect/>
        </a:stretch>
      </cdr:blipFill>
      <cdr:spPr>
        <a:xfrm xmlns:a="http://schemas.openxmlformats.org/drawingml/2006/main">
          <a:off x="19193856" y="0"/>
          <a:ext cx="3658001" cy="1582612"/>
        </a:xfrm>
        <a:prstGeom xmlns:a="http://schemas.openxmlformats.org/drawingml/2006/main" prst="rect">
          <a:avLst/>
        </a:prstGeom>
      </cdr:spPr>
    </cdr:pic>
  </cdr:relSizeAnchor>
</c:userShapes>
</file>

<file path=xl/drawings/drawing9.xml><?xml version="1.0" encoding="utf-8"?>
<xdr:wsDr xmlns:xdr="http://schemas.openxmlformats.org/drawingml/2006/spreadsheetDrawing" xmlns:a="http://schemas.openxmlformats.org/drawingml/2006/main">
  <xdr:twoCellAnchor>
    <xdr:from>
      <xdr:col>138</xdr:col>
      <xdr:colOff>707390</xdr:colOff>
      <xdr:row>7</xdr:row>
      <xdr:rowOff>162560</xdr:rowOff>
    </xdr:from>
    <xdr:to>
      <xdr:col>159</xdr:col>
      <xdr:colOff>586740</xdr:colOff>
      <xdr:row>45</xdr:row>
      <xdr:rowOff>71755</xdr:rowOff>
    </xdr:to>
    <xdr:graphicFrame macro="">
      <xdr:nvGraphicFramePr>
        <xdr:cNvPr id="3" name="Chart 2">
          <a:extLst>
            <a:ext uri="{FF2B5EF4-FFF2-40B4-BE49-F238E27FC236}">
              <a16:creationId xmlns:a16="http://schemas.microsoft.com/office/drawing/2014/main" id="{00000000-0008-0000-07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c:userShapes xmlns:c="http://schemas.openxmlformats.org/drawingml/2006/chart">
  <cdr:relSizeAnchor xmlns:cdr="http://schemas.openxmlformats.org/drawingml/2006/chartDrawing">
    <cdr:from>
      <cdr:x>0.00444</cdr:x>
      <cdr:y>0.01061</cdr:y>
    </cdr:from>
    <cdr:to>
      <cdr:x>0.11099</cdr:x>
      <cdr:y>0.11164</cdr:y>
    </cdr:to>
    <cdr:pic>
      <cdr:nvPicPr>
        <cdr:cNvPr id="2" name="图片 1">
          <a:extLst xmlns:a="http://schemas.openxmlformats.org/drawingml/2006/main">
            <a:ext uri="{FF2B5EF4-FFF2-40B4-BE49-F238E27FC236}">
              <a16:creationId xmlns:a16="http://schemas.microsoft.com/office/drawing/2014/main" id="{65B82F40-19CF-2403-DFA1-402C60730BDA}"/>
            </a:ext>
          </a:extLst>
        </cdr:cNvPr>
        <cdr:cNvPicPr/>
      </cdr:nvPicPr>
      <cdr:blipFill>
        <a:blip xmlns:a="http://schemas.openxmlformats.org/drawingml/2006/main" xmlns:r="http://schemas.openxmlformats.org/officeDocument/2006/relationships" r:embed="rId1" cstate="print">
          <a:clrChange>
            <a:clrFrom>
              <a:srgbClr val="003464">
                <a:alpha val="100000"/>
              </a:srgbClr>
            </a:clrFrom>
            <a:clrTo>
              <a:srgbClr val="003464">
                <a:alpha val="100000"/>
                <a:alpha val="0"/>
              </a:srgbClr>
            </a:clrTo>
          </a:clrChange>
          <a:extLst>
            <a:ext uri="{28A0092B-C50C-407E-A947-70E740481C1C}">
              <a14:useLocalDpi xmlns:a14="http://schemas.microsoft.com/office/drawing/2010/main" val="0"/>
            </a:ext>
          </a:extLst>
        </a:blip>
        <a:stretch xmlns:a="http://schemas.openxmlformats.org/drawingml/2006/main">
          <a:fillRect/>
        </a:stretch>
      </cdr:blipFill>
      <cdr:spPr>
        <a:xfrm xmlns:a="http://schemas.openxmlformats.org/drawingml/2006/main">
          <a:off x="52547" y="56729"/>
          <a:ext cx="1261903" cy="540171"/>
        </a:xfrm>
        <a:prstGeom xmlns:a="http://schemas.openxmlformats.org/drawingml/2006/main" prst="rect">
          <a:avLst/>
        </a:prstGeom>
      </cdr:spPr>
    </cdr:pic>
  </cdr:relSizeAnchor>
  <cdr:relSizeAnchor xmlns:cdr="http://schemas.openxmlformats.org/drawingml/2006/chartDrawing">
    <cdr:from>
      <cdr:x>0.84288</cdr:x>
      <cdr:y>0.00465</cdr:y>
    </cdr:from>
    <cdr:to>
      <cdr:x>0.99756</cdr:x>
      <cdr:y>0.1218</cdr:y>
    </cdr:to>
    <cdr:pic>
      <cdr:nvPicPr>
        <cdr:cNvPr id="3" name="图片 2">
          <a:extLst xmlns:a="http://schemas.openxmlformats.org/drawingml/2006/main">
            <a:ext uri="{FF2B5EF4-FFF2-40B4-BE49-F238E27FC236}">
              <a16:creationId xmlns:a16="http://schemas.microsoft.com/office/drawing/2014/main" id="{F0C6A6C2-8030-73BE-8DE5-8F83AA14D178}"/>
            </a:ext>
          </a:extLst>
        </cdr:cNvPr>
        <cdr:cNvPicPr/>
      </cdr:nvPicPr>
      <cdr:blipFill>
        <a:blip xmlns:a="http://schemas.openxmlformats.org/drawingml/2006/main" xmlns:r="http://schemas.openxmlformats.org/officeDocument/2006/relationships" r:embed="rId2">
          <a:extLst>
            <a:ext uri="{28A0092B-C50C-407E-A947-70E740481C1C}">
              <a14:useLocalDpi xmlns:a14="http://schemas.microsoft.com/office/drawing/2010/main" val="0"/>
            </a:ext>
          </a:extLst>
        </a:blip>
        <a:stretch xmlns:a="http://schemas.openxmlformats.org/drawingml/2006/main">
          <a:fillRect/>
        </a:stretch>
      </cdr:blipFill>
      <cdr:spPr>
        <a:xfrm xmlns:a="http://schemas.openxmlformats.org/drawingml/2006/main">
          <a:off x="9490364" y="19050"/>
          <a:ext cx="1741620" cy="479817"/>
        </a:xfrm>
        <a:prstGeom xmlns:a="http://schemas.openxmlformats.org/drawingml/2006/main" prst="rect">
          <a:avLst/>
        </a:prstGeom>
      </cdr:spPr>
    </cdr:pic>
  </cdr:relSizeAnchor>
</c:userShape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GL64"/>
  <sheetViews>
    <sheetView zoomScale="90" zoomScaleNormal="90" workbookViewId="0">
      <pane xSplit="3" ySplit="1" topLeftCell="GG32" activePane="bottomRight" state="frozen"/>
      <selection pane="bottomRight" activeCell="GJ63" sqref="GJ63"/>
      <selection pane="bottomLeft"/>
      <selection pane="topRight"/>
    </sheetView>
  </sheetViews>
  <sheetFormatPr defaultColWidth="8" defaultRowHeight="15"/>
  <cols>
    <col min="1" max="1" width="8" style="83"/>
    <col min="2" max="2" width="42.625" style="81" customWidth="1"/>
    <col min="3" max="3" width="31.375" style="83" customWidth="1"/>
    <col min="4" max="26" width="8" style="83"/>
    <col min="27" max="29" width="7.875" style="82"/>
    <col min="30" max="30" width="8.875" style="81"/>
    <col min="31" max="35" width="9.125" style="83"/>
    <col min="36" max="36" width="11.375" style="83" customWidth="1"/>
    <col min="37" max="37" width="9.125" style="83"/>
    <col min="38" max="38" width="11.125" style="82" customWidth="1"/>
    <col min="39" max="39" width="9.125" style="83"/>
    <col min="40" max="40" width="12.875" style="83" customWidth="1"/>
    <col min="41" max="41" width="13.125" style="83" customWidth="1"/>
    <col min="42" max="42" width="9.125" style="83"/>
    <col min="43" max="43" width="11.625" style="83" customWidth="1"/>
    <col min="44" max="45" width="10.375" style="83" customWidth="1"/>
    <col min="46" max="46" width="11.375" style="83" customWidth="1"/>
    <col min="47" max="47" width="10" style="83" customWidth="1"/>
    <col min="48" max="48" width="10.875" style="83" customWidth="1"/>
    <col min="49" max="49" width="11.5" style="83" customWidth="1"/>
    <col min="50" max="50" width="11.875" style="83" customWidth="1"/>
    <col min="51" max="51" width="11.375" style="83" customWidth="1"/>
    <col min="52" max="52" width="11.375" style="82" customWidth="1"/>
    <col min="53" max="53" width="10.875" style="83" customWidth="1"/>
    <col min="54" max="54" width="12.5" style="82" customWidth="1"/>
    <col min="55" max="55" width="9.375" style="83" customWidth="1"/>
    <col min="56" max="57" width="9.75" style="83" customWidth="1"/>
    <col min="58" max="58" width="10.875" style="83" customWidth="1"/>
    <col min="59" max="59" width="11.5" style="82" customWidth="1"/>
    <col min="60" max="60" width="8" style="83"/>
    <col min="61" max="61" width="11.25" style="83" customWidth="1"/>
    <col min="62" max="65" width="9.25" style="83"/>
    <col min="66" max="66" width="9.25" style="83" customWidth="1"/>
    <col min="67" max="73" width="9.25" style="83"/>
    <col min="74" max="74" width="10.125" style="83" customWidth="1"/>
    <col min="75" max="77" width="9.25" style="83"/>
    <col min="78" max="78" width="11" style="83" customWidth="1"/>
    <col min="79" max="82" width="9.25" style="83"/>
    <col min="83" max="83" width="10.25" style="83" customWidth="1"/>
    <col min="84" max="84" width="9.25" style="83"/>
    <col min="85" max="85" width="11.25" style="83" customWidth="1"/>
    <col min="86" max="86" width="9.25" style="83"/>
    <col min="87" max="87" width="10.125" style="83" customWidth="1"/>
    <col min="88" max="89" width="9.25" style="83"/>
    <col min="90" max="90" width="9.75" style="83"/>
    <col min="91" max="92" width="9.25" style="83"/>
    <col min="93" max="93" width="11" style="83" customWidth="1"/>
    <col min="94" max="98" width="10.125" style="83"/>
    <col min="99" max="100" width="10.75" style="83" customWidth="1"/>
    <col min="101" max="101" width="10.125" style="83"/>
    <col min="102" max="103" width="11.25" style="83" customWidth="1"/>
    <col min="104" max="104" width="11" style="83" customWidth="1"/>
    <col min="105" max="106" width="10.75" style="83" customWidth="1"/>
    <col min="107" max="107" width="9.25" style="83"/>
    <col min="108" max="109" width="9.25" style="83" customWidth="1"/>
    <col min="110" max="110" width="9.25" style="83"/>
    <col min="111" max="111" width="9.75" style="83"/>
    <col min="112" max="113" width="9.25" style="83"/>
    <col min="114" max="114" width="10.375" style="83" customWidth="1"/>
    <col min="115" max="116" width="9.25" style="83"/>
    <col min="117" max="117" width="9.75" style="83"/>
    <col min="118" max="120" width="9.25" style="83"/>
    <col min="121" max="121" width="10.375" style="83" customWidth="1"/>
    <col min="122" max="122" width="10" style="83" customWidth="1"/>
    <col min="123" max="123" width="10.5" style="83" customWidth="1"/>
    <col min="124" max="124" width="9.25" style="83"/>
    <col min="125" max="125" width="10.375" style="83" customWidth="1"/>
    <col min="126" max="126" width="10.25" style="83" customWidth="1"/>
    <col min="127" max="129" width="10" style="83" customWidth="1"/>
    <col min="130" max="130" width="9.75" style="83" customWidth="1"/>
    <col min="131" max="131" width="10.75" style="83" customWidth="1"/>
    <col min="132" max="133" width="9.125" style="83"/>
    <col min="134" max="134" width="10.5" style="83" customWidth="1"/>
    <col min="135" max="135" width="9.75" style="83"/>
    <col min="136" max="138" width="9.125" style="83"/>
    <col min="139" max="139" width="10.375" style="83" customWidth="1"/>
    <col min="140" max="140" width="9.125" style="83"/>
    <col min="141" max="141" width="10.25" style="83" customWidth="1"/>
    <col min="142" max="143" width="9.125" style="83"/>
    <col min="144" max="144" width="9.875" style="83" customWidth="1"/>
    <col min="145" max="145" width="10.375" style="83" customWidth="1"/>
    <col min="146" max="151" width="10" style="83"/>
    <col min="152" max="152" width="11" style="83" customWidth="1"/>
    <col min="153" max="153" width="10.75" style="83" customWidth="1"/>
    <col min="154" max="157" width="10" style="83"/>
    <col min="158" max="158" width="10.875" style="83"/>
    <col min="159" max="159" width="9.125" style="83"/>
    <col min="160" max="160" width="9.75" style="83"/>
    <col min="161" max="164" width="9.125" style="83"/>
    <col min="165" max="165" width="9.75" style="83" customWidth="1"/>
    <col min="166" max="166" width="9.125" style="83"/>
    <col min="167" max="167" width="9.75" style="83" customWidth="1"/>
    <col min="168" max="168" width="9.125" style="83"/>
    <col min="169" max="169" width="9.75" style="83" customWidth="1"/>
    <col min="170" max="171" width="8.875" style="83" customWidth="1"/>
    <col min="172" max="172" width="9.75" style="83" customWidth="1"/>
    <col min="173" max="173" width="9.125" style="83"/>
    <col min="174" max="175" width="9.75" style="83"/>
    <col min="176" max="176" width="9.125" style="83"/>
    <col min="177" max="178" width="9.75" style="83" customWidth="1"/>
    <col min="179" max="179" width="9.125" style="83"/>
    <col min="180" max="180" width="9.75" style="83" customWidth="1"/>
    <col min="181" max="181" width="9.125" style="83"/>
    <col min="182" max="182" width="9.75" style="83" customWidth="1"/>
    <col min="183" max="183" width="9.125" style="83"/>
    <col min="184" max="184" width="8.875" style="83" customWidth="1"/>
    <col min="185" max="185" width="9.125" style="83"/>
    <col min="186" max="186" width="9.75" style="83" customWidth="1"/>
    <col min="187" max="187" width="9.375" style="83" customWidth="1"/>
    <col min="188" max="188" width="9.5" style="83" customWidth="1"/>
    <col min="189" max="192" width="9.125" style="83"/>
    <col min="193" max="193" width="8.875" style="83" customWidth="1"/>
    <col min="194" max="194" width="9.75" style="83" customWidth="1"/>
    <col min="195" max="16384" width="8" style="83"/>
  </cols>
  <sheetData>
    <row r="1" spans="1:194" s="80" customFormat="1">
      <c r="A1" s="84" t="s">
        <v>0</v>
      </c>
      <c r="B1" s="85" t="s">
        <v>1</v>
      </c>
      <c r="C1" s="84" t="s">
        <v>2</v>
      </c>
      <c r="D1" s="84" t="s">
        <v>3</v>
      </c>
      <c r="E1" s="84" t="s">
        <v>4</v>
      </c>
      <c r="F1" s="84" t="s">
        <v>5</v>
      </c>
      <c r="G1" s="84" t="s">
        <v>6</v>
      </c>
      <c r="H1" s="84" t="s">
        <v>7</v>
      </c>
      <c r="I1" s="84" t="s">
        <v>8</v>
      </c>
      <c r="J1" s="84" t="s">
        <v>9</v>
      </c>
      <c r="K1" s="84" t="s">
        <v>10</v>
      </c>
      <c r="L1" s="84" t="s">
        <v>11</v>
      </c>
      <c r="M1" s="84" t="s">
        <v>12</v>
      </c>
      <c r="N1" s="84" t="s">
        <v>13</v>
      </c>
      <c r="O1" s="84" t="s">
        <v>14</v>
      </c>
      <c r="P1" s="84" t="s">
        <v>15</v>
      </c>
      <c r="Q1" s="84" t="s">
        <v>16</v>
      </c>
      <c r="R1" s="84" t="s">
        <v>17</v>
      </c>
      <c r="S1" s="84" t="s">
        <v>18</v>
      </c>
      <c r="T1" s="84" t="s">
        <v>19</v>
      </c>
      <c r="U1" s="84" t="s">
        <v>20</v>
      </c>
      <c r="V1" s="84" t="s">
        <v>21</v>
      </c>
      <c r="W1" s="84" t="s">
        <v>22</v>
      </c>
      <c r="X1" s="84" t="s">
        <v>23</v>
      </c>
      <c r="Y1" s="84" t="s">
        <v>24</v>
      </c>
      <c r="Z1" s="84" t="s">
        <v>25</v>
      </c>
      <c r="AA1" s="86" t="s">
        <v>26</v>
      </c>
      <c r="AB1" s="86" t="s">
        <v>27</v>
      </c>
      <c r="AC1" s="86" t="s">
        <v>28</v>
      </c>
      <c r="AD1" s="87">
        <v>45112</v>
      </c>
      <c r="AE1" s="87">
        <v>45120</v>
      </c>
      <c r="AF1" s="87">
        <v>45126</v>
      </c>
      <c r="AG1" s="87">
        <v>45133</v>
      </c>
      <c r="AH1" s="87">
        <v>45140</v>
      </c>
      <c r="AI1" s="87">
        <v>45147</v>
      </c>
      <c r="AJ1" s="87">
        <v>45154</v>
      </c>
      <c r="AK1" s="87">
        <v>45161</v>
      </c>
      <c r="AL1" s="87">
        <v>45168</v>
      </c>
      <c r="AM1" s="87">
        <v>45175</v>
      </c>
      <c r="AN1" s="87">
        <v>45182</v>
      </c>
      <c r="AO1" s="87">
        <v>45189</v>
      </c>
      <c r="AP1" s="87">
        <v>45196</v>
      </c>
      <c r="AQ1" s="87">
        <v>45210</v>
      </c>
      <c r="AR1" s="87">
        <v>45217</v>
      </c>
      <c r="AS1" s="87">
        <v>45224</v>
      </c>
      <c r="AT1" s="87">
        <v>45231</v>
      </c>
      <c r="AU1" s="87">
        <v>45238</v>
      </c>
      <c r="AV1" s="87">
        <v>45245</v>
      </c>
      <c r="AW1" s="87">
        <v>45252</v>
      </c>
      <c r="AX1" s="87">
        <v>45260</v>
      </c>
      <c r="AY1" s="87">
        <v>45266</v>
      </c>
      <c r="AZ1" s="87">
        <v>45273</v>
      </c>
      <c r="BA1" s="87">
        <v>45280</v>
      </c>
      <c r="BB1" s="87">
        <v>45287</v>
      </c>
      <c r="BC1" s="87">
        <v>45294</v>
      </c>
      <c r="BD1" s="87">
        <v>45301</v>
      </c>
      <c r="BE1" s="87">
        <v>45308</v>
      </c>
      <c r="BF1" s="87">
        <v>45315</v>
      </c>
      <c r="BG1" s="87">
        <v>45322</v>
      </c>
      <c r="BH1" s="87">
        <v>45329</v>
      </c>
      <c r="BI1" s="87">
        <v>45343</v>
      </c>
      <c r="BJ1" s="87">
        <v>45351</v>
      </c>
      <c r="BK1" s="87">
        <v>45357</v>
      </c>
      <c r="BL1" s="87">
        <v>45364</v>
      </c>
      <c r="BM1" s="87">
        <v>45371</v>
      </c>
      <c r="BN1" s="87">
        <v>45378</v>
      </c>
      <c r="BO1" s="87">
        <v>45385</v>
      </c>
      <c r="BP1" s="87">
        <v>45392</v>
      </c>
      <c r="BQ1" s="87">
        <v>45399</v>
      </c>
      <c r="BR1" s="87">
        <v>45406</v>
      </c>
      <c r="BS1" s="87">
        <v>45420</v>
      </c>
      <c r="BT1" s="87">
        <v>45427</v>
      </c>
      <c r="BU1" s="87">
        <v>45434</v>
      </c>
      <c r="BV1" s="87">
        <v>45441</v>
      </c>
      <c r="BW1" s="87">
        <v>45448</v>
      </c>
      <c r="BX1" s="87">
        <v>45455</v>
      </c>
      <c r="BY1" s="87">
        <v>45462</v>
      </c>
      <c r="BZ1" s="87">
        <v>45469</v>
      </c>
      <c r="CA1" s="87">
        <v>45476</v>
      </c>
      <c r="CB1" s="87">
        <v>45483</v>
      </c>
      <c r="CC1" s="87">
        <v>45490</v>
      </c>
      <c r="CD1" s="87">
        <v>45497</v>
      </c>
      <c r="CE1" s="87">
        <v>45504</v>
      </c>
      <c r="CF1" s="87">
        <v>45511</v>
      </c>
      <c r="CG1" s="87">
        <v>45518</v>
      </c>
      <c r="CH1" s="87">
        <v>45525</v>
      </c>
      <c r="CI1" s="87">
        <v>45532</v>
      </c>
      <c r="CJ1" s="87">
        <v>45539</v>
      </c>
      <c r="CK1" s="87">
        <v>45546</v>
      </c>
      <c r="CL1" s="87">
        <v>45549</v>
      </c>
      <c r="CM1" s="87">
        <v>45553</v>
      </c>
      <c r="CN1" s="87">
        <v>45560</v>
      </c>
      <c r="CO1" s="87">
        <v>45574</v>
      </c>
      <c r="CP1" s="87">
        <v>45581</v>
      </c>
      <c r="CQ1" s="87">
        <v>45588</v>
      </c>
      <c r="CR1" s="87">
        <v>45595</v>
      </c>
      <c r="CS1" s="87">
        <v>45602</v>
      </c>
      <c r="CT1" s="87">
        <v>45609</v>
      </c>
      <c r="CU1" s="87">
        <v>45616</v>
      </c>
      <c r="CV1" s="87">
        <v>45623</v>
      </c>
      <c r="CW1" s="87">
        <v>45630</v>
      </c>
      <c r="CX1" s="87">
        <v>45637</v>
      </c>
      <c r="CY1" s="87">
        <v>45644</v>
      </c>
      <c r="CZ1" s="87">
        <v>45651</v>
      </c>
      <c r="DA1" s="87">
        <v>45659</v>
      </c>
      <c r="DB1" s="87">
        <v>45665</v>
      </c>
      <c r="DC1" s="87">
        <v>45672</v>
      </c>
      <c r="DD1" s="87">
        <v>45679</v>
      </c>
      <c r="DE1" s="87">
        <v>45693</v>
      </c>
      <c r="DF1" s="87">
        <v>45700</v>
      </c>
      <c r="DG1" s="87">
        <v>45707</v>
      </c>
      <c r="DH1" s="87">
        <v>45714</v>
      </c>
      <c r="DI1" s="87">
        <v>45721</v>
      </c>
      <c r="DJ1" s="87">
        <v>45728</v>
      </c>
      <c r="DK1" s="87">
        <v>45735</v>
      </c>
      <c r="DL1" s="87">
        <v>45742</v>
      </c>
      <c r="DM1" s="87">
        <v>45743</v>
      </c>
      <c r="DN1" s="87">
        <v>45749</v>
      </c>
      <c r="DO1" s="87">
        <v>45756</v>
      </c>
      <c r="DP1" s="87">
        <v>45763</v>
      </c>
      <c r="DQ1" s="87">
        <v>45770</v>
      </c>
      <c r="DR1" s="87">
        <v>45777</v>
      </c>
      <c r="DS1" s="87">
        <v>45784</v>
      </c>
      <c r="DT1" s="87">
        <v>45791</v>
      </c>
      <c r="DU1" s="87">
        <v>45792</v>
      </c>
      <c r="DV1" s="87">
        <v>45798</v>
      </c>
      <c r="DW1" s="87">
        <v>45805</v>
      </c>
      <c r="DX1" s="87">
        <v>45812</v>
      </c>
      <c r="DY1" s="87">
        <v>45813</v>
      </c>
      <c r="DZ1" s="87">
        <v>45819</v>
      </c>
      <c r="EA1" s="87">
        <v>45826</v>
      </c>
      <c r="EB1" s="87">
        <v>45833</v>
      </c>
      <c r="EC1" s="87">
        <v>45840</v>
      </c>
      <c r="ED1" s="87">
        <v>45847</v>
      </c>
      <c r="EE1" s="87">
        <v>45854</v>
      </c>
      <c r="EF1" s="87">
        <v>45861</v>
      </c>
      <c r="EG1" s="87">
        <v>45868</v>
      </c>
      <c r="EH1" s="87">
        <v>45875</v>
      </c>
      <c r="EI1" s="87">
        <v>45882</v>
      </c>
      <c r="EJ1" s="87">
        <v>45889</v>
      </c>
      <c r="EK1" s="87">
        <v>45896</v>
      </c>
      <c r="EL1" s="87">
        <v>45903</v>
      </c>
      <c r="EM1" s="87">
        <v>45910</v>
      </c>
      <c r="EN1" s="87">
        <v>45917</v>
      </c>
      <c r="EO1" s="87">
        <v>45924</v>
      </c>
      <c r="EP1" s="87">
        <v>45939</v>
      </c>
      <c r="EQ1" s="87">
        <v>45945</v>
      </c>
      <c r="ER1" s="87">
        <v>45952</v>
      </c>
      <c r="ES1" s="87">
        <v>45959</v>
      </c>
      <c r="ET1" s="87">
        <v>45966</v>
      </c>
      <c r="EU1" s="87">
        <v>45973</v>
      </c>
      <c r="EV1" s="87">
        <v>45980</v>
      </c>
      <c r="EW1" s="87">
        <v>45987</v>
      </c>
      <c r="EX1" s="87">
        <v>45994</v>
      </c>
      <c r="EY1" s="87">
        <v>46001</v>
      </c>
      <c r="EZ1" s="87">
        <v>46008</v>
      </c>
      <c r="FA1" s="87">
        <v>46015</v>
      </c>
      <c r="FB1" s="87">
        <v>46022</v>
      </c>
      <c r="FC1" s="87">
        <v>46029</v>
      </c>
      <c r="FD1" s="87">
        <v>46036</v>
      </c>
      <c r="FE1" s="87">
        <v>46043</v>
      </c>
      <c r="FF1" s="87">
        <v>46050</v>
      </c>
      <c r="FG1" s="87">
        <v>46057</v>
      </c>
      <c r="FH1" s="87">
        <v>46064</v>
      </c>
      <c r="FI1" s="87">
        <v>46078</v>
      </c>
      <c r="FJ1" s="87">
        <v>46085</v>
      </c>
      <c r="FK1" s="87">
        <v>46092</v>
      </c>
      <c r="FL1" s="87">
        <v>46099</v>
      </c>
      <c r="FM1" s="87">
        <v>46106</v>
      </c>
      <c r="FN1" s="87">
        <v>46113</v>
      </c>
      <c r="FO1" s="87">
        <v>46120</v>
      </c>
      <c r="FP1" s="87">
        <v>46127</v>
      </c>
      <c r="FQ1" s="87">
        <v>46134</v>
      </c>
      <c r="FR1" s="87">
        <v>46141</v>
      </c>
      <c r="FS1" s="87">
        <v>46148</v>
      </c>
      <c r="FT1" s="87">
        <v>46155</v>
      </c>
      <c r="FU1" s="87">
        <v>46162</v>
      </c>
      <c r="FV1" s="87">
        <v>46169</v>
      </c>
      <c r="FW1" s="87">
        <v>46176</v>
      </c>
      <c r="FX1" s="87">
        <v>46183</v>
      </c>
      <c r="FY1" s="87">
        <v>46190</v>
      </c>
      <c r="FZ1" s="87">
        <v>46197</v>
      </c>
      <c r="GA1" s="87">
        <v>46204</v>
      </c>
      <c r="GB1" s="87">
        <v>46210</v>
      </c>
      <c r="GC1" s="87">
        <v>46218</v>
      </c>
      <c r="GD1" s="87">
        <v>46225</v>
      </c>
      <c r="GE1" s="87">
        <v>46232</v>
      </c>
      <c r="GF1" s="87">
        <v>46239</v>
      </c>
      <c r="GG1" s="87">
        <v>46246</v>
      </c>
      <c r="GH1" s="87">
        <v>46253</v>
      </c>
      <c r="GI1" s="87">
        <v>46260</v>
      </c>
      <c r="GJ1" s="87">
        <v>46267</v>
      </c>
      <c r="GK1" s="87">
        <v>46274</v>
      </c>
      <c r="GL1" s="87">
        <v>46281</v>
      </c>
    </row>
    <row r="2" spans="1:194" s="81" customFormat="1">
      <c r="A2" s="84" t="s">
        <v>29</v>
      </c>
      <c r="B2" s="81" t="s">
        <v>30</v>
      </c>
      <c r="C2" s="83" t="s">
        <v>31</v>
      </c>
      <c r="D2" s="83" t="s">
        <v>32</v>
      </c>
      <c r="E2" s="83">
        <v>210</v>
      </c>
      <c r="F2" s="83">
        <v>170</v>
      </c>
      <c r="G2" s="83">
        <v>170</v>
      </c>
      <c r="H2" s="83">
        <v>208</v>
      </c>
      <c r="I2" s="83">
        <v>240</v>
      </c>
      <c r="J2" s="83">
        <v>241</v>
      </c>
      <c r="K2" s="83">
        <v>241</v>
      </c>
      <c r="L2" s="83">
        <v>240</v>
      </c>
      <c r="M2" s="83">
        <v>228</v>
      </c>
      <c r="N2" s="83">
        <v>220</v>
      </c>
      <c r="O2" s="83">
        <v>215</v>
      </c>
      <c r="P2" s="83">
        <v>209</v>
      </c>
      <c r="Q2" s="83">
        <v>201</v>
      </c>
      <c r="R2" s="83">
        <v>196</v>
      </c>
      <c r="S2" s="83">
        <v>194</v>
      </c>
      <c r="T2" s="83">
        <v>182</v>
      </c>
      <c r="U2" s="83">
        <v>181</v>
      </c>
      <c r="V2" s="83">
        <v>161</v>
      </c>
      <c r="W2" s="83">
        <v>140</v>
      </c>
      <c r="X2" s="83">
        <v>135</v>
      </c>
      <c r="Y2" s="83">
        <v>120</v>
      </c>
      <c r="Z2" s="83">
        <v>115</v>
      </c>
      <c r="AA2" s="82">
        <v>65</v>
      </c>
      <c r="AB2" s="82">
        <v>64.8</v>
      </c>
      <c r="AC2" s="82">
        <v>64</v>
      </c>
      <c r="AD2" s="81">
        <v>64</v>
      </c>
      <c r="AE2" s="81">
        <v>64.5</v>
      </c>
      <c r="AF2" s="81">
        <v>66</v>
      </c>
      <c r="AG2" s="81">
        <v>68</v>
      </c>
      <c r="AH2" s="81">
        <v>70.5</v>
      </c>
      <c r="AI2" s="81">
        <v>71.5</v>
      </c>
      <c r="AJ2" s="81">
        <v>73.5</v>
      </c>
      <c r="AK2" s="81">
        <v>75</v>
      </c>
      <c r="AL2" s="82">
        <v>80</v>
      </c>
      <c r="AM2" s="82">
        <v>82</v>
      </c>
      <c r="AN2" s="81">
        <v>82</v>
      </c>
      <c r="AO2" s="81">
        <v>82</v>
      </c>
      <c r="AP2" s="81">
        <v>82</v>
      </c>
      <c r="AQ2" s="81">
        <v>82</v>
      </c>
      <c r="AR2" s="81">
        <v>80</v>
      </c>
      <c r="AS2" s="81">
        <v>75</v>
      </c>
      <c r="AT2" s="81">
        <v>70</v>
      </c>
      <c r="AU2" s="81">
        <v>65</v>
      </c>
      <c r="AV2" s="81">
        <v>63.5</v>
      </c>
      <c r="AW2" s="81">
        <v>63</v>
      </c>
      <c r="AX2" s="81">
        <v>63</v>
      </c>
      <c r="AY2" s="81">
        <v>62.5</v>
      </c>
      <c r="AZ2" s="82">
        <v>62.5</v>
      </c>
      <c r="BA2" s="81">
        <v>61</v>
      </c>
      <c r="BB2" s="82">
        <v>61</v>
      </c>
      <c r="BC2" s="81">
        <v>61</v>
      </c>
      <c r="BD2" s="81">
        <v>61</v>
      </c>
      <c r="BE2" s="81">
        <v>61.5</v>
      </c>
      <c r="BF2" s="81">
        <v>61.5</v>
      </c>
      <c r="BG2" s="82">
        <v>61.5</v>
      </c>
      <c r="BH2" s="81">
        <v>61.5</v>
      </c>
      <c r="BI2" s="81">
        <v>61.5</v>
      </c>
      <c r="BJ2" s="81">
        <v>61.5</v>
      </c>
      <c r="BK2" s="81">
        <v>61.5</v>
      </c>
      <c r="BL2" s="81">
        <v>61.5</v>
      </c>
      <c r="BM2" s="81">
        <v>61.5</v>
      </c>
      <c r="BN2" s="88">
        <v>60</v>
      </c>
      <c r="BO2" s="81">
        <v>60</v>
      </c>
      <c r="BP2" s="81">
        <v>58</v>
      </c>
      <c r="BQ2" s="81">
        <v>55</v>
      </c>
      <c r="BR2" s="81">
        <v>48</v>
      </c>
      <c r="BS2" s="81">
        <v>39</v>
      </c>
      <c r="BT2" s="81">
        <v>38</v>
      </c>
      <c r="BU2" s="81">
        <v>38</v>
      </c>
      <c r="BV2" s="81">
        <v>37</v>
      </c>
      <c r="BW2" s="81">
        <v>37</v>
      </c>
      <c r="BX2" s="81">
        <v>37</v>
      </c>
      <c r="BY2" s="81">
        <v>35</v>
      </c>
      <c r="BZ2" s="81">
        <v>35</v>
      </c>
      <c r="CA2" s="81">
        <v>35</v>
      </c>
      <c r="CB2" s="81">
        <v>35</v>
      </c>
      <c r="CC2" s="81">
        <v>35</v>
      </c>
      <c r="CD2" s="81">
        <v>35</v>
      </c>
      <c r="CE2" s="81">
        <v>35</v>
      </c>
      <c r="CF2" s="81">
        <v>35</v>
      </c>
      <c r="CG2" s="81">
        <v>35</v>
      </c>
      <c r="CH2" s="81">
        <v>35</v>
      </c>
      <c r="CI2" s="81">
        <v>35</v>
      </c>
      <c r="CJ2" s="81">
        <v>35</v>
      </c>
      <c r="CK2" s="81">
        <v>35</v>
      </c>
      <c r="CL2" s="81">
        <v>35</v>
      </c>
      <c r="CM2" s="81">
        <v>35</v>
      </c>
      <c r="CN2" s="81">
        <v>35</v>
      </c>
      <c r="CO2" s="81">
        <v>35</v>
      </c>
      <c r="CP2" s="81">
        <v>35</v>
      </c>
      <c r="CQ2" s="81">
        <v>35</v>
      </c>
      <c r="CR2" s="81">
        <v>35</v>
      </c>
      <c r="CS2" s="81">
        <v>35</v>
      </c>
      <c r="CT2" s="81">
        <v>35</v>
      </c>
      <c r="CU2" s="81">
        <v>35</v>
      </c>
      <c r="CV2" s="81">
        <v>35</v>
      </c>
      <c r="CW2" s="81">
        <v>35</v>
      </c>
      <c r="CX2" s="81">
        <v>35</v>
      </c>
      <c r="CY2" s="81">
        <v>35</v>
      </c>
      <c r="CZ2" s="81">
        <v>35</v>
      </c>
      <c r="DA2" s="81">
        <v>35</v>
      </c>
      <c r="DB2" s="81">
        <v>35</v>
      </c>
      <c r="DC2" s="81">
        <v>35</v>
      </c>
      <c r="DD2" s="81">
        <v>35</v>
      </c>
      <c r="DE2" s="81">
        <v>35</v>
      </c>
      <c r="DF2" s="81">
        <v>35</v>
      </c>
      <c r="DG2" s="81">
        <v>35</v>
      </c>
      <c r="DH2" s="81">
        <v>35</v>
      </c>
      <c r="DI2" s="81">
        <v>35</v>
      </c>
      <c r="DJ2" s="81">
        <v>35</v>
      </c>
      <c r="DK2" s="81">
        <v>35</v>
      </c>
      <c r="DL2" s="81">
        <v>35</v>
      </c>
      <c r="DM2" s="81">
        <v>35</v>
      </c>
      <c r="DN2" s="81">
        <v>35</v>
      </c>
      <c r="DO2" s="81">
        <v>35</v>
      </c>
      <c r="DP2" s="81">
        <v>35</v>
      </c>
      <c r="DQ2" s="81">
        <v>35</v>
      </c>
      <c r="DR2" s="81">
        <v>35</v>
      </c>
      <c r="DS2" s="81">
        <v>35</v>
      </c>
      <c r="DT2" s="81">
        <v>35</v>
      </c>
      <c r="DU2" s="81">
        <v>35</v>
      </c>
      <c r="DV2" s="81">
        <v>35</v>
      </c>
      <c r="DW2" s="81">
        <v>35</v>
      </c>
      <c r="DX2" s="81">
        <v>35</v>
      </c>
      <c r="DY2" s="81">
        <v>35</v>
      </c>
      <c r="DZ2" s="81">
        <v>35</v>
      </c>
      <c r="EA2" s="81">
        <v>33.5</v>
      </c>
      <c r="EB2" s="81">
        <v>33.5</v>
      </c>
      <c r="EC2" s="81">
        <v>33.5</v>
      </c>
      <c r="ED2" s="81">
        <v>33.5</v>
      </c>
      <c r="EE2" s="81">
        <v>43</v>
      </c>
      <c r="EF2" s="81">
        <v>43</v>
      </c>
      <c r="EG2" s="81">
        <v>43</v>
      </c>
      <c r="EH2" s="81">
        <v>43</v>
      </c>
      <c r="EI2" s="81">
        <v>43</v>
      </c>
      <c r="EJ2" s="81">
        <v>43</v>
      </c>
      <c r="EK2" s="81">
        <v>43.5</v>
      </c>
      <c r="EL2" s="81">
        <v>43.5</v>
      </c>
      <c r="EM2" s="81">
        <v>43.5</v>
      </c>
      <c r="EN2" s="81">
        <v>43.5</v>
      </c>
      <c r="EO2" s="81">
        <v>43.5</v>
      </c>
      <c r="EP2" s="81">
        <v>43.5</v>
      </c>
      <c r="EQ2" s="81">
        <v>43.5</v>
      </c>
      <c r="ER2" s="81">
        <v>43.5</v>
      </c>
      <c r="ES2" s="81">
        <v>43.5</v>
      </c>
      <c r="ET2" s="81">
        <v>43.5</v>
      </c>
      <c r="EU2" s="83">
        <v>43.5</v>
      </c>
      <c r="EV2" s="83">
        <v>43.5</v>
      </c>
      <c r="EW2" s="83">
        <v>43.5</v>
      </c>
      <c r="EX2" s="83">
        <v>43.5</v>
      </c>
      <c r="EY2" s="83">
        <v>43.5</v>
      </c>
      <c r="EZ2" s="83">
        <v>43.5</v>
      </c>
      <c r="FA2" s="83">
        <v>43.5</v>
      </c>
      <c r="FB2" s="83">
        <v>43.5</v>
      </c>
      <c r="FC2" s="83">
        <v>43.5</v>
      </c>
      <c r="FD2" s="83">
        <v>43.5</v>
      </c>
      <c r="FE2" s="83">
        <v>43.5</v>
      </c>
      <c r="FF2" s="83">
        <v>43.5</v>
      </c>
      <c r="FG2" s="83">
        <v>43.5</v>
      </c>
      <c r="FH2" s="83">
        <v>43.5</v>
      </c>
      <c r="FI2" s="83">
        <v>43.5</v>
      </c>
      <c r="FJ2" s="83">
        <v>43</v>
      </c>
      <c r="FK2" s="83">
        <v>43</v>
      </c>
      <c r="FL2" s="83">
        <v>42.5</v>
      </c>
      <c r="FM2" s="83">
        <v>42.5</v>
      </c>
      <c r="FN2" s="83">
        <v>36</v>
      </c>
      <c r="FO2" s="83">
        <v>34</v>
      </c>
      <c r="FP2" s="83">
        <v>34</v>
      </c>
      <c r="FQ2" s="83">
        <v>34</v>
      </c>
      <c r="FR2" s="83">
        <v>34</v>
      </c>
      <c r="FS2" s="83">
        <v>34</v>
      </c>
      <c r="FT2" s="83">
        <v>34</v>
      </c>
      <c r="FU2" s="83">
        <v>33.5</v>
      </c>
      <c r="FV2" s="83">
        <v>33.5</v>
      </c>
      <c r="FW2" s="83">
        <v>33.5</v>
      </c>
      <c r="FX2" s="83">
        <v>32</v>
      </c>
      <c r="FY2" s="83">
        <v>32</v>
      </c>
      <c r="FZ2" s="83">
        <v>31</v>
      </c>
      <c r="GA2" s="83">
        <v>31</v>
      </c>
      <c r="GB2" s="83">
        <v>31</v>
      </c>
      <c r="GC2" s="83">
        <v>31</v>
      </c>
      <c r="GD2" s="83">
        <v>31</v>
      </c>
      <c r="GE2" s="83">
        <v>30</v>
      </c>
      <c r="GF2" s="83">
        <v>30</v>
      </c>
      <c r="GG2" s="83">
        <v>30</v>
      </c>
      <c r="GH2" s="83">
        <v>30</v>
      </c>
      <c r="GI2" s="83">
        <v>30</v>
      </c>
      <c r="GJ2" s="83">
        <v>30</v>
      </c>
      <c r="GK2" s="83">
        <v>38</v>
      </c>
      <c r="GL2" s="81">
        <v>38</v>
      </c>
    </row>
    <row r="3" spans="1:194" s="81" customFormat="1">
      <c r="A3" s="84" t="s">
        <v>33</v>
      </c>
      <c r="B3" s="81" t="s">
        <v>34</v>
      </c>
      <c r="C3" s="83" t="s">
        <v>35</v>
      </c>
      <c r="D3" s="83" t="s">
        <v>32</v>
      </c>
      <c r="E3" s="83">
        <v>200</v>
      </c>
      <c r="F3" s="83">
        <v>162</v>
      </c>
      <c r="G3" s="83">
        <v>162</v>
      </c>
      <c r="H3" s="83">
        <v>200</v>
      </c>
      <c r="I3" s="83">
        <v>237</v>
      </c>
      <c r="J3" s="83">
        <v>237</v>
      </c>
      <c r="K3" s="83">
        <v>237</v>
      </c>
      <c r="L3" s="83">
        <v>234</v>
      </c>
      <c r="M3" s="83">
        <v>223</v>
      </c>
      <c r="N3" s="83">
        <v>218</v>
      </c>
      <c r="O3" s="83">
        <v>212</v>
      </c>
      <c r="P3" s="83">
        <v>206</v>
      </c>
      <c r="Q3" s="83">
        <v>199</v>
      </c>
      <c r="R3" s="83">
        <v>194</v>
      </c>
      <c r="S3" s="83">
        <v>192</v>
      </c>
      <c r="T3" s="83">
        <v>180</v>
      </c>
      <c r="U3" s="83">
        <v>178</v>
      </c>
      <c r="V3" s="83">
        <v>155</v>
      </c>
      <c r="W3" s="83">
        <v>138</v>
      </c>
      <c r="X3" s="83">
        <v>132</v>
      </c>
      <c r="Y3" s="83">
        <v>115</v>
      </c>
      <c r="Z3" s="83">
        <v>110</v>
      </c>
      <c r="AA3" s="82">
        <v>63</v>
      </c>
      <c r="AB3" s="82">
        <v>62.5</v>
      </c>
      <c r="AC3" s="82">
        <v>62</v>
      </c>
      <c r="AD3" s="81">
        <v>62</v>
      </c>
      <c r="AE3" s="81">
        <v>62</v>
      </c>
      <c r="AF3" s="81">
        <v>64</v>
      </c>
      <c r="AG3" s="81">
        <v>65</v>
      </c>
      <c r="AH3" s="81">
        <v>68</v>
      </c>
      <c r="AI3" s="81">
        <v>69</v>
      </c>
      <c r="AJ3" s="81">
        <v>71.5</v>
      </c>
      <c r="AK3" s="81">
        <v>73</v>
      </c>
      <c r="AL3" s="82">
        <v>77</v>
      </c>
      <c r="AM3" s="82">
        <v>77</v>
      </c>
      <c r="AN3" s="81">
        <v>77</v>
      </c>
      <c r="AO3" s="81">
        <v>77</v>
      </c>
      <c r="AP3" s="81">
        <v>77</v>
      </c>
      <c r="AQ3" s="81">
        <v>77</v>
      </c>
      <c r="AR3" s="81">
        <v>77</v>
      </c>
      <c r="AS3" s="81">
        <v>72</v>
      </c>
      <c r="AT3" s="81">
        <v>65</v>
      </c>
      <c r="AU3" s="81">
        <v>65</v>
      </c>
      <c r="AV3" s="81">
        <v>65</v>
      </c>
      <c r="AW3" s="81">
        <v>65</v>
      </c>
      <c r="AX3" s="81">
        <v>64</v>
      </c>
      <c r="AY3" s="81">
        <v>60</v>
      </c>
      <c r="AZ3" s="82">
        <v>60</v>
      </c>
      <c r="BA3" s="81">
        <v>59.5</v>
      </c>
      <c r="BB3" s="82">
        <v>59.5</v>
      </c>
      <c r="BC3" s="81">
        <v>59.5</v>
      </c>
      <c r="BD3" s="81">
        <v>59.5</v>
      </c>
      <c r="BE3" s="81">
        <v>59.5</v>
      </c>
      <c r="BF3" s="81">
        <v>59.5</v>
      </c>
      <c r="BG3" s="82">
        <v>59.5</v>
      </c>
      <c r="BH3" s="81">
        <v>59.5</v>
      </c>
      <c r="BI3" s="81">
        <v>59.5</v>
      </c>
      <c r="BJ3" s="81">
        <v>59.5</v>
      </c>
      <c r="BK3" s="81">
        <v>59.5</v>
      </c>
      <c r="BL3" s="81">
        <v>59.5</v>
      </c>
      <c r="BM3" s="81">
        <v>59.5</v>
      </c>
      <c r="BN3" s="88">
        <v>58</v>
      </c>
      <c r="BO3" s="81">
        <v>58</v>
      </c>
      <c r="BP3" s="81">
        <v>55</v>
      </c>
      <c r="BQ3" s="81">
        <v>52</v>
      </c>
      <c r="BR3" s="81">
        <v>46</v>
      </c>
      <c r="BS3" s="81">
        <v>38</v>
      </c>
      <c r="BT3" s="81">
        <v>37</v>
      </c>
      <c r="BU3" s="81">
        <v>37</v>
      </c>
      <c r="BV3" s="81">
        <v>36</v>
      </c>
      <c r="BW3" s="81">
        <v>36</v>
      </c>
      <c r="BX3" s="81">
        <v>36</v>
      </c>
      <c r="BY3" s="81">
        <v>34</v>
      </c>
      <c r="BZ3" s="81">
        <v>34</v>
      </c>
      <c r="CA3" s="81">
        <v>34</v>
      </c>
      <c r="CB3" s="81">
        <v>34</v>
      </c>
      <c r="CC3" s="81">
        <v>34</v>
      </c>
      <c r="CD3" s="81">
        <v>34</v>
      </c>
      <c r="CE3" s="81">
        <v>34</v>
      </c>
      <c r="CF3" s="81">
        <v>34</v>
      </c>
      <c r="CG3" s="81">
        <v>34</v>
      </c>
      <c r="CH3" s="81">
        <v>34</v>
      </c>
      <c r="CI3" s="81">
        <v>34</v>
      </c>
      <c r="CJ3" s="81">
        <v>34</v>
      </c>
      <c r="CK3" s="81">
        <v>34</v>
      </c>
      <c r="CL3" s="81">
        <v>34</v>
      </c>
      <c r="CM3" s="81">
        <v>34</v>
      </c>
      <c r="CN3" s="81">
        <v>34</v>
      </c>
      <c r="CO3" s="81">
        <v>34</v>
      </c>
      <c r="CP3" s="81">
        <v>34</v>
      </c>
      <c r="CQ3" s="81">
        <v>34</v>
      </c>
      <c r="CR3" s="81">
        <v>34</v>
      </c>
      <c r="CS3" s="81">
        <v>34</v>
      </c>
      <c r="CT3" s="81">
        <v>34</v>
      </c>
      <c r="CU3" s="81">
        <v>34</v>
      </c>
      <c r="CV3" s="81">
        <v>34</v>
      </c>
      <c r="CW3" s="81">
        <v>34</v>
      </c>
      <c r="CX3" s="81">
        <v>34</v>
      </c>
      <c r="CY3" s="81">
        <v>34</v>
      </c>
      <c r="CZ3" s="81">
        <v>34</v>
      </c>
      <c r="DA3" s="81">
        <v>34</v>
      </c>
      <c r="DB3" s="81">
        <v>34</v>
      </c>
      <c r="DC3" s="81">
        <v>34</v>
      </c>
      <c r="DD3" s="81">
        <v>34</v>
      </c>
      <c r="DE3" s="81">
        <v>34</v>
      </c>
      <c r="DF3" s="81">
        <v>34</v>
      </c>
      <c r="DG3" s="81">
        <v>34</v>
      </c>
      <c r="DH3" s="81">
        <v>34</v>
      </c>
      <c r="DI3" s="81">
        <v>34</v>
      </c>
      <c r="DJ3" s="81">
        <v>34</v>
      </c>
      <c r="DK3" s="81">
        <v>34</v>
      </c>
      <c r="DL3" s="81">
        <v>34</v>
      </c>
      <c r="DM3" s="81">
        <v>34</v>
      </c>
      <c r="DN3" s="81">
        <v>34</v>
      </c>
      <c r="DO3" s="81">
        <v>34</v>
      </c>
      <c r="DP3" s="81">
        <v>34</v>
      </c>
      <c r="DQ3" s="81">
        <v>34</v>
      </c>
      <c r="DR3" s="81">
        <v>34</v>
      </c>
      <c r="DS3" s="81">
        <v>34</v>
      </c>
      <c r="DT3" s="81">
        <v>34</v>
      </c>
      <c r="DU3" s="81">
        <v>34</v>
      </c>
      <c r="DV3" s="81">
        <v>34</v>
      </c>
      <c r="DW3" s="81">
        <v>34</v>
      </c>
      <c r="DX3" s="81">
        <v>34</v>
      </c>
      <c r="DY3" s="81">
        <v>34</v>
      </c>
      <c r="DZ3" s="81">
        <v>34</v>
      </c>
      <c r="EA3" s="81">
        <v>32.5</v>
      </c>
      <c r="EB3" s="81">
        <v>32.5</v>
      </c>
      <c r="EC3" s="81">
        <v>32.5</v>
      </c>
      <c r="ED3" s="81">
        <v>32.5</v>
      </c>
      <c r="EE3" s="81">
        <v>42</v>
      </c>
      <c r="EF3" s="81">
        <v>42</v>
      </c>
      <c r="EG3" s="81">
        <v>42</v>
      </c>
      <c r="EH3" s="81">
        <v>42</v>
      </c>
      <c r="EI3" s="81">
        <v>42</v>
      </c>
      <c r="EJ3" s="81">
        <v>42</v>
      </c>
      <c r="EK3" s="81">
        <v>42.5</v>
      </c>
      <c r="EL3" s="81">
        <v>42.5</v>
      </c>
      <c r="EM3" s="81">
        <v>42.5</v>
      </c>
      <c r="EN3" s="81">
        <v>42.5</v>
      </c>
      <c r="EO3" s="81">
        <v>42.5</v>
      </c>
      <c r="EP3" s="81">
        <v>42.5</v>
      </c>
      <c r="EQ3" s="81">
        <v>42.5</v>
      </c>
      <c r="ER3" s="81">
        <v>42.5</v>
      </c>
      <c r="ES3" s="81">
        <v>42.5</v>
      </c>
      <c r="ET3" s="81">
        <v>42.5</v>
      </c>
      <c r="EU3" s="83">
        <v>42.5</v>
      </c>
      <c r="EV3" s="83">
        <v>42.5</v>
      </c>
      <c r="EW3" s="83">
        <v>42.5</v>
      </c>
      <c r="EX3" s="83">
        <v>42.5</v>
      </c>
      <c r="EY3" s="83">
        <v>42.5</v>
      </c>
      <c r="EZ3" s="83">
        <v>42.5</v>
      </c>
      <c r="FA3" s="83">
        <v>42.5</v>
      </c>
      <c r="FB3" s="83">
        <v>42.5</v>
      </c>
      <c r="FC3" s="83">
        <v>42.5</v>
      </c>
      <c r="FD3" s="83">
        <v>42.5</v>
      </c>
      <c r="FE3" s="83">
        <v>42.5</v>
      </c>
      <c r="FF3" s="83">
        <v>42.5</v>
      </c>
      <c r="FG3" s="83">
        <v>42.5</v>
      </c>
      <c r="FH3" s="83">
        <v>42.5</v>
      </c>
      <c r="FI3" s="83">
        <v>42.5</v>
      </c>
      <c r="FJ3" s="83">
        <v>42</v>
      </c>
      <c r="FK3" s="83">
        <v>42</v>
      </c>
      <c r="FL3" s="83">
        <v>39.9</v>
      </c>
      <c r="FM3" s="83">
        <v>39.9</v>
      </c>
      <c r="FN3" s="83">
        <v>35.5</v>
      </c>
      <c r="FO3" s="83">
        <v>33</v>
      </c>
      <c r="FP3" s="83">
        <v>33</v>
      </c>
      <c r="FQ3" s="83">
        <v>33</v>
      </c>
      <c r="FR3" s="83">
        <v>33</v>
      </c>
      <c r="FS3" s="83">
        <v>33</v>
      </c>
      <c r="FT3" s="83">
        <v>33</v>
      </c>
      <c r="FU3" s="83">
        <v>33</v>
      </c>
      <c r="FV3" s="83">
        <v>32</v>
      </c>
      <c r="FW3" s="83">
        <v>32</v>
      </c>
      <c r="FX3" s="83">
        <v>31</v>
      </c>
      <c r="FY3" s="83">
        <v>31</v>
      </c>
      <c r="FZ3" s="83">
        <v>30</v>
      </c>
      <c r="GA3" s="83">
        <v>30</v>
      </c>
      <c r="GB3" s="83">
        <v>30</v>
      </c>
      <c r="GC3" s="83">
        <v>30</v>
      </c>
      <c r="GD3" s="83">
        <v>30</v>
      </c>
      <c r="GE3" s="83">
        <v>28</v>
      </c>
      <c r="GF3" s="83">
        <v>28</v>
      </c>
      <c r="GG3" s="83">
        <v>28</v>
      </c>
      <c r="GH3" s="83">
        <v>28</v>
      </c>
      <c r="GI3" s="83">
        <v>28</v>
      </c>
      <c r="GJ3" s="83">
        <v>28</v>
      </c>
      <c r="GK3" s="83">
        <v>36</v>
      </c>
      <c r="GL3" s="81">
        <v>36</v>
      </c>
    </row>
    <row r="4" spans="1:194" s="81" customFormat="1">
      <c r="A4" s="84" t="s">
        <v>36</v>
      </c>
      <c r="B4" s="81" t="s">
        <v>37</v>
      </c>
      <c r="C4" s="83" t="s">
        <v>38</v>
      </c>
      <c r="D4" s="83" t="s">
        <v>32</v>
      </c>
      <c r="E4" s="83" t="s">
        <v>39</v>
      </c>
      <c r="F4" s="83" t="s">
        <v>39</v>
      </c>
      <c r="G4" s="83" t="s">
        <v>39</v>
      </c>
      <c r="H4" s="83" t="s">
        <v>39</v>
      </c>
      <c r="I4" s="83" t="s">
        <v>39</v>
      </c>
      <c r="J4" s="83" t="s">
        <v>39</v>
      </c>
      <c r="K4" s="83" t="s">
        <v>39</v>
      </c>
      <c r="L4" s="83" t="s">
        <v>39</v>
      </c>
      <c r="M4" s="83" t="s">
        <v>39</v>
      </c>
      <c r="N4" s="83" t="s">
        <v>39</v>
      </c>
      <c r="O4" s="83" t="s">
        <v>39</v>
      </c>
      <c r="P4" s="83" t="s">
        <v>39</v>
      </c>
      <c r="Q4" s="83" t="s">
        <v>39</v>
      </c>
      <c r="R4" s="83" t="s">
        <v>39</v>
      </c>
      <c r="S4" s="83" t="s">
        <v>39</v>
      </c>
      <c r="T4" s="83" t="s">
        <v>39</v>
      </c>
      <c r="U4" s="83" t="s">
        <v>39</v>
      </c>
      <c r="V4" s="83" t="s">
        <v>39</v>
      </c>
      <c r="W4" s="83" t="s">
        <v>39</v>
      </c>
      <c r="X4" s="83" t="s">
        <v>39</v>
      </c>
      <c r="Y4" s="83" t="s">
        <v>39</v>
      </c>
      <c r="Z4" s="83" t="s">
        <v>39</v>
      </c>
      <c r="AA4" s="82" t="s">
        <v>39</v>
      </c>
      <c r="AB4" s="82" t="s">
        <v>39</v>
      </c>
      <c r="AC4" s="82" t="s">
        <v>39</v>
      </c>
      <c r="AL4" s="82"/>
      <c r="AM4" s="82"/>
      <c r="AZ4" s="82"/>
      <c r="BB4" s="82"/>
      <c r="BG4" s="82"/>
      <c r="EU4" s="83"/>
      <c r="EV4" s="83"/>
      <c r="EW4" s="83"/>
      <c r="EX4" s="83"/>
      <c r="EY4" s="83"/>
      <c r="EZ4" s="83"/>
      <c r="FA4" s="83"/>
      <c r="FB4" s="83"/>
      <c r="FC4" s="83"/>
      <c r="FD4" s="83"/>
      <c r="FE4" s="83"/>
      <c r="FF4" s="83"/>
      <c r="FG4" s="83"/>
      <c r="FH4" s="83"/>
      <c r="FI4" s="83"/>
      <c r="FJ4" s="83"/>
      <c r="FK4" s="83"/>
      <c r="FL4" s="83"/>
      <c r="FM4" s="83"/>
      <c r="FN4" s="83"/>
      <c r="FO4" s="83"/>
      <c r="FP4" s="83"/>
      <c r="FQ4" s="83"/>
      <c r="FR4" s="83"/>
      <c r="FS4" s="83"/>
      <c r="FT4" s="83"/>
      <c r="FU4" s="83"/>
      <c r="FV4" s="83"/>
      <c r="FW4" s="83"/>
      <c r="FX4" s="83"/>
      <c r="FY4" s="83"/>
      <c r="FZ4" s="83"/>
      <c r="GA4" s="83"/>
      <c r="GB4" s="83"/>
      <c r="GC4" s="83"/>
      <c r="GD4" s="83"/>
      <c r="GE4" s="83"/>
      <c r="GF4" s="83"/>
      <c r="GG4" s="83"/>
      <c r="GH4" s="83"/>
      <c r="GI4" s="83"/>
      <c r="GJ4" s="83"/>
      <c r="GK4" s="83"/>
    </row>
    <row r="5" spans="1:194" s="81" customFormat="1">
      <c r="A5" s="84" t="s">
        <v>40</v>
      </c>
      <c r="B5" s="81" t="s">
        <v>41</v>
      </c>
      <c r="C5" s="83" t="s">
        <v>42</v>
      </c>
      <c r="D5" s="83" t="s">
        <v>43</v>
      </c>
      <c r="E5" s="83">
        <v>30</v>
      </c>
      <c r="F5" s="83">
        <v>28</v>
      </c>
      <c r="G5" s="83">
        <v>28</v>
      </c>
      <c r="H5" s="83">
        <v>28</v>
      </c>
      <c r="I5" s="83">
        <v>35</v>
      </c>
      <c r="J5" s="83">
        <v>35</v>
      </c>
      <c r="K5" s="83">
        <v>35</v>
      </c>
      <c r="L5" s="83">
        <v>35</v>
      </c>
      <c r="M5" s="83">
        <v>33</v>
      </c>
      <c r="N5" s="83">
        <v>33</v>
      </c>
      <c r="O5" s="83">
        <v>33</v>
      </c>
      <c r="P5" s="83">
        <v>33</v>
      </c>
      <c r="Q5" s="83">
        <v>31</v>
      </c>
      <c r="R5" s="83">
        <v>30</v>
      </c>
      <c r="S5" s="83">
        <v>29</v>
      </c>
      <c r="T5" s="83">
        <v>27</v>
      </c>
      <c r="U5" s="83">
        <v>26</v>
      </c>
      <c r="V5" s="83">
        <v>23.5</v>
      </c>
      <c r="W5" s="83">
        <v>23</v>
      </c>
      <c r="X5" s="83">
        <v>22.8</v>
      </c>
      <c r="Y5" s="83">
        <v>21.5</v>
      </c>
      <c r="Z5" s="83">
        <v>21</v>
      </c>
      <c r="AA5" s="82">
        <v>20</v>
      </c>
      <c r="AB5" s="82">
        <v>20</v>
      </c>
      <c r="AC5" s="82">
        <v>20</v>
      </c>
      <c r="AD5" s="81">
        <v>20</v>
      </c>
      <c r="AE5" s="81">
        <v>20</v>
      </c>
      <c r="AF5" s="81">
        <v>20</v>
      </c>
      <c r="AG5" s="81">
        <v>20</v>
      </c>
      <c r="AH5" s="81">
        <v>20</v>
      </c>
      <c r="AI5" s="81">
        <v>20</v>
      </c>
      <c r="AJ5" s="81">
        <v>20</v>
      </c>
      <c r="AK5" s="81">
        <v>20</v>
      </c>
      <c r="AL5" s="82">
        <v>20</v>
      </c>
      <c r="AM5" s="82">
        <v>20</v>
      </c>
      <c r="AN5" s="81">
        <v>20</v>
      </c>
      <c r="AO5" s="81">
        <v>20</v>
      </c>
      <c r="AP5" s="81">
        <v>20</v>
      </c>
      <c r="AQ5" s="81">
        <v>20</v>
      </c>
      <c r="AR5" s="81">
        <v>20</v>
      </c>
      <c r="AS5" s="81">
        <v>20</v>
      </c>
      <c r="AT5" s="81">
        <v>20</v>
      </c>
      <c r="AU5" s="81">
        <v>20</v>
      </c>
      <c r="AV5" s="81">
        <v>20</v>
      </c>
      <c r="AW5" s="81">
        <v>20</v>
      </c>
      <c r="AX5" s="81">
        <v>20</v>
      </c>
      <c r="AY5" s="81">
        <v>20</v>
      </c>
      <c r="AZ5" s="82">
        <v>20</v>
      </c>
      <c r="BA5" s="81">
        <v>20</v>
      </c>
      <c r="BB5" s="82">
        <v>20</v>
      </c>
      <c r="BC5" s="81">
        <v>20</v>
      </c>
      <c r="BD5" s="81">
        <v>20</v>
      </c>
      <c r="BE5" s="81">
        <v>20</v>
      </c>
      <c r="BF5" s="81">
        <v>20</v>
      </c>
      <c r="BG5" s="82">
        <v>20</v>
      </c>
      <c r="BH5" s="81">
        <v>20</v>
      </c>
      <c r="BI5" s="81">
        <v>20</v>
      </c>
      <c r="BJ5" s="81">
        <v>20</v>
      </c>
      <c r="BK5" s="81">
        <v>20</v>
      </c>
      <c r="BL5" s="81">
        <v>20</v>
      </c>
      <c r="BM5" s="81">
        <v>20</v>
      </c>
      <c r="BN5" s="81">
        <v>20</v>
      </c>
      <c r="BO5" s="81">
        <v>20</v>
      </c>
      <c r="BP5" s="81">
        <v>20</v>
      </c>
      <c r="BQ5" s="81">
        <v>20</v>
      </c>
      <c r="BR5" s="81">
        <v>20</v>
      </c>
      <c r="BS5" s="81">
        <v>20</v>
      </c>
      <c r="BT5" s="81">
        <v>20</v>
      </c>
      <c r="BU5" s="81">
        <v>20</v>
      </c>
      <c r="BV5" s="81">
        <v>20</v>
      </c>
      <c r="BW5" s="81">
        <v>20</v>
      </c>
      <c r="BX5" s="81">
        <v>20</v>
      </c>
      <c r="BY5" s="81">
        <v>20</v>
      </c>
      <c r="BZ5" s="81">
        <v>20</v>
      </c>
      <c r="CA5" s="81">
        <v>20</v>
      </c>
      <c r="CB5" s="81">
        <v>20</v>
      </c>
      <c r="CC5" s="81">
        <v>20</v>
      </c>
      <c r="CD5" s="81">
        <v>20</v>
      </c>
      <c r="CE5" s="81">
        <v>20</v>
      </c>
      <c r="CF5" s="81">
        <v>20</v>
      </c>
      <c r="CG5" s="81">
        <v>20</v>
      </c>
      <c r="CH5" s="81">
        <v>20</v>
      </c>
      <c r="CI5" s="81">
        <v>20</v>
      </c>
      <c r="CJ5" s="81">
        <v>20</v>
      </c>
      <c r="CK5" s="81">
        <v>20</v>
      </c>
      <c r="CL5" s="81">
        <v>20</v>
      </c>
      <c r="CM5" s="81">
        <v>20</v>
      </c>
      <c r="CN5" s="81">
        <v>20</v>
      </c>
      <c r="CO5" s="81">
        <v>20</v>
      </c>
      <c r="CP5" s="81">
        <v>20</v>
      </c>
      <c r="CQ5" s="81">
        <v>20</v>
      </c>
      <c r="CR5" s="81">
        <v>20</v>
      </c>
      <c r="CS5" s="81">
        <v>20</v>
      </c>
      <c r="CT5" s="81">
        <v>20</v>
      </c>
      <c r="CU5" s="81">
        <v>20</v>
      </c>
      <c r="CV5" s="81">
        <v>20</v>
      </c>
      <c r="CW5" s="81">
        <v>20</v>
      </c>
      <c r="CX5" s="81">
        <v>20</v>
      </c>
      <c r="CY5" s="81">
        <v>20</v>
      </c>
      <c r="CZ5" s="81">
        <v>20</v>
      </c>
      <c r="DA5" s="81">
        <v>20</v>
      </c>
      <c r="DB5" s="81">
        <v>20</v>
      </c>
      <c r="DC5" s="81">
        <v>20</v>
      </c>
      <c r="DD5" s="81">
        <v>20</v>
      </c>
      <c r="DE5" s="81">
        <v>20</v>
      </c>
      <c r="DF5" s="81">
        <v>20</v>
      </c>
      <c r="DG5" s="81">
        <v>20</v>
      </c>
      <c r="DH5" s="81">
        <v>20</v>
      </c>
      <c r="DI5" s="81">
        <v>20</v>
      </c>
      <c r="DJ5" s="81">
        <v>20</v>
      </c>
      <c r="DK5" s="81">
        <v>20</v>
      </c>
      <c r="DL5" s="81">
        <v>20</v>
      </c>
      <c r="DM5" s="81">
        <v>20</v>
      </c>
      <c r="DN5" s="81">
        <v>20</v>
      </c>
      <c r="DO5" s="81">
        <v>20</v>
      </c>
      <c r="DP5" s="81">
        <v>20</v>
      </c>
      <c r="DQ5" s="81">
        <v>20</v>
      </c>
      <c r="DR5" s="81">
        <v>20</v>
      </c>
      <c r="DS5" s="81">
        <v>20</v>
      </c>
      <c r="DT5" s="81">
        <v>20</v>
      </c>
      <c r="DU5" s="81">
        <v>20</v>
      </c>
      <c r="DV5" s="81">
        <v>20</v>
      </c>
      <c r="DW5" s="81">
        <v>20</v>
      </c>
      <c r="DX5" s="81">
        <v>20</v>
      </c>
      <c r="DY5" s="81">
        <v>20</v>
      </c>
      <c r="DZ5" s="81">
        <v>20</v>
      </c>
      <c r="EA5" s="81">
        <v>20</v>
      </c>
      <c r="EB5" s="81">
        <v>20</v>
      </c>
      <c r="EC5" s="81">
        <v>20</v>
      </c>
      <c r="ED5" s="81">
        <v>20</v>
      </c>
      <c r="EE5" s="81">
        <v>20</v>
      </c>
      <c r="EF5" s="81">
        <v>20</v>
      </c>
      <c r="EG5" s="81">
        <v>20</v>
      </c>
      <c r="EH5" s="81">
        <v>20</v>
      </c>
      <c r="EI5" s="81">
        <v>20</v>
      </c>
      <c r="EJ5" s="81">
        <v>20</v>
      </c>
      <c r="EK5" s="81">
        <v>20</v>
      </c>
      <c r="EL5" s="81">
        <v>20</v>
      </c>
      <c r="EM5" s="81">
        <v>20</v>
      </c>
      <c r="EN5" s="81">
        <v>20</v>
      </c>
      <c r="EO5" s="81">
        <v>20</v>
      </c>
      <c r="EP5" s="81">
        <v>20</v>
      </c>
      <c r="EQ5" s="81">
        <v>20</v>
      </c>
      <c r="ER5" s="81">
        <v>20</v>
      </c>
      <c r="ES5" s="81">
        <v>20</v>
      </c>
      <c r="ET5" s="81">
        <v>20</v>
      </c>
      <c r="EU5" s="83">
        <v>20</v>
      </c>
      <c r="EV5" s="83">
        <v>20</v>
      </c>
      <c r="EW5" s="83">
        <v>20</v>
      </c>
      <c r="EX5" s="83">
        <v>20</v>
      </c>
      <c r="EY5" s="83">
        <v>20</v>
      </c>
      <c r="EZ5" s="83">
        <v>20</v>
      </c>
      <c r="FA5" s="83">
        <v>20</v>
      </c>
      <c r="FB5" s="83">
        <v>20</v>
      </c>
      <c r="FC5" s="83">
        <v>20</v>
      </c>
      <c r="FD5" s="83">
        <v>20</v>
      </c>
      <c r="FE5" s="83">
        <v>20</v>
      </c>
      <c r="FF5" s="83">
        <v>20</v>
      </c>
      <c r="FG5" s="83">
        <v>20</v>
      </c>
      <c r="FH5" s="83">
        <v>20</v>
      </c>
      <c r="FI5" s="83">
        <v>20</v>
      </c>
      <c r="FJ5" s="83">
        <v>20</v>
      </c>
      <c r="FK5" s="83">
        <v>20</v>
      </c>
      <c r="FL5" s="83">
        <v>20</v>
      </c>
      <c r="FM5" s="83">
        <v>20</v>
      </c>
      <c r="FN5" s="83">
        <v>20</v>
      </c>
      <c r="FO5" s="83"/>
      <c r="FP5" s="83"/>
      <c r="FQ5" s="83"/>
      <c r="FR5" s="83"/>
      <c r="FS5" s="83"/>
      <c r="FT5" s="83"/>
      <c r="FU5" s="83"/>
      <c r="FV5" s="83"/>
      <c r="FW5" s="83"/>
      <c r="FX5" s="83"/>
      <c r="FY5" s="83"/>
      <c r="FZ5" s="83"/>
      <c r="GA5" s="83"/>
      <c r="GB5" s="83"/>
      <c r="GC5" s="83"/>
      <c r="GD5" s="83"/>
      <c r="GE5" s="83"/>
      <c r="GF5" s="83"/>
      <c r="GG5" s="83"/>
      <c r="GH5" s="83"/>
      <c r="GI5" s="83"/>
      <c r="GJ5" s="83"/>
      <c r="GK5" s="83"/>
    </row>
    <row r="6" spans="1:194" s="81" customFormat="1">
      <c r="A6" s="84" t="s">
        <v>44</v>
      </c>
      <c r="B6" s="81" t="s">
        <v>45</v>
      </c>
      <c r="C6" s="83" t="s">
        <v>46</v>
      </c>
      <c r="D6" s="83" t="s">
        <v>47</v>
      </c>
      <c r="E6" s="83" t="s">
        <v>39</v>
      </c>
      <c r="F6" s="83" t="s">
        <v>39</v>
      </c>
      <c r="G6" s="83" t="s">
        <v>39</v>
      </c>
      <c r="H6" s="83" t="s">
        <v>39</v>
      </c>
      <c r="I6" s="83" t="s">
        <v>39</v>
      </c>
      <c r="J6" s="83" t="s">
        <v>39</v>
      </c>
      <c r="K6" s="83" t="s">
        <v>39</v>
      </c>
      <c r="L6" s="83" t="s">
        <v>39</v>
      </c>
      <c r="M6" s="83" t="s">
        <v>39</v>
      </c>
      <c r="N6" s="83" t="s">
        <v>39</v>
      </c>
      <c r="O6" s="83" t="s">
        <v>39</v>
      </c>
      <c r="P6" s="83" t="s">
        <v>39</v>
      </c>
      <c r="Q6" s="83" t="s">
        <v>39</v>
      </c>
      <c r="R6" s="83" t="s">
        <v>39</v>
      </c>
      <c r="S6" s="83" t="s">
        <v>39</v>
      </c>
      <c r="T6" s="83" t="s">
        <v>39</v>
      </c>
      <c r="U6" s="83" t="s">
        <v>39</v>
      </c>
      <c r="V6" s="83" t="s">
        <v>39</v>
      </c>
      <c r="W6" s="83" t="s">
        <v>39</v>
      </c>
      <c r="X6" s="83" t="s">
        <v>39</v>
      </c>
      <c r="Y6" s="83" t="s">
        <v>39</v>
      </c>
      <c r="Z6" s="83" t="s">
        <v>39</v>
      </c>
      <c r="AA6" s="82" t="s">
        <v>39</v>
      </c>
      <c r="AB6" s="82" t="s">
        <v>39</v>
      </c>
      <c r="AC6" s="82" t="s">
        <v>39</v>
      </c>
      <c r="AL6" s="82"/>
      <c r="AM6" s="82"/>
      <c r="AZ6" s="82"/>
      <c r="BB6" s="82"/>
      <c r="BG6" s="82"/>
      <c r="EU6" s="83"/>
      <c r="EV6" s="83"/>
      <c r="EW6" s="83"/>
      <c r="EX6" s="83"/>
      <c r="EY6" s="83"/>
      <c r="EZ6" s="83"/>
      <c r="FA6" s="83"/>
      <c r="FB6" s="83"/>
      <c r="FC6" s="83"/>
      <c r="FD6" s="83"/>
      <c r="FE6" s="83"/>
      <c r="FF6" s="83"/>
      <c r="FG6" s="83"/>
      <c r="FH6" s="83"/>
      <c r="FI6" s="83"/>
      <c r="FJ6" s="83"/>
      <c r="FK6" s="83"/>
      <c r="FL6" s="83"/>
      <c r="FM6" s="83"/>
      <c r="FN6" s="83"/>
      <c r="FO6" s="83"/>
      <c r="FP6" s="83"/>
      <c r="FQ6" s="83"/>
      <c r="FR6" s="83"/>
      <c r="FS6" s="83"/>
      <c r="FT6" s="83"/>
      <c r="FU6" s="83"/>
      <c r="FV6" s="83"/>
      <c r="FW6" s="83"/>
      <c r="FX6" s="83"/>
      <c r="FY6" s="83"/>
      <c r="FZ6" s="83"/>
      <c r="GA6" s="83"/>
      <c r="GB6" s="83"/>
      <c r="GC6" s="83"/>
      <c r="GD6" s="83"/>
      <c r="GE6" s="83"/>
      <c r="GF6" s="83"/>
      <c r="GG6" s="83"/>
      <c r="GH6" s="83"/>
      <c r="GI6" s="83"/>
      <c r="GJ6" s="83"/>
      <c r="GK6" s="83"/>
    </row>
    <row r="7" spans="1:194" s="81" customFormat="1">
      <c r="A7" s="84" t="s">
        <v>48</v>
      </c>
      <c r="B7" s="81" t="s">
        <v>49</v>
      </c>
      <c r="C7" s="83" t="s">
        <v>46</v>
      </c>
      <c r="D7" s="83" t="s">
        <v>47</v>
      </c>
      <c r="E7" s="83" t="s">
        <v>39</v>
      </c>
      <c r="F7" s="83" t="s">
        <v>39</v>
      </c>
      <c r="G7" s="83" t="s">
        <v>39</v>
      </c>
      <c r="H7" s="83" t="s">
        <v>39</v>
      </c>
      <c r="I7" s="83" t="s">
        <v>39</v>
      </c>
      <c r="J7" s="83" t="s">
        <v>39</v>
      </c>
      <c r="K7" s="83" t="s">
        <v>39</v>
      </c>
      <c r="L7" s="83" t="s">
        <v>39</v>
      </c>
      <c r="M7" s="83" t="s">
        <v>39</v>
      </c>
      <c r="N7" s="83" t="s">
        <v>39</v>
      </c>
      <c r="O7" s="83" t="s">
        <v>39</v>
      </c>
      <c r="P7" s="83" t="s">
        <v>39</v>
      </c>
      <c r="Q7" s="83" t="s">
        <v>39</v>
      </c>
      <c r="R7" s="83" t="s">
        <v>39</v>
      </c>
      <c r="S7" s="83" t="s">
        <v>39</v>
      </c>
      <c r="T7" s="83" t="s">
        <v>39</v>
      </c>
      <c r="U7" s="83" t="s">
        <v>39</v>
      </c>
      <c r="V7" s="83" t="s">
        <v>39</v>
      </c>
      <c r="W7" s="83" t="s">
        <v>39</v>
      </c>
      <c r="X7" s="83" t="s">
        <v>39</v>
      </c>
      <c r="Y7" s="83" t="s">
        <v>39</v>
      </c>
      <c r="Z7" s="83" t="s">
        <v>39</v>
      </c>
      <c r="AA7" s="82" t="s">
        <v>39</v>
      </c>
      <c r="AB7" s="82" t="s">
        <v>39</v>
      </c>
      <c r="AC7" s="82" t="s">
        <v>39</v>
      </c>
      <c r="AL7" s="82"/>
      <c r="AM7" s="82"/>
      <c r="AZ7" s="82"/>
      <c r="BB7" s="82"/>
      <c r="BG7" s="82"/>
      <c r="EU7" s="83"/>
      <c r="EV7" s="83"/>
      <c r="EW7" s="83"/>
      <c r="EX7" s="83"/>
      <c r="EY7" s="83"/>
      <c r="EZ7" s="83"/>
      <c r="FA7" s="83"/>
      <c r="FB7" s="83"/>
      <c r="FC7" s="83"/>
      <c r="FD7" s="83"/>
      <c r="FE7" s="83"/>
      <c r="FF7" s="83"/>
      <c r="FG7" s="83"/>
      <c r="FH7" s="83"/>
      <c r="FI7" s="83"/>
      <c r="FJ7" s="83"/>
      <c r="FK7" s="83"/>
      <c r="FL7" s="83"/>
      <c r="FM7" s="83"/>
      <c r="FN7" s="83"/>
      <c r="FO7" s="83"/>
      <c r="FP7" s="83"/>
      <c r="FQ7" s="83"/>
      <c r="FR7" s="83"/>
      <c r="FS7" s="83"/>
      <c r="FT7" s="83"/>
      <c r="FU7" s="83"/>
      <c r="FV7" s="83"/>
      <c r="FW7" s="83"/>
      <c r="FX7" s="83"/>
      <c r="FY7" s="83"/>
      <c r="FZ7" s="83"/>
      <c r="GA7" s="83"/>
      <c r="GB7" s="83"/>
      <c r="GC7" s="83"/>
      <c r="GD7" s="83"/>
      <c r="GE7" s="83"/>
      <c r="GF7" s="83"/>
      <c r="GG7" s="83"/>
      <c r="GH7" s="83"/>
      <c r="GI7" s="83"/>
      <c r="GJ7" s="83"/>
      <c r="GK7" s="83"/>
    </row>
    <row r="8" spans="1:194" s="81" customFormat="1">
      <c r="A8" s="84" t="s">
        <v>50</v>
      </c>
      <c r="B8" s="81" t="s">
        <v>51</v>
      </c>
      <c r="C8" s="83" t="s">
        <v>52</v>
      </c>
      <c r="D8" s="83" t="s">
        <v>47</v>
      </c>
      <c r="E8" s="83" t="s">
        <v>39</v>
      </c>
      <c r="F8" s="83" t="s">
        <v>39</v>
      </c>
      <c r="G8" s="83" t="s">
        <v>39</v>
      </c>
      <c r="H8" s="83" t="s">
        <v>39</v>
      </c>
      <c r="I8" s="83" t="s">
        <v>39</v>
      </c>
      <c r="J8" s="83" t="s">
        <v>39</v>
      </c>
      <c r="K8" s="83" t="s">
        <v>39</v>
      </c>
      <c r="L8" s="83" t="s">
        <v>39</v>
      </c>
      <c r="M8" s="83" t="s">
        <v>39</v>
      </c>
      <c r="N8" s="83" t="s">
        <v>39</v>
      </c>
      <c r="O8" s="83" t="s">
        <v>39</v>
      </c>
      <c r="P8" s="83" t="s">
        <v>39</v>
      </c>
      <c r="Q8" s="83" t="s">
        <v>39</v>
      </c>
      <c r="R8" s="83" t="s">
        <v>39</v>
      </c>
      <c r="S8" s="83" t="s">
        <v>39</v>
      </c>
      <c r="T8" s="83" t="s">
        <v>39</v>
      </c>
      <c r="U8" s="83" t="s">
        <v>39</v>
      </c>
      <c r="V8" s="83" t="s">
        <v>39</v>
      </c>
      <c r="W8" s="83" t="s">
        <v>39</v>
      </c>
      <c r="X8" s="83" t="s">
        <v>39</v>
      </c>
      <c r="Y8" s="83" t="s">
        <v>39</v>
      </c>
      <c r="Z8" s="83" t="s">
        <v>39</v>
      </c>
      <c r="AA8" s="82" t="s">
        <v>39</v>
      </c>
      <c r="AB8" s="82" t="s">
        <v>39</v>
      </c>
      <c r="AC8" s="82" t="s">
        <v>39</v>
      </c>
      <c r="AL8" s="82"/>
      <c r="AZ8" s="82"/>
      <c r="BB8" s="82"/>
      <c r="BG8" s="82"/>
      <c r="EU8" s="83"/>
      <c r="EV8" s="83"/>
      <c r="EW8" s="83"/>
      <c r="EX8" s="83"/>
      <c r="EY8" s="83"/>
      <c r="EZ8" s="83"/>
      <c r="FA8" s="83"/>
      <c r="FB8" s="83"/>
      <c r="FC8" s="83"/>
      <c r="FD8" s="83"/>
      <c r="FE8" s="83"/>
      <c r="FF8" s="83"/>
      <c r="FG8" s="83"/>
      <c r="FH8" s="83"/>
      <c r="FI8" s="83"/>
      <c r="FJ8" s="83"/>
      <c r="FK8" s="83"/>
      <c r="FL8" s="83"/>
      <c r="FM8" s="83"/>
      <c r="FN8" s="83"/>
      <c r="FO8" s="83"/>
      <c r="FP8" s="83"/>
      <c r="FQ8" s="83"/>
      <c r="FR8" s="83"/>
      <c r="FS8" s="83"/>
      <c r="FT8" s="83"/>
      <c r="FU8" s="83"/>
      <c r="FV8" s="83"/>
      <c r="FW8" s="83"/>
      <c r="FX8" s="83"/>
      <c r="FY8" s="83"/>
      <c r="FZ8" s="83"/>
      <c r="GA8" s="83"/>
      <c r="GB8" s="83"/>
      <c r="GC8" s="83"/>
      <c r="GD8" s="83"/>
      <c r="GE8" s="83"/>
      <c r="GF8" s="83"/>
      <c r="GG8" s="83"/>
      <c r="GH8" s="83"/>
      <c r="GI8" s="83"/>
      <c r="GJ8" s="83"/>
      <c r="GK8" s="83"/>
    </row>
    <row r="9" spans="1:194" s="81" customFormat="1">
      <c r="A9" s="84" t="s">
        <v>53</v>
      </c>
      <c r="B9" s="81" t="s">
        <v>54</v>
      </c>
      <c r="C9" s="83" t="s">
        <v>55</v>
      </c>
      <c r="D9" s="83" t="s">
        <v>47</v>
      </c>
      <c r="E9" s="83" t="s">
        <v>39</v>
      </c>
      <c r="F9" s="83" t="s">
        <v>39</v>
      </c>
      <c r="G9" s="83" t="s">
        <v>39</v>
      </c>
      <c r="H9" s="83" t="s">
        <v>39</v>
      </c>
      <c r="I9" s="83" t="s">
        <v>39</v>
      </c>
      <c r="J9" s="83" t="s">
        <v>39</v>
      </c>
      <c r="K9" s="83" t="s">
        <v>39</v>
      </c>
      <c r="L9" s="83" t="s">
        <v>39</v>
      </c>
      <c r="M9" s="83" t="s">
        <v>39</v>
      </c>
      <c r="N9" s="83" t="s">
        <v>39</v>
      </c>
      <c r="O9" s="83" t="s">
        <v>39</v>
      </c>
      <c r="P9" s="83" t="s">
        <v>39</v>
      </c>
      <c r="Q9" s="83" t="s">
        <v>39</v>
      </c>
      <c r="R9" s="83" t="s">
        <v>39</v>
      </c>
      <c r="S9" s="83" t="s">
        <v>39</v>
      </c>
      <c r="T9" s="83" t="s">
        <v>39</v>
      </c>
      <c r="U9" s="83" t="s">
        <v>39</v>
      </c>
      <c r="V9" s="83" t="s">
        <v>39</v>
      </c>
      <c r="W9" s="83" t="s">
        <v>39</v>
      </c>
      <c r="X9" s="83" t="s">
        <v>39</v>
      </c>
      <c r="Y9" s="83" t="s">
        <v>39</v>
      </c>
      <c r="Z9" s="83" t="s">
        <v>39</v>
      </c>
      <c r="AA9" s="82" t="s">
        <v>39</v>
      </c>
      <c r="AB9" s="82" t="s">
        <v>39</v>
      </c>
      <c r="AC9" s="82" t="s">
        <v>39</v>
      </c>
      <c r="AL9" s="82"/>
      <c r="AZ9" s="82"/>
      <c r="BB9" s="82"/>
      <c r="BG9" s="82"/>
      <c r="EU9" s="83"/>
      <c r="EV9" s="83"/>
      <c r="EW9" s="83"/>
      <c r="EX9" s="83"/>
      <c r="EY9" s="83"/>
      <c r="EZ9" s="83"/>
      <c r="FA9" s="83"/>
      <c r="FB9" s="83"/>
      <c r="FC9" s="83"/>
      <c r="FD9" s="83"/>
      <c r="FE9" s="83"/>
      <c r="FF9" s="83"/>
      <c r="FG9" s="83"/>
      <c r="FH9" s="83"/>
      <c r="FI9" s="83"/>
      <c r="FJ9" s="83"/>
      <c r="FK9" s="83"/>
      <c r="FL9" s="83"/>
      <c r="FM9" s="83"/>
      <c r="FN9" s="83"/>
      <c r="FO9" s="83"/>
      <c r="FP9" s="83"/>
      <c r="FQ9" s="83"/>
      <c r="FR9" s="83"/>
      <c r="FS9" s="83"/>
      <c r="FT9" s="83"/>
      <c r="FU9" s="83"/>
      <c r="FV9" s="83"/>
      <c r="FW9" s="83"/>
      <c r="FX9" s="83"/>
      <c r="FY9" s="83"/>
      <c r="FZ9" s="83"/>
      <c r="GA9" s="83"/>
      <c r="GB9" s="83"/>
      <c r="GC9" s="83"/>
      <c r="GD9" s="83"/>
      <c r="GE9" s="83"/>
      <c r="GF9" s="83"/>
      <c r="GG9" s="83"/>
      <c r="GH9" s="83"/>
      <c r="GI9" s="83"/>
      <c r="GJ9" s="83"/>
      <c r="GK9" s="83"/>
    </row>
    <row r="10" spans="1:194" s="81" customFormat="1">
      <c r="A10" s="84" t="s">
        <v>53</v>
      </c>
      <c r="B10" s="81" t="s">
        <v>56</v>
      </c>
      <c r="C10" s="83" t="s">
        <v>57</v>
      </c>
      <c r="D10" s="83" t="s">
        <v>47</v>
      </c>
      <c r="E10" s="83" t="s">
        <v>39</v>
      </c>
      <c r="F10" s="83" t="s">
        <v>39</v>
      </c>
      <c r="G10" s="83" t="s">
        <v>39</v>
      </c>
      <c r="H10" s="83" t="s">
        <v>39</v>
      </c>
      <c r="I10" s="83" t="s">
        <v>39</v>
      </c>
      <c r="J10" s="83" t="s">
        <v>39</v>
      </c>
      <c r="K10" s="83" t="s">
        <v>39</v>
      </c>
      <c r="L10" s="83" t="s">
        <v>39</v>
      </c>
      <c r="M10" s="83" t="s">
        <v>39</v>
      </c>
      <c r="N10" s="83" t="s">
        <v>39</v>
      </c>
      <c r="O10" s="83" t="s">
        <v>39</v>
      </c>
      <c r="P10" s="83" t="s">
        <v>39</v>
      </c>
      <c r="Q10" s="83" t="s">
        <v>39</v>
      </c>
      <c r="R10" s="83" t="s">
        <v>39</v>
      </c>
      <c r="S10" s="83" t="s">
        <v>39</v>
      </c>
      <c r="T10" s="83" t="s">
        <v>39</v>
      </c>
      <c r="U10" s="83" t="s">
        <v>39</v>
      </c>
      <c r="V10" s="83" t="s">
        <v>39</v>
      </c>
      <c r="W10" s="83" t="s">
        <v>39</v>
      </c>
      <c r="X10" s="83" t="s">
        <v>39</v>
      </c>
      <c r="Y10" s="83" t="s">
        <v>39</v>
      </c>
      <c r="Z10" s="83" t="s">
        <v>39</v>
      </c>
      <c r="AA10" s="82" t="s">
        <v>39</v>
      </c>
      <c r="AB10" s="82" t="s">
        <v>39</v>
      </c>
      <c r="AC10" s="82" t="s">
        <v>39</v>
      </c>
      <c r="AL10" s="82"/>
      <c r="AZ10" s="82"/>
      <c r="BB10" s="82"/>
      <c r="BG10" s="82"/>
      <c r="EU10" s="83"/>
      <c r="EV10" s="83"/>
      <c r="EW10" s="83"/>
      <c r="EX10" s="83"/>
      <c r="EY10" s="83"/>
      <c r="EZ10" s="83"/>
      <c r="FA10" s="83"/>
      <c r="FB10" s="83"/>
      <c r="FC10" s="83"/>
      <c r="FD10" s="83"/>
      <c r="FE10" s="83"/>
      <c r="FF10" s="83"/>
      <c r="FG10" s="83"/>
      <c r="FH10" s="83"/>
      <c r="FI10" s="83"/>
      <c r="FJ10" s="83"/>
      <c r="FK10" s="83"/>
      <c r="FL10" s="83"/>
      <c r="FM10" s="83"/>
      <c r="FN10" s="83"/>
      <c r="FO10" s="83"/>
      <c r="FP10" s="83"/>
      <c r="FQ10" s="83"/>
      <c r="FR10" s="83"/>
      <c r="FS10" s="83"/>
      <c r="FT10" s="83"/>
      <c r="FU10" s="83"/>
      <c r="FV10" s="83"/>
      <c r="FW10" s="83"/>
      <c r="FX10" s="83"/>
      <c r="FY10" s="83"/>
      <c r="FZ10" s="83"/>
      <c r="GA10" s="83"/>
      <c r="GB10" s="83"/>
      <c r="GC10" s="83"/>
      <c r="GD10" s="83"/>
      <c r="GE10" s="83"/>
      <c r="GF10" s="83"/>
      <c r="GG10" s="83"/>
      <c r="GH10" s="83"/>
      <c r="GI10" s="83"/>
      <c r="GJ10" s="83"/>
      <c r="GK10" s="83"/>
    </row>
    <row r="11" spans="1:194" s="81" customFormat="1">
      <c r="A11" s="84" t="s">
        <v>53</v>
      </c>
      <c r="B11" s="81" t="s">
        <v>58</v>
      </c>
      <c r="C11" s="83" t="s">
        <v>59</v>
      </c>
      <c r="D11" s="83" t="s">
        <v>39</v>
      </c>
      <c r="E11" s="83" t="s">
        <v>39</v>
      </c>
      <c r="F11" s="83" t="s">
        <v>39</v>
      </c>
      <c r="G11" s="83" t="s">
        <v>39</v>
      </c>
      <c r="H11" s="83" t="s">
        <v>39</v>
      </c>
      <c r="I11" s="83" t="s">
        <v>39</v>
      </c>
      <c r="J11" s="83" t="s">
        <v>39</v>
      </c>
      <c r="K11" s="83" t="s">
        <v>39</v>
      </c>
      <c r="L11" s="83" t="s">
        <v>39</v>
      </c>
      <c r="M11" s="83" t="s">
        <v>39</v>
      </c>
      <c r="N11" s="83" t="s">
        <v>39</v>
      </c>
      <c r="O11" s="83" t="s">
        <v>39</v>
      </c>
      <c r="P11" s="83" t="s">
        <v>39</v>
      </c>
      <c r="Q11" s="83" t="s">
        <v>39</v>
      </c>
      <c r="R11" s="83" t="s">
        <v>39</v>
      </c>
      <c r="S11" s="83" t="s">
        <v>39</v>
      </c>
      <c r="T11" s="83" t="s">
        <v>39</v>
      </c>
      <c r="U11" s="83" t="s">
        <v>39</v>
      </c>
      <c r="V11" s="83" t="s">
        <v>39</v>
      </c>
      <c r="W11" s="83" t="s">
        <v>39</v>
      </c>
      <c r="X11" s="83" t="s">
        <v>39</v>
      </c>
      <c r="Y11" s="83" t="s">
        <v>39</v>
      </c>
      <c r="Z11" s="83" t="s">
        <v>39</v>
      </c>
      <c r="AA11" s="82" t="s">
        <v>39</v>
      </c>
      <c r="AB11" s="82" t="s">
        <v>39</v>
      </c>
      <c r="AC11" s="82" t="s">
        <v>39</v>
      </c>
      <c r="AL11" s="82"/>
      <c r="AZ11" s="82"/>
      <c r="BB11" s="82"/>
      <c r="BG11" s="82"/>
      <c r="EU11" s="83"/>
      <c r="EV11" s="83"/>
      <c r="EW11" s="83"/>
      <c r="EX11" s="83"/>
      <c r="EY11" s="83"/>
      <c r="EZ11" s="83"/>
      <c r="FA11" s="83"/>
      <c r="FB11" s="83"/>
      <c r="FC11" s="83"/>
      <c r="FD11" s="83"/>
      <c r="FE11" s="83"/>
      <c r="FF11" s="83"/>
      <c r="FG11" s="83"/>
      <c r="FH11" s="83"/>
      <c r="FI11" s="83"/>
      <c r="FJ11" s="83"/>
      <c r="FK11" s="83"/>
      <c r="FL11" s="83"/>
      <c r="FM11" s="83"/>
      <c r="FN11" s="83"/>
      <c r="FO11" s="83"/>
      <c r="FP11" s="83"/>
      <c r="FQ11" s="83"/>
      <c r="FR11" s="83"/>
      <c r="FS11" s="83"/>
      <c r="FT11" s="83"/>
      <c r="FU11" s="83"/>
      <c r="FV11" s="83"/>
      <c r="FW11" s="83"/>
      <c r="FX11" s="83"/>
      <c r="FY11" s="83"/>
      <c r="FZ11" s="83"/>
      <c r="GA11" s="83"/>
      <c r="GB11" s="83"/>
      <c r="GC11" s="83"/>
      <c r="GD11" s="83"/>
      <c r="GE11" s="83"/>
      <c r="GF11" s="83"/>
      <c r="GG11" s="83"/>
      <c r="GH11" s="83"/>
      <c r="GI11" s="83"/>
      <c r="GJ11" s="83"/>
      <c r="GK11" s="83"/>
    </row>
    <row r="12" spans="1:194" s="81" customFormat="1">
      <c r="A12" s="84" t="s">
        <v>60</v>
      </c>
      <c r="B12" s="81" t="s">
        <v>61</v>
      </c>
      <c r="C12" s="83" t="s">
        <v>62</v>
      </c>
      <c r="D12" s="83" t="s">
        <v>47</v>
      </c>
      <c r="E12" s="83" t="s">
        <v>39</v>
      </c>
      <c r="F12" s="83" t="s">
        <v>39</v>
      </c>
      <c r="G12" s="83" t="s">
        <v>39</v>
      </c>
      <c r="H12" s="83" t="s">
        <v>39</v>
      </c>
      <c r="I12" s="83" t="s">
        <v>39</v>
      </c>
      <c r="J12" s="83" t="s">
        <v>39</v>
      </c>
      <c r="K12" s="83" t="s">
        <v>39</v>
      </c>
      <c r="L12" s="83" t="s">
        <v>39</v>
      </c>
      <c r="M12" s="83" t="s">
        <v>39</v>
      </c>
      <c r="N12" s="83" t="s">
        <v>39</v>
      </c>
      <c r="O12" s="83" t="s">
        <v>39</v>
      </c>
      <c r="P12" s="83" t="s">
        <v>39</v>
      </c>
      <c r="Q12" s="83" t="s">
        <v>39</v>
      </c>
      <c r="R12" s="83" t="s">
        <v>39</v>
      </c>
      <c r="S12" s="83" t="s">
        <v>39</v>
      </c>
      <c r="T12" s="83" t="s">
        <v>39</v>
      </c>
      <c r="U12" s="83" t="s">
        <v>39</v>
      </c>
      <c r="V12" s="83" t="s">
        <v>39</v>
      </c>
      <c r="W12" s="83" t="s">
        <v>39</v>
      </c>
      <c r="X12" s="83" t="s">
        <v>39</v>
      </c>
      <c r="Y12" s="83" t="s">
        <v>39</v>
      </c>
      <c r="Z12" s="83" t="s">
        <v>39</v>
      </c>
      <c r="AA12" s="82" t="s">
        <v>39</v>
      </c>
      <c r="AB12" s="82" t="s">
        <v>39</v>
      </c>
      <c r="AC12" s="82" t="s">
        <v>39</v>
      </c>
      <c r="AL12" s="82"/>
      <c r="AZ12" s="82"/>
      <c r="BB12" s="82"/>
      <c r="BG12" s="82"/>
      <c r="EU12" s="83"/>
      <c r="EV12" s="83"/>
      <c r="EW12" s="83"/>
      <c r="EX12" s="83"/>
      <c r="EY12" s="83"/>
      <c r="EZ12" s="83"/>
      <c r="FA12" s="83"/>
      <c r="FB12" s="83"/>
      <c r="FC12" s="83"/>
      <c r="FD12" s="83"/>
      <c r="FE12" s="83"/>
      <c r="FF12" s="83"/>
      <c r="FG12" s="83"/>
      <c r="FH12" s="83"/>
      <c r="FI12" s="83"/>
      <c r="FJ12" s="83"/>
      <c r="FK12" s="83"/>
      <c r="FL12" s="83"/>
      <c r="FM12" s="83"/>
      <c r="FN12" s="83"/>
      <c r="FO12" s="83"/>
      <c r="FP12" s="83"/>
      <c r="FQ12" s="83"/>
      <c r="FR12" s="83"/>
      <c r="FS12" s="83"/>
      <c r="FT12" s="83"/>
      <c r="FU12" s="83"/>
      <c r="FV12" s="83"/>
      <c r="FW12" s="83"/>
      <c r="FX12" s="83"/>
      <c r="FY12" s="83"/>
      <c r="FZ12" s="83"/>
      <c r="GA12" s="83"/>
      <c r="GB12" s="83"/>
      <c r="GC12" s="83"/>
      <c r="GD12" s="83"/>
      <c r="GE12" s="83"/>
      <c r="GF12" s="83"/>
      <c r="GG12" s="83"/>
      <c r="GH12" s="83"/>
      <c r="GI12" s="83"/>
      <c r="GJ12" s="83"/>
      <c r="GK12" s="83"/>
    </row>
    <row r="13" spans="1:194" s="81" customFormat="1">
      <c r="A13" s="84" t="s">
        <v>63</v>
      </c>
      <c r="B13" s="81" t="s">
        <v>64</v>
      </c>
      <c r="C13" s="83" t="s">
        <v>65</v>
      </c>
      <c r="D13" s="83" t="s">
        <v>47</v>
      </c>
      <c r="E13" s="83">
        <v>3.8</v>
      </c>
      <c r="F13" s="83">
        <v>3.8</v>
      </c>
      <c r="G13" s="83">
        <v>4.4000000000000004</v>
      </c>
      <c r="H13" s="83">
        <v>4.5999999999999996</v>
      </c>
      <c r="I13" s="83" t="s">
        <v>39</v>
      </c>
      <c r="J13" s="83" t="s">
        <v>39</v>
      </c>
      <c r="K13" s="83" t="s">
        <v>39</v>
      </c>
      <c r="L13" s="83" t="s">
        <v>39</v>
      </c>
      <c r="M13" s="83" t="s">
        <v>39</v>
      </c>
      <c r="N13" s="83" t="s">
        <v>39</v>
      </c>
      <c r="O13" s="83" t="s">
        <v>39</v>
      </c>
      <c r="P13" s="83" t="s">
        <v>39</v>
      </c>
      <c r="Q13" s="83" t="s">
        <v>39</v>
      </c>
      <c r="R13" s="83" t="s">
        <v>39</v>
      </c>
      <c r="S13" s="83" t="s">
        <v>39</v>
      </c>
      <c r="T13" s="83" t="s">
        <v>39</v>
      </c>
      <c r="U13" s="83" t="s">
        <v>39</v>
      </c>
      <c r="V13" s="83" t="s">
        <v>39</v>
      </c>
      <c r="W13" s="83" t="s">
        <v>39</v>
      </c>
      <c r="X13" s="83" t="s">
        <v>39</v>
      </c>
      <c r="Y13" s="83" t="s">
        <v>39</v>
      </c>
      <c r="Z13" s="83" t="s">
        <v>39</v>
      </c>
      <c r="AA13" s="82" t="s">
        <v>39</v>
      </c>
      <c r="AB13" s="82" t="s">
        <v>39</v>
      </c>
      <c r="AC13" s="82" t="s">
        <v>39</v>
      </c>
      <c r="AL13" s="82"/>
      <c r="AZ13" s="82"/>
      <c r="BB13" s="82"/>
      <c r="BG13" s="82"/>
      <c r="EU13" s="83"/>
      <c r="EV13" s="83"/>
      <c r="EW13" s="83"/>
      <c r="EX13" s="83"/>
      <c r="EY13" s="83"/>
      <c r="EZ13" s="83"/>
      <c r="FA13" s="83"/>
      <c r="FB13" s="83"/>
      <c r="FC13" s="83"/>
      <c r="FD13" s="83"/>
      <c r="FE13" s="83"/>
      <c r="FF13" s="83"/>
      <c r="FG13" s="83"/>
      <c r="FH13" s="83"/>
      <c r="FI13" s="83"/>
      <c r="FJ13" s="83"/>
      <c r="FK13" s="83"/>
      <c r="FL13" s="83"/>
      <c r="FM13" s="83"/>
      <c r="FN13" s="83"/>
      <c r="FO13" s="83"/>
      <c r="FP13" s="83"/>
      <c r="FQ13" s="83"/>
      <c r="FR13" s="83"/>
      <c r="FS13" s="83"/>
      <c r="FT13" s="83"/>
      <c r="FU13" s="83"/>
      <c r="FV13" s="83"/>
      <c r="FW13" s="83"/>
      <c r="FX13" s="83"/>
      <c r="FY13" s="83"/>
      <c r="FZ13" s="83"/>
      <c r="GA13" s="83"/>
      <c r="GB13" s="83"/>
      <c r="GC13" s="83"/>
      <c r="GD13" s="83"/>
      <c r="GE13" s="83"/>
      <c r="GF13" s="83"/>
      <c r="GG13" s="83"/>
      <c r="GH13" s="83"/>
      <c r="GI13" s="83"/>
      <c r="GJ13" s="83"/>
      <c r="GK13" s="83"/>
    </row>
    <row r="14" spans="1:194" s="81" customFormat="1">
      <c r="A14" s="84" t="s">
        <v>66</v>
      </c>
      <c r="B14" s="81" t="s">
        <v>67</v>
      </c>
      <c r="C14" s="83" t="s">
        <v>68</v>
      </c>
      <c r="D14" s="83" t="s">
        <v>47</v>
      </c>
      <c r="E14" s="83" t="s">
        <v>39</v>
      </c>
      <c r="F14" s="83" t="s">
        <v>39</v>
      </c>
      <c r="G14" s="83" t="s">
        <v>39</v>
      </c>
      <c r="H14" s="83" t="s">
        <v>39</v>
      </c>
      <c r="I14" s="83" t="s">
        <v>39</v>
      </c>
      <c r="J14" s="83" t="s">
        <v>39</v>
      </c>
      <c r="K14" s="83" t="s">
        <v>39</v>
      </c>
      <c r="L14" s="83" t="s">
        <v>39</v>
      </c>
      <c r="M14" s="83" t="s">
        <v>39</v>
      </c>
      <c r="N14" s="83" t="s">
        <v>39</v>
      </c>
      <c r="O14" s="83" t="s">
        <v>39</v>
      </c>
      <c r="P14" s="83" t="s">
        <v>39</v>
      </c>
      <c r="Q14" s="83" t="s">
        <v>39</v>
      </c>
      <c r="R14" s="83" t="s">
        <v>39</v>
      </c>
      <c r="S14" s="83" t="s">
        <v>39</v>
      </c>
      <c r="T14" s="83" t="s">
        <v>39</v>
      </c>
      <c r="U14" s="83" t="s">
        <v>39</v>
      </c>
      <c r="V14" s="83" t="s">
        <v>39</v>
      </c>
      <c r="W14" s="83" t="s">
        <v>39</v>
      </c>
      <c r="X14" s="83" t="s">
        <v>39</v>
      </c>
      <c r="Y14" s="83" t="s">
        <v>39</v>
      </c>
      <c r="Z14" s="83" t="s">
        <v>39</v>
      </c>
      <c r="AA14" s="82" t="s">
        <v>39</v>
      </c>
      <c r="AB14" s="82" t="s">
        <v>39</v>
      </c>
      <c r="AC14" s="82" t="s">
        <v>39</v>
      </c>
      <c r="AL14" s="82"/>
      <c r="AZ14" s="82"/>
      <c r="BB14" s="82"/>
      <c r="BG14" s="82"/>
      <c r="EU14" s="83"/>
      <c r="EV14" s="83"/>
      <c r="EW14" s="83"/>
      <c r="EX14" s="83"/>
      <c r="EY14" s="83"/>
      <c r="EZ14" s="83"/>
      <c r="FA14" s="83"/>
      <c r="FB14" s="83"/>
      <c r="FC14" s="83"/>
      <c r="FD14" s="83"/>
      <c r="FE14" s="83"/>
      <c r="FF14" s="83"/>
      <c r="FG14" s="83"/>
      <c r="FH14" s="83"/>
      <c r="FI14" s="83"/>
      <c r="FJ14" s="83"/>
      <c r="FK14" s="83"/>
      <c r="FL14" s="83"/>
      <c r="FM14" s="83"/>
      <c r="FN14" s="83"/>
      <c r="FO14" s="83"/>
      <c r="FP14" s="83"/>
      <c r="FQ14" s="83"/>
      <c r="FR14" s="83"/>
      <c r="FS14" s="83"/>
      <c r="FT14" s="83"/>
      <c r="FU14" s="83"/>
      <c r="FV14" s="83"/>
      <c r="FW14" s="83"/>
      <c r="FX14" s="83"/>
      <c r="FY14" s="83"/>
      <c r="FZ14" s="83"/>
      <c r="GA14" s="83"/>
      <c r="GB14" s="83"/>
      <c r="GC14" s="83"/>
      <c r="GD14" s="83"/>
      <c r="GE14" s="83"/>
      <c r="GF14" s="83"/>
      <c r="GG14" s="83"/>
      <c r="GH14" s="83"/>
      <c r="GI14" s="83"/>
      <c r="GJ14" s="83"/>
      <c r="GK14" s="83"/>
    </row>
    <row r="15" spans="1:194" s="81" customFormat="1">
      <c r="A15" s="84" t="s">
        <v>69</v>
      </c>
      <c r="B15" s="81" t="s">
        <v>70</v>
      </c>
      <c r="C15" s="83" t="s">
        <v>71</v>
      </c>
      <c r="D15" s="83" t="s">
        <v>47</v>
      </c>
      <c r="E15" s="83" t="s">
        <v>39</v>
      </c>
      <c r="F15" s="83" t="s">
        <v>39</v>
      </c>
      <c r="G15" s="83" t="s">
        <v>39</v>
      </c>
      <c r="H15" s="83" t="s">
        <v>39</v>
      </c>
      <c r="I15" s="83" t="s">
        <v>39</v>
      </c>
      <c r="J15" s="83" t="s">
        <v>39</v>
      </c>
      <c r="K15" s="83" t="s">
        <v>39</v>
      </c>
      <c r="L15" s="83" t="s">
        <v>39</v>
      </c>
      <c r="M15" s="83" t="s">
        <v>39</v>
      </c>
      <c r="N15" s="83" t="s">
        <v>39</v>
      </c>
      <c r="O15" s="83" t="s">
        <v>39</v>
      </c>
      <c r="P15" s="83" t="s">
        <v>39</v>
      </c>
      <c r="Q15" s="83" t="s">
        <v>39</v>
      </c>
      <c r="R15" s="83" t="s">
        <v>39</v>
      </c>
      <c r="S15" s="83" t="s">
        <v>39</v>
      </c>
      <c r="T15" s="83" t="s">
        <v>39</v>
      </c>
      <c r="U15" s="83" t="s">
        <v>39</v>
      </c>
      <c r="V15" s="83" t="s">
        <v>39</v>
      </c>
      <c r="W15" s="83" t="s">
        <v>39</v>
      </c>
      <c r="X15" s="83" t="s">
        <v>39</v>
      </c>
      <c r="Y15" s="83" t="s">
        <v>39</v>
      </c>
      <c r="Z15" s="83" t="s">
        <v>39</v>
      </c>
      <c r="AA15" s="82" t="s">
        <v>39</v>
      </c>
      <c r="AB15" s="82" t="s">
        <v>39</v>
      </c>
      <c r="AC15" s="82" t="s">
        <v>39</v>
      </c>
      <c r="AL15" s="82"/>
      <c r="AZ15" s="82"/>
      <c r="BB15" s="82"/>
      <c r="BG15" s="82"/>
      <c r="EU15" s="83"/>
      <c r="EV15" s="83"/>
      <c r="EW15" s="83"/>
      <c r="EX15" s="83"/>
      <c r="EY15" s="83"/>
      <c r="EZ15" s="83"/>
      <c r="FA15" s="83"/>
      <c r="FB15" s="83"/>
      <c r="FC15" s="83"/>
      <c r="FD15" s="83"/>
      <c r="FE15" s="83"/>
      <c r="FF15" s="83"/>
      <c r="FG15" s="83"/>
      <c r="FH15" s="83"/>
      <c r="FI15" s="83"/>
      <c r="FJ15" s="83"/>
      <c r="FK15" s="83"/>
      <c r="FL15" s="83"/>
      <c r="FM15" s="83"/>
      <c r="FN15" s="83"/>
      <c r="FO15" s="83"/>
      <c r="FP15" s="83"/>
      <c r="FQ15" s="83"/>
      <c r="FR15" s="83"/>
      <c r="FS15" s="83"/>
      <c r="FT15" s="83"/>
      <c r="FU15" s="83"/>
      <c r="FV15" s="83"/>
      <c r="FW15" s="83"/>
      <c r="FX15" s="83"/>
      <c r="FY15" s="83"/>
      <c r="FZ15" s="83"/>
      <c r="GA15" s="83"/>
      <c r="GB15" s="83"/>
      <c r="GC15" s="83"/>
      <c r="GD15" s="83"/>
      <c r="GE15" s="83"/>
      <c r="GF15" s="83"/>
      <c r="GG15" s="83"/>
      <c r="GH15" s="83"/>
      <c r="GI15" s="83"/>
      <c r="GJ15" s="83"/>
      <c r="GK15" s="83"/>
    </row>
    <row r="16" spans="1:194" s="81" customFormat="1">
      <c r="A16" s="84" t="s">
        <v>69</v>
      </c>
      <c r="B16" s="81" t="s">
        <v>72</v>
      </c>
      <c r="C16" s="83" t="s">
        <v>73</v>
      </c>
      <c r="D16" s="83" t="s">
        <v>47</v>
      </c>
      <c r="E16" s="83" t="s">
        <v>39</v>
      </c>
      <c r="F16" s="83" t="s">
        <v>39</v>
      </c>
      <c r="G16" s="83" t="s">
        <v>39</v>
      </c>
      <c r="H16" s="83" t="s">
        <v>39</v>
      </c>
      <c r="I16" s="83" t="s">
        <v>39</v>
      </c>
      <c r="J16" s="83" t="s">
        <v>39</v>
      </c>
      <c r="K16" s="83" t="s">
        <v>39</v>
      </c>
      <c r="L16" s="83" t="s">
        <v>39</v>
      </c>
      <c r="M16" s="83" t="s">
        <v>39</v>
      </c>
      <c r="N16" s="83" t="s">
        <v>39</v>
      </c>
      <c r="O16" s="83" t="s">
        <v>39</v>
      </c>
      <c r="P16" s="83" t="s">
        <v>39</v>
      </c>
      <c r="Q16" s="83" t="s">
        <v>39</v>
      </c>
      <c r="R16" s="83" t="s">
        <v>39</v>
      </c>
      <c r="S16" s="83" t="s">
        <v>39</v>
      </c>
      <c r="T16" s="83" t="s">
        <v>39</v>
      </c>
      <c r="U16" s="83" t="s">
        <v>39</v>
      </c>
      <c r="V16" s="83" t="s">
        <v>39</v>
      </c>
      <c r="W16" s="83" t="s">
        <v>39</v>
      </c>
      <c r="X16" s="83" t="s">
        <v>39</v>
      </c>
      <c r="Y16" s="83" t="s">
        <v>39</v>
      </c>
      <c r="Z16" s="83" t="s">
        <v>39</v>
      </c>
      <c r="AA16" s="82" t="s">
        <v>39</v>
      </c>
      <c r="AB16" s="82" t="s">
        <v>39</v>
      </c>
      <c r="AC16" s="82" t="s">
        <v>39</v>
      </c>
      <c r="AL16" s="82"/>
      <c r="AZ16" s="82"/>
      <c r="BB16" s="82"/>
      <c r="BG16" s="82"/>
      <c r="EU16" s="83"/>
      <c r="EV16" s="83"/>
      <c r="EW16" s="83"/>
      <c r="EX16" s="83"/>
      <c r="EY16" s="83"/>
      <c r="EZ16" s="83"/>
      <c r="FA16" s="83"/>
      <c r="FB16" s="83"/>
      <c r="FC16" s="83"/>
      <c r="FD16" s="83"/>
      <c r="FE16" s="83"/>
      <c r="FF16" s="83"/>
      <c r="FG16" s="83"/>
      <c r="FH16" s="83"/>
      <c r="FI16" s="83"/>
      <c r="FJ16" s="83"/>
      <c r="FK16" s="83"/>
      <c r="FL16" s="83"/>
      <c r="FM16" s="83"/>
      <c r="FN16" s="83"/>
      <c r="FO16" s="83"/>
      <c r="FP16" s="83"/>
      <c r="FQ16" s="83"/>
      <c r="FR16" s="83"/>
      <c r="FS16" s="83"/>
      <c r="FT16" s="83"/>
      <c r="FU16" s="83"/>
      <c r="FV16" s="83"/>
      <c r="FW16" s="83"/>
      <c r="FX16" s="83"/>
      <c r="FY16" s="83"/>
      <c r="FZ16" s="83"/>
      <c r="GA16" s="83"/>
      <c r="GB16" s="83"/>
      <c r="GC16" s="83"/>
      <c r="GD16" s="83"/>
      <c r="GE16" s="83"/>
      <c r="GF16" s="83"/>
      <c r="GG16" s="83"/>
      <c r="GH16" s="83"/>
      <c r="GI16" s="83"/>
      <c r="GJ16" s="83"/>
      <c r="GK16" s="83"/>
    </row>
    <row r="17" spans="1:194" s="81" customFormat="1">
      <c r="A17" s="84" t="s">
        <v>69</v>
      </c>
      <c r="B17" s="81" t="s">
        <v>74</v>
      </c>
      <c r="C17" s="83" t="s">
        <v>75</v>
      </c>
      <c r="D17" s="83" t="s">
        <v>39</v>
      </c>
      <c r="E17" s="83" t="s">
        <v>39</v>
      </c>
      <c r="F17" s="83" t="s">
        <v>39</v>
      </c>
      <c r="G17" s="83" t="s">
        <v>39</v>
      </c>
      <c r="H17" s="83" t="s">
        <v>39</v>
      </c>
      <c r="I17" s="83" t="s">
        <v>39</v>
      </c>
      <c r="J17" s="83" t="s">
        <v>39</v>
      </c>
      <c r="K17" s="83" t="s">
        <v>39</v>
      </c>
      <c r="L17" s="83" t="s">
        <v>39</v>
      </c>
      <c r="M17" s="83" t="s">
        <v>39</v>
      </c>
      <c r="N17" s="83" t="s">
        <v>39</v>
      </c>
      <c r="O17" s="83" t="s">
        <v>39</v>
      </c>
      <c r="P17" s="83" t="s">
        <v>39</v>
      </c>
      <c r="Q17" s="83" t="s">
        <v>39</v>
      </c>
      <c r="R17" s="83" t="s">
        <v>39</v>
      </c>
      <c r="S17" s="83" t="s">
        <v>39</v>
      </c>
      <c r="T17" s="83" t="s">
        <v>39</v>
      </c>
      <c r="U17" s="83" t="s">
        <v>39</v>
      </c>
      <c r="V17" s="83" t="s">
        <v>39</v>
      </c>
      <c r="W17" s="83" t="s">
        <v>39</v>
      </c>
      <c r="X17" s="83" t="s">
        <v>39</v>
      </c>
      <c r="Y17" s="83" t="s">
        <v>39</v>
      </c>
      <c r="Z17" s="83" t="s">
        <v>39</v>
      </c>
      <c r="AA17" s="82" t="s">
        <v>39</v>
      </c>
      <c r="AB17" s="82" t="s">
        <v>39</v>
      </c>
      <c r="AC17" s="82" t="s">
        <v>39</v>
      </c>
      <c r="AL17" s="82"/>
      <c r="AZ17" s="82"/>
      <c r="BB17" s="82"/>
      <c r="BG17" s="82"/>
      <c r="EU17" s="83"/>
      <c r="EV17" s="83"/>
      <c r="EW17" s="83"/>
      <c r="EX17" s="83"/>
      <c r="EY17" s="83"/>
      <c r="EZ17" s="83"/>
      <c r="FA17" s="83"/>
      <c r="FB17" s="83"/>
      <c r="FC17" s="83"/>
      <c r="FD17" s="83"/>
      <c r="FE17" s="83"/>
      <c r="FF17" s="83"/>
      <c r="FG17" s="83"/>
      <c r="FH17" s="83"/>
      <c r="FI17" s="83"/>
      <c r="FJ17" s="83"/>
      <c r="FK17" s="83"/>
      <c r="FL17" s="83"/>
      <c r="FM17" s="83"/>
      <c r="FN17" s="83"/>
      <c r="FO17" s="83"/>
      <c r="FP17" s="83"/>
      <c r="FQ17" s="83"/>
      <c r="FR17" s="83"/>
      <c r="FS17" s="83"/>
      <c r="FT17" s="83"/>
      <c r="FU17" s="83"/>
      <c r="FV17" s="83"/>
      <c r="FW17" s="83"/>
      <c r="FX17" s="83"/>
      <c r="FY17" s="83"/>
      <c r="FZ17" s="83"/>
      <c r="GA17" s="83"/>
      <c r="GB17" s="83"/>
      <c r="GC17" s="83"/>
      <c r="GD17" s="83"/>
      <c r="GE17" s="83"/>
      <c r="GF17" s="83"/>
      <c r="GG17" s="83"/>
      <c r="GH17" s="83"/>
      <c r="GI17" s="83"/>
      <c r="GJ17" s="83"/>
      <c r="GK17" s="83"/>
    </row>
    <row r="18" spans="1:194" s="81" customFormat="1">
      <c r="A18" s="84" t="s">
        <v>76</v>
      </c>
      <c r="B18" s="81" t="s">
        <v>77</v>
      </c>
      <c r="C18" s="83" t="s">
        <v>78</v>
      </c>
      <c r="D18" s="83" t="s">
        <v>47</v>
      </c>
      <c r="E18" s="83">
        <v>3.5</v>
      </c>
      <c r="F18" s="83">
        <v>3.6</v>
      </c>
      <c r="G18" s="83">
        <v>4.5</v>
      </c>
      <c r="H18" s="83">
        <v>4.8</v>
      </c>
      <c r="I18" s="83">
        <v>6.22</v>
      </c>
      <c r="J18" s="83">
        <v>6.22</v>
      </c>
      <c r="K18" s="83">
        <v>6.22</v>
      </c>
      <c r="L18" s="83">
        <v>6.22</v>
      </c>
      <c r="M18" s="83">
        <v>6.4</v>
      </c>
      <c r="N18" s="83">
        <v>6.5</v>
      </c>
      <c r="O18" s="83">
        <v>6.4</v>
      </c>
      <c r="P18" s="83">
        <v>6.4</v>
      </c>
      <c r="Q18" s="83">
        <v>6.4</v>
      </c>
      <c r="R18" s="83">
        <v>6.4</v>
      </c>
      <c r="S18" s="83">
        <v>6.38</v>
      </c>
      <c r="T18" s="83">
        <v>6.3</v>
      </c>
      <c r="U18" s="83">
        <v>5.84</v>
      </c>
      <c r="V18" s="83">
        <v>5.4</v>
      </c>
      <c r="W18" s="83">
        <v>4.5999999999999996</v>
      </c>
      <c r="X18" s="83">
        <v>4.4000000000000004</v>
      </c>
      <c r="Y18" s="83">
        <v>4</v>
      </c>
      <c r="Z18" s="83">
        <v>3.6</v>
      </c>
      <c r="AA18" s="82">
        <v>2.8</v>
      </c>
      <c r="AB18" s="82">
        <v>2.8</v>
      </c>
      <c r="AC18" s="82">
        <v>2.8</v>
      </c>
      <c r="AD18" s="81">
        <v>2.75</v>
      </c>
      <c r="AE18" s="81">
        <v>2.78</v>
      </c>
      <c r="AF18" s="81">
        <v>2.78</v>
      </c>
      <c r="AG18" s="81">
        <v>2.9</v>
      </c>
      <c r="AH18" s="81">
        <v>2.95</v>
      </c>
      <c r="AI18" s="81">
        <v>2.95</v>
      </c>
      <c r="AJ18" s="81">
        <v>3.15</v>
      </c>
      <c r="AK18" s="81">
        <v>3.35</v>
      </c>
      <c r="AL18" s="82">
        <v>3.35</v>
      </c>
      <c r="AM18" s="82">
        <v>3.35</v>
      </c>
      <c r="AN18" s="81">
        <v>3.35</v>
      </c>
      <c r="AO18" s="81">
        <v>3.35</v>
      </c>
      <c r="AP18" s="81">
        <v>3.08</v>
      </c>
      <c r="AQ18" s="81">
        <v>2.8</v>
      </c>
      <c r="AR18" s="81">
        <v>2.75</v>
      </c>
      <c r="AS18" s="81">
        <v>2.5499999999999998</v>
      </c>
      <c r="AT18" s="81">
        <v>2.4</v>
      </c>
      <c r="AU18" s="81">
        <v>2.4</v>
      </c>
      <c r="AV18" s="81">
        <v>2.4</v>
      </c>
      <c r="AW18" s="81">
        <v>2.35</v>
      </c>
      <c r="AX18" s="81">
        <v>2.2999999999999998</v>
      </c>
      <c r="AY18" s="81">
        <v>2.12</v>
      </c>
      <c r="AZ18" s="82">
        <v>2.12</v>
      </c>
      <c r="BA18" s="81">
        <v>2.0499999999999998</v>
      </c>
      <c r="BB18" s="82">
        <v>2</v>
      </c>
      <c r="BC18" s="81">
        <v>2</v>
      </c>
      <c r="BD18" s="81">
        <v>2</v>
      </c>
      <c r="BE18" s="81">
        <v>2</v>
      </c>
      <c r="BF18" s="81">
        <v>2.02</v>
      </c>
      <c r="BG18" s="82">
        <v>2.02</v>
      </c>
      <c r="BH18" s="81">
        <v>2.02</v>
      </c>
      <c r="BI18" s="81">
        <v>2.02</v>
      </c>
      <c r="BJ18" s="81">
        <v>2.02</v>
      </c>
      <c r="BK18" s="81">
        <v>2.02</v>
      </c>
      <c r="BL18" s="81">
        <v>2</v>
      </c>
      <c r="BM18" s="81">
        <v>1.95</v>
      </c>
      <c r="BN18" s="81">
        <v>1.8</v>
      </c>
      <c r="BO18" s="81">
        <v>1.8</v>
      </c>
      <c r="BP18" s="81">
        <v>1.7</v>
      </c>
      <c r="BQ18" s="81">
        <v>1.7</v>
      </c>
      <c r="BR18" s="81">
        <v>1.67</v>
      </c>
      <c r="BS18" s="81">
        <v>1.55</v>
      </c>
      <c r="BT18" s="81">
        <v>1.45</v>
      </c>
      <c r="BU18" s="81">
        <v>1.25</v>
      </c>
      <c r="BV18" s="81">
        <v>1.25</v>
      </c>
      <c r="BW18" s="81">
        <v>1.25</v>
      </c>
      <c r="BX18" s="81">
        <v>1.25</v>
      </c>
      <c r="BY18" s="81">
        <v>1.25</v>
      </c>
      <c r="BZ18" s="81">
        <v>1.25</v>
      </c>
      <c r="CA18" s="81">
        <v>1.25</v>
      </c>
      <c r="CB18" s="81">
        <v>1.25</v>
      </c>
      <c r="CC18" s="81">
        <v>1.25</v>
      </c>
      <c r="CD18" s="81">
        <v>1.25</v>
      </c>
      <c r="CE18" s="81">
        <v>1.25</v>
      </c>
      <c r="CF18" s="81">
        <v>1.25</v>
      </c>
      <c r="CG18" s="81">
        <v>1.25</v>
      </c>
      <c r="CH18" s="81">
        <v>1.25</v>
      </c>
      <c r="CI18" s="81">
        <v>1.25</v>
      </c>
      <c r="CJ18" s="81">
        <v>1.25</v>
      </c>
      <c r="CK18" s="81">
        <v>1.25</v>
      </c>
      <c r="CL18" s="81">
        <v>1.1499999999999999</v>
      </c>
      <c r="CM18" s="81">
        <v>1.1499999999999999</v>
      </c>
      <c r="CN18" s="81">
        <v>1.1499999999999999</v>
      </c>
      <c r="CO18" s="81">
        <v>1.1499999999999999</v>
      </c>
      <c r="CP18" s="81">
        <v>1.1499999999999999</v>
      </c>
      <c r="CQ18" s="81">
        <v>1.1499999999999999</v>
      </c>
      <c r="CR18" s="81">
        <v>1.1499999999999999</v>
      </c>
      <c r="CS18" s="81">
        <v>1.1000000000000001</v>
      </c>
      <c r="CT18" s="81">
        <v>1.08</v>
      </c>
      <c r="CU18" s="81">
        <v>1.08</v>
      </c>
      <c r="CV18" s="81">
        <v>1.08</v>
      </c>
      <c r="CW18" s="81">
        <v>1.08</v>
      </c>
      <c r="CX18" s="81">
        <v>1.08</v>
      </c>
      <c r="CY18" s="81">
        <v>1.08</v>
      </c>
      <c r="CZ18" s="81">
        <v>1.08</v>
      </c>
      <c r="DA18" s="81">
        <v>1.08</v>
      </c>
      <c r="DB18" s="81">
        <v>1.08</v>
      </c>
      <c r="DC18" s="81">
        <v>1.08</v>
      </c>
      <c r="DD18" s="81">
        <v>1.08</v>
      </c>
      <c r="DE18" s="81">
        <v>1.08</v>
      </c>
      <c r="DF18" s="81">
        <v>1.08</v>
      </c>
      <c r="DG18" s="81">
        <v>1.08</v>
      </c>
      <c r="DH18" s="81">
        <v>1.08</v>
      </c>
      <c r="DI18" s="81">
        <v>1.08</v>
      </c>
      <c r="DJ18" s="81">
        <v>1.08</v>
      </c>
      <c r="DK18" s="81">
        <v>1.08</v>
      </c>
      <c r="DL18" s="81">
        <v>1.08</v>
      </c>
      <c r="DM18" s="81">
        <v>1.08</v>
      </c>
      <c r="EU18" s="83"/>
      <c r="EV18" s="83"/>
      <c r="EW18" s="83"/>
      <c r="EX18" s="83"/>
      <c r="EY18" s="83"/>
      <c r="EZ18" s="83"/>
      <c r="FA18" s="83"/>
      <c r="FB18" s="83"/>
      <c r="FC18" s="83"/>
      <c r="FD18" s="83"/>
      <c r="FE18" s="83"/>
      <c r="FF18" s="83"/>
      <c r="FG18" s="83"/>
      <c r="FH18" s="83"/>
      <c r="FI18" s="83"/>
      <c r="FJ18" s="83"/>
      <c r="FK18" s="83"/>
      <c r="FL18" s="83"/>
      <c r="FM18" s="83"/>
      <c r="FN18" s="83"/>
      <c r="FO18" s="83"/>
      <c r="FP18" s="83"/>
      <c r="FQ18" s="83"/>
      <c r="FR18" s="83"/>
      <c r="FS18" s="83"/>
      <c r="FT18" s="83"/>
      <c r="FU18" s="83"/>
      <c r="FV18" s="83"/>
      <c r="FW18" s="83"/>
      <c r="FX18" s="83"/>
      <c r="FY18" s="83"/>
      <c r="FZ18" s="83"/>
      <c r="GA18" s="83"/>
      <c r="GB18" s="83"/>
      <c r="GC18" s="83"/>
      <c r="GD18" s="83"/>
      <c r="GE18" s="83"/>
      <c r="GF18" s="83"/>
      <c r="GG18" s="83"/>
      <c r="GH18" s="83"/>
      <c r="GI18" s="83"/>
      <c r="GJ18" s="83"/>
      <c r="GK18" s="83"/>
    </row>
    <row r="19" spans="1:194" s="81" customFormat="1">
      <c r="A19" s="84" t="s">
        <v>79</v>
      </c>
      <c r="B19" s="81" t="s">
        <v>80</v>
      </c>
      <c r="C19" s="83" t="s">
        <v>81</v>
      </c>
      <c r="D19" s="83" t="s">
        <v>47</v>
      </c>
      <c r="E19" s="83" t="s">
        <v>39</v>
      </c>
      <c r="F19" s="83" t="s">
        <v>39</v>
      </c>
      <c r="G19" s="83" t="s">
        <v>39</v>
      </c>
      <c r="H19" s="83" t="s">
        <v>39</v>
      </c>
      <c r="I19" s="83" t="s">
        <v>39</v>
      </c>
      <c r="J19" s="83" t="s">
        <v>39</v>
      </c>
      <c r="K19" s="83" t="s">
        <v>39</v>
      </c>
      <c r="L19" s="83" t="s">
        <v>39</v>
      </c>
      <c r="M19" s="83" t="s">
        <v>39</v>
      </c>
      <c r="N19" s="83" t="s">
        <v>39</v>
      </c>
      <c r="O19" s="83" t="s">
        <v>39</v>
      </c>
      <c r="P19" s="83" t="s">
        <v>39</v>
      </c>
      <c r="Q19" s="83" t="s">
        <v>39</v>
      </c>
      <c r="R19" s="83" t="s">
        <v>39</v>
      </c>
      <c r="S19" s="83" t="s">
        <v>39</v>
      </c>
      <c r="T19" s="83" t="s">
        <v>39</v>
      </c>
      <c r="U19" s="83" t="s">
        <v>39</v>
      </c>
      <c r="V19" s="83" t="s">
        <v>39</v>
      </c>
      <c r="W19" s="83" t="s">
        <v>39</v>
      </c>
      <c r="X19" s="83" t="s">
        <v>39</v>
      </c>
      <c r="Y19" s="83" t="s">
        <v>39</v>
      </c>
      <c r="Z19" s="83" t="s">
        <v>39</v>
      </c>
      <c r="AA19" s="82" t="s">
        <v>39</v>
      </c>
      <c r="AB19" s="82" t="s">
        <v>39</v>
      </c>
      <c r="AC19" s="82" t="s">
        <v>39</v>
      </c>
      <c r="AL19" s="82"/>
      <c r="AM19" s="82"/>
      <c r="AZ19" s="82"/>
      <c r="BB19" s="82"/>
      <c r="BG19" s="82"/>
      <c r="EU19" s="83"/>
      <c r="EV19" s="83"/>
      <c r="EW19" s="83"/>
      <c r="EX19" s="83"/>
      <c r="EY19" s="83"/>
      <c r="EZ19" s="83"/>
      <c r="FA19" s="83"/>
      <c r="FB19" s="83"/>
      <c r="FC19" s="83"/>
      <c r="FD19" s="83"/>
      <c r="FE19" s="83"/>
      <c r="FF19" s="83"/>
      <c r="FG19" s="83"/>
      <c r="FH19" s="83"/>
      <c r="FI19" s="83"/>
      <c r="FJ19" s="83"/>
      <c r="FK19" s="83"/>
      <c r="FL19" s="83"/>
      <c r="FM19" s="83"/>
      <c r="FN19" s="83"/>
      <c r="FO19" s="83"/>
      <c r="FP19" s="83"/>
      <c r="FQ19" s="83"/>
      <c r="FR19" s="83"/>
      <c r="FS19" s="83"/>
      <c r="FT19" s="83"/>
      <c r="FU19" s="83"/>
      <c r="FV19" s="83"/>
      <c r="FW19" s="83"/>
      <c r="FX19" s="83"/>
      <c r="FY19" s="83"/>
      <c r="FZ19" s="83"/>
      <c r="GA19" s="83"/>
      <c r="GB19" s="83"/>
      <c r="GC19" s="83"/>
      <c r="GD19" s="83"/>
      <c r="GE19" s="83"/>
      <c r="GF19" s="83"/>
      <c r="GG19" s="83"/>
      <c r="GH19" s="83"/>
      <c r="GI19" s="83"/>
      <c r="GJ19" s="83"/>
      <c r="GK19" s="83"/>
    </row>
    <row r="20" spans="1:194" s="81" customFormat="1">
      <c r="A20" s="84" t="s">
        <v>82</v>
      </c>
      <c r="B20" s="81" t="s">
        <v>83</v>
      </c>
      <c r="C20" s="83" t="s">
        <v>84</v>
      </c>
      <c r="D20" s="83" t="s">
        <v>47</v>
      </c>
      <c r="E20" s="83" t="s">
        <v>39</v>
      </c>
      <c r="F20" s="83" t="s">
        <v>39</v>
      </c>
      <c r="G20" s="83" t="s">
        <v>39</v>
      </c>
      <c r="H20" s="83" t="s">
        <v>39</v>
      </c>
      <c r="I20" s="83" t="s">
        <v>39</v>
      </c>
      <c r="J20" s="83" t="s">
        <v>39</v>
      </c>
      <c r="K20" s="83" t="s">
        <v>39</v>
      </c>
      <c r="L20" s="83" t="s">
        <v>39</v>
      </c>
      <c r="M20" s="83" t="s">
        <v>39</v>
      </c>
      <c r="N20" s="83" t="s">
        <v>39</v>
      </c>
      <c r="O20" s="83" t="s">
        <v>39</v>
      </c>
      <c r="P20" s="83" t="s">
        <v>39</v>
      </c>
      <c r="Q20" s="83" t="s">
        <v>39</v>
      </c>
      <c r="R20" s="83" t="s">
        <v>39</v>
      </c>
      <c r="S20" s="83" t="s">
        <v>39</v>
      </c>
      <c r="T20" s="83" t="s">
        <v>39</v>
      </c>
      <c r="U20" s="83" t="s">
        <v>39</v>
      </c>
      <c r="V20" s="83" t="s">
        <v>39</v>
      </c>
      <c r="W20" s="83" t="s">
        <v>39</v>
      </c>
      <c r="X20" s="83" t="s">
        <v>39</v>
      </c>
      <c r="Y20" s="83" t="s">
        <v>39</v>
      </c>
      <c r="Z20" s="83" t="s">
        <v>39</v>
      </c>
      <c r="AA20" s="82" t="s">
        <v>39</v>
      </c>
      <c r="AB20" s="82" t="s">
        <v>39</v>
      </c>
      <c r="AC20" s="82" t="s">
        <v>39</v>
      </c>
      <c r="AL20" s="82"/>
      <c r="AM20" s="82"/>
      <c r="AZ20" s="82"/>
      <c r="BB20" s="82"/>
      <c r="BG20" s="82"/>
      <c r="EU20" s="83"/>
      <c r="EV20" s="83"/>
      <c r="EW20" s="83"/>
      <c r="EX20" s="83"/>
      <c r="EY20" s="83"/>
      <c r="EZ20" s="83"/>
      <c r="FA20" s="83"/>
      <c r="FB20" s="83"/>
      <c r="FC20" s="83"/>
      <c r="FD20" s="83"/>
      <c r="FE20" s="83"/>
      <c r="FF20" s="83"/>
      <c r="FG20" s="83"/>
      <c r="FH20" s="83"/>
      <c r="FI20" s="83"/>
      <c r="FJ20" s="83"/>
      <c r="FK20" s="83"/>
      <c r="FL20" s="83"/>
      <c r="FM20" s="83"/>
      <c r="FN20" s="83"/>
      <c r="FO20" s="83"/>
      <c r="FP20" s="83"/>
      <c r="FQ20" s="83"/>
      <c r="FR20" s="83"/>
      <c r="FS20" s="83"/>
      <c r="FT20" s="83"/>
      <c r="FU20" s="83"/>
      <c r="FV20" s="83"/>
      <c r="FW20" s="83"/>
      <c r="FX20" s="83"/>
      <c r="FY20" s="83"/>
      <c r="FZ20" s="83"/>
      <c r="GA20" s="83"/>
      <c r="GB20" s="83"/>
      <c r="GC20" s="83"/>
      <c r="GD20" s="83"/>
      <c r="GE20" s="83"/>
      <c r="GF20" s="83"/>
      <c r="GG20" s="83"/>
      <c r="GH20" s="83"/>
      <c r="GI20" s="83"/>
      <c r="GJ20" s="83"/>
      <c r="GK20" s="83"/>
    </row>
    <row r="21" spans="1:194" s="81" customFormat="1">
      <c r="A21" s="84" t="s">
        <v>82</v>
      </c>
      <c r="B21" s="81" t="s">
        <v>85</v>
      </c>
      <c r="C21" s="83" t="s">
        <v>86</v>
      </c>
      <c r="D21" s="83" t="s">
        <v>47</v>
      </c>
      <c r="E21" s="83" t="s">
        <v>39</v>
      </c>
      <c r="F21" s="83" t="s">
        <v>39</v>
      </c>
      <c r="G21" s="83" t="s">
        <v>39</v>
      </c>
      <c r="H21" s="89" t="s">
        <v>39</v>
      </c>
      <c r="I21" s="83" t="s">
        <v>39</v>
      </c>
      <c r="J21" s="83" t="s">
        <v>39</v>
      </c>
      <c r="K21" s="83" t="s">
        <v>39</v>
      </c>
      <c r="L21" s="83" t="s">
        <v>39</v>
      </c>
      <c r="M21" s="83" t="s">
        <v>39</v>
      </c>
      <c r="N21" s="83" t="s">
        <v>39</v>
      </c>
      <c r="O21" s="83" t="s">
        <v>39</v>
      </c>
      <c r="P21" s="83" t="s">
        <v>39</v>
      </c>
      <c r="Q21" s="83" t="s">
        <v>39</v>
      </c>
      <c r="R21" s="83" t="s">
        <v>39</v>
      </c>
      <c r="S21" s="83" t="s">
        <v>39</v>
      </c>
      <c r="T21" s="83" t="s">
        <v>39</v>
      </c>
      <c r="U21" s="83" t="s">
        <v>39</v>
      </c>
      <c r="V21" s="83" t="s">
        <v>39</v>
      </c>
      <c r="W21" s="83" t="s">
        <v>39</v>
      </c>
      <c r="X21" s="83" t="s">
        <v>39</v>
      </c>
      <c r="Y21" s="83" t="s">
        <v>39</v>
      </c>
      <c r="Z21" s="83" t="s">
        <v>39</v>
      </c>
      <c r="AA21" s="82" t="s">
        <v>39</v>
      </c>
      <c r="AB21" s="82" t="s">
        <v>39</v>
      </c>
      <c r="AC21" s="82" t="s">
        <v>39</v>
      </c>
      <c r="AL21" s="82"/>
      <c r="AM21" s="82"/>
      <c r="AZ21" s="82"/>
      <c r="BB21" s="82"/>
      <c r="BG21" s="82"/>
      <c r="EU21" s="83"/>
      <c r="EV21" s="83"/>
      <c r="EW21" s="83"/>
      <c r="EX21" s="83"/>
      <c r="EY21" s="83"/>
      <c r="EZ21" s="83"/>
      <c r="FA21" s="83"/>
      <c r="FB21" s="83"/>
      <c r="FC21" s="83"/>
      <c r="FD21" s="83"/>
      <c r="FE21" s="83"/>
      <c r="FF21" s="83"/>
      <c r="FG21" s="83"/>
      <c r="FH21" s="83"/>
      <c r="FI21" s="83"/>
      <c r="FJ21" s="83"/>
      <c r="FK21" s="83"/>
      <c r="FL21" s="83"/>
      <c r="FM21" s="83"/>
      <c r="FN21" s="83"/>
      <c r="FO21" s="83"/>
      <c r="FP21" s="83"/>
      <c r="FQ21" s="83"/>
      <c r="FR21" s="83"/>
      <c r="FS21" s="83"/>
      <c r="FT21" s="83"/>
      <c r="FU21" s="83"/>
      <c r="FV21" s="83"/>
      <c r="FW21" s="83"/>
      <c r="FX21" s="83"/>
      <c r="FY21" s="83"/>
      <c r="FZ21" s="83"/>
      <c r="GA21" s="83"/>
      <c r="GB21" s="83"/>
      <c r="GC21" s="83"/>
      <c r="GD21" s="83"/>
      <c r="GE21" s="83"/>
      <c r="GF21" s="83"/>
      <c r="GG21" s="83"/>
      <c r="GH21" s="83"/>
      <c r="GI21" s="83"/>
      <c r="GJ21" s="83"/>
      <c r="GK21" s="83"/>
    </row>
    <row r="22" spans="1:194" s="81" customFormat="1">
      <c r="A22" s="84" t="s">
        <v>82</v>
      </c>
      <c r="B22" s="81" t="s">
        <v>87</v>
      </c>
      <c r="C22" s="83" t="s">
        <v>88</v>
      </c>
      <c r="D22" s="83" t="s">
        <v>39</v>
      </c>
      <c r="E22" s="83" t="s">
        <v>39</v>
      </c>
      <c r="F22" s="83" t="s">
        <v>39</v>
      </c>
      <c r="G22" s="83" t="s">
        <v>39</v>
      </c>
      <c r="H22" s="83" t="s">
        <v>39</v>
      </c>
      <c r="I22" s="83" t="s">
        <v>39</v>
      </c>
      <c r="J22" s="83" t="s">
        <v>39</v>
      </c>
      <c r="K22" s="83" t="s">
        <v>39</v>
      </c>
      <c r="L22" s="83" t="s">
        <v>39</v>
      </c>
      <c r="M22" s="83" t="s">
        <v>39</v>
      </c>
      <c r="N22" s="83" t="s">
        <v>39</v>
      </c>
      <c r="O22" s="83" t="s">
        <v>39</v>
      </c>
      <c r="P22" s="83" t="s">
        <v>39</v>
      </c>
      <c r="Q22" s="83" t="s">
        <v>39</v>
      </c>
      <c r="R22" s="83" t="s">
        <v>39</v>
      </c>
      <c r="S22" s="83" t="s">
        <v>39</v>
      </c>
      <c r="T22" s="83" t="s">
        <v>39</v>
      </c>
      <c r="U22" s="83" t="s">
        <v>39</v>
      </c>
      <c r="V22" s="83" t="s">
        <v>39</v>
      </c>
      <c r="W22" s="83" t="s">
        <v>39</v>
      </c>
      <c r="X22" s="83" t="s">
        <v>39</v>
      </c>
      <c r="Y22" s="83" t="s">
        <v>39</v>
      </c>
      <c r="Z22" s="83" t="s">
        <v>39</v>
      </c>
      <c r="AA22" s="82" t="s">
        <v>39</v>
      </c>
      <c r="AB22" s="82" t="s">
        <v>39</v>
      </c>
      <c r="AC22" s="82" t="s">
        <v>39</v>
      </c>
      <c r="AL22" s="82"/>
      <c r="AM22" s="82"/>
      <c r="AZ22" s="82"/>
      <c r="BB22" s="82"/>
      <c r="BG22" s="82"/>
      <c r="EU22" s="83"/>
      <c r="EV22" s="83"/>
      <c r="EW22" s="83"/>
      <c r="EX22" s="83"/>
      <c r="EY22" s="83"/>
      <c r="EZ22" s="83"/>
      <c r="FA22" s="83"/>
      <c r="FB22" s="83"/>
      <c r="FC22" s="83"/>
      <c r="FD22" s="83"/>
      <c r="FE22" s="83"/>
      <c r="FF22" s="83"/>
      <c r="FG22" s="83"/>
      <c r="FH22" s="83"/>
      <c r="FI22" s="83"/>
      <c r="FJ22" s="83"/>
      <c r="FK22" s="83"/>
      <c r="FL22" s="83"/>
      <c r="FM22" s="83"/>
      <c r="FN22" s="83"/>
      <c r="FO22" s="83"/>
      <c r="FP22" s="83"/>
      <c r="FQ22" s="83"/>
      <c r="FR22" s="83"/>
      <c r="FS22" s="83"/>
      <c r="FT22" s="83"/>
      <c r="FU22" s="83"/>
      <c r="FV22" s="83"/>
      <c r="FW22" s="83"/>
      <c r="FX22" s="83"/>
      <c r="FY22" s="83"/>
      <c r="FZ22" s="83"/>
      <c r="GA22" s="83"/>
      <c r="GB22" s="83"/>
      <c r="GC22" s="83"/>
      <c r="GD22" s="83"/>
      <c r="GE22" s="83"/>
      <c r="GF22" s="83"/>
      <c r="GG22" s="83"/>
      <c r="GH22" s="83"/>
      <c r="GI22" s="83"/>
      <c r="GJ22" s="83"/>
      <c r="GK22" s="83"/>
    </row>
    <row r="23" spans="1:194" s="81" customFormat="1">
      <c r="A23" s="84" t="s">
        <v>89</v>
      </c>
      <c r="B23" s="81" t="s">
        <v>90</v>
      </c>
      <c r="C23" s="83" t="s">
        <v>91</v>
      </c>
      <c r="D23" s="83" t="s">
        <v>47</v>
      </c>
      <c r="E23" s="83">
        <v>4.8</v>
      </c>
      <c r="F23" s="83">
        <v>4.8</v>
      </c>
      <c r="G23" s="83">
        <v>6.2</v>
      </c>
      <c r="H23" s="83">
        <v>6.2</v>
      </c>
      <c r="I23" s="83">
        <v>8.1999999999999993</v>
      </c>
      <c r="J23" s="83">
        <v>8.1999999999999993</v>
      </c>
      <c r="K23" s="83">
        <v>8.1999999999999993</v>
      </c>
      <c r="L23" s="83">
        <v>8.1999999999999993</v>
      </c>
      <c r="M23" s="83">
        <v>8.1999999999999993</v>
      </c>
      <c r="N23" s="83">
        <v>8.1999999999999993</v>
      </c>
      <c r="O23" s="83">
        <v>8.1999999999999993</v>
      </c>
      <c r="P23" s="83">
        <v>8.1999999999999993</v>
      </c>
      <c r="Q23" s="83">
        <v>8.0500000000000007</v>
      </c>
      <c r="R23" s="83">
        <v>8.0500000000000007</v>
      </c>
      <c r="S23" s="83">
        <v>8.0500000000000007</v>
      </c>
      <c r="T23" s="83">
        <v>8.0500000000000007</v>
      </c>
      <c r="U23" s="83">
        <v>7.6</v>
      </c>
      <c r="V23" s="83">
        <v>7.4</v>
      </c>
      <c r="W23" s="90">
        <v>6</v>
      </c>
      <c r="X23" s="90">
        <v>5.8</v>
      </c>
      <c r="Y23" s="90">
        <v>5.0999999999999996</v>
      </c>
      <c r="Z23" s="90">
        <v>5</v>
      </c>
      <c r="AA23" s="82">
        <v>4</v>
      </c>
      <c r="AB23" s="82">
        <v>4</v>
      </c>
      <c r="AC23" s="82">
        <v>4</v>
      </c>
      <c r="AD23" s="81">
        <v>4</v>
      </c>
      <c r="AE23" s="81">
        <v>3.77</v>
      </c>
      <c r="AF23" s="81">
        <v>3.77</v>
      </c>
      <c r="AG23" s="81">
        <v>3.77</v>
      </c>
      <c r="AH23" s="81">
        <v>3.92</v>
      </c>
      <c r="AI23" s="81">
        <v>3.92</v>
      </c>
      <c r="AJ23" s="81">
        <v>4.0999999999999996</v>
      </c>
      <c r="AK23" s="81">
        <v>4.3499999999999996</v>
      </c>
      <c r="AL23" s="82">
        <v>4.3499999999999996</v>
      </c>
      <c r="AM23" s="82">
        <v>4.3499999999999996</v>
      </c>
      <c r="AN23" s="81">
        <v>4.25</v>
      </c>
      <c r="AO23" s="81">
        <v>4.2</v>
      </c>
      <c r="AP23" s="81">
        <v>4.0199999999999996</v>
      </c>
      <c r="AQ23" s="81">
        <v>3.9</v>
      </c>
      <c r="AR23" s="81">
        <v>3.66</v>
      </c>
      <c r="AS23" s="81">
        <v>3.45</v>
      </c>
      <c r="AT23" s="81">
        <v>3.3</v>
      </c>
      <c r="AU23" s="81">
        <v>3.3</v>
      </c>
      <c r="AV23" s="81">
        <v>3.3</v>
      </c>
      <c r="AW23" s="81">
        <v>3.3</v>
      </c>
      <c r="AX23" s="81">
        <v>3.3</v>
      </c>
      <c r="AY23" s="81">
        <v>3.3</v>
      </c>
      <c r="AZ23" s="82">
        <v>3.05</v>
      </c>
      <c r="BA23" s="81">
        <v>3</v>
      </c>
      <c r="BB23" s="82">
        <v>3</v>
      </c>
      <c r="BC23" s="81">
        <v>3</v>
      </c>
      <c r="BD23" s="81">
        <v>3</v>
      </c>
      <c r="BE23" s="81">
        <v>2.95</v>
      </c>
      <c r="BF23" s="81">
        <v>2.95</v>
      </c>
      <c r="BG23" s="82">
        <v>2.85</v>
      </c>
      <c r="BH23" s="81">
        <v>2.8</v>
      </c>
      <c r="BI23" s="81">
        <v>2.8</v>
      </c>
      <c r="BJ23" s="81">
        <v>2.8</v>
      </c>
      <c r="BK23" s="81">
        <v>2.8</v>
      </c>
      <c r="BL23" s="81">
        <v>2.75</v>
      </c>
      <c r="BM23" s="81">
        <v>2.75</v>
      </c>
      <c r="BN23" s="81">
        <v>2.4</v>
      </c>
      <c r="BO23" s="81">
        <v>2.4</v>
      </c>
      <c r="BP23" s="81">
        <v>2.35</v>
      </c>
      <c r="BQ23" s="81">
        <v>2.35</v>
      </c>
      <c r="BR23" s="81">
        <v>2.15</v>
      </c>
      <c r="BS23" s="81">
        <v>2.13</v>
      </c>
      <c r="BT23" s="81">
        <v>1.95</v>
      </c>
      <c r="BU23" s="81">
        <v>1.85</v>
      </c>
      <c r="BV23" s="81">
        <v>1.85</v>
      </c>
      <c r="BW23" s="81">
        <v>1.85</v>
      </c>
      <c r="BX23" s="81">
        <v>1.85</v>
      </c>
      <c r="BY23" s="81">
        <v>1.85</v>
      </c>
      <c r="BZ23" s="81">
        <v>1.85</v>
      </c>
      <c r="CA23" s="81">
        <v>1.85</v>
      </c>
      <c r="CB23" s="81">
        <v>1.85</v>
      </c>
      <c r="CC23" s="81">
        <v>1.85</v>
      </c>
      <c r="CD23" s="81">
        <v>1.85</v>
      </c>
      <c r="CE23" s="81">
        <v>1.85</v>
      </c>
      <c r="CF23" s="81">
        <v>1.85</v>
      </c>
      <c r="CG23" s="81">
        <v>1.85</v>
      </c>
      <c r="CH23" s="81">
        <v>1.85</v>
      </c>
      <c r="CI23" s="81">
        <v>1.85</v>
      </c>
      <c r="CJ23" s="81">
        <v>1.85</v>
      </c>
      <c r="CK23" s="81">
        <v>1.85</v>
      </c>
      <c r="CL23" s="81">
        <v>1.75</v>
      </c>
      <c r="CM23" s="81">
        <v>1.7</v>
      </c>
      <c r="CN23" s="81">
        <v>1.72</v>
      </c>
      <c r="CO23" s="81">
        <v>1.72</v>
      </c>
      <c r="CP23" s="81">
        <v>1.72</v>
      </c>
      <c r="CQ23" s="81">
        <v>1.72</v>
      </c>
      <c r="CR23" s="81">
        <v>1.72</v>
      </c>
      <c r="CS23" s="81">
        <v>1.65</v>
      </c>
      <c r="CT23" s="81">
        <v>1.65</v>
      </c>
      <c r="CU23" s="81">
        <v>1.65</v>
      </c>
      <c r="CV23" s="81">
        <v>1.65</v>
      </c>
      <c r="CW23" s="81">
        <v>1.65</v>
      </c>
      <c r="CX23" s="81">
        <v>1.65</v>
      </c>
      <c r="CY23" s="81">
        <v>1.65</v>
      </c>
      <c r="CZ23" s="81">
        <v>1.65</v>
      </c>
      <c r="DA23" s="81">
        <v>1.65</v>
      </c>
      <c r="DB23" s="81">
        <v>1.65</v>
      </c>
      <c r="DC23" s="81">
        <v>1.65</v>
      </c>
      <c r="DD23" s="81">
        <v>1.65</v>
      </c>
      <c r="DE23" s="81">
        <v>1.65</v>
      </c>
      <c r="DF23" s="81">
        <v>1.65</v>
      </c>
      <c r="DG23" s="81">
        <v>1.65</v>
      </c>
      <c r="DH23" s="81">
        <v>1.65</v>
      </c>
      <c r="DI23" s="81">
        <v>1.65</v>
      </c>
      <c r="DJ23" s="81">
        <v>1.65</v>
      </c>
      <c r="DK23" s="81">
        <v>1.65</v>
      </c>
      <c r="DL23" s="81">
        <v>1.65</v>
      </c>
      <c r="DM23" s="81">
        <v>1.58</v>
      </c>
      <c r="EU23" s="83"/>
      <c r="EV23" s="83"/>
      <c r="EW23" s="83"/>
      <c r="EX23" s="83"/>
      <c r="EY23" s="83"/>
      <c r="EZ23" s="83"/>
      <c r="FA23" s="83"/>
      <c r="FB23" s="83"/>
      <c r="FC23" s="83"/>
      <c r="FD23" s="83"/>
      <c r="FE23" s="83"/>
      <c r="FF23" s="83"/>
      <c r="FG23" s="83"/>
      <c r="FH23" s="83"/>
      <c r="FI23" s="83"/>
      <c r="FJ23" s="83"/>
      <c r="FK23" s="83"/>
      <c r="FL23" s="83"/>
      <c r="FM23" s="83"/>
      <c r="FN23" s="83"/>
      <c r="FO23" s="83"/>
      <c r="FP23" s="83"/>
      <c r="FQ23" s="83"/>
      <c r="FR23" s="83"/>
      <c r="FS23" s="83"/>
      <c r="FT23" s="83"/>
      <c r="FU23" s="83"/>
      <c r="FV23" s="83"/>
      <c r="FW23" s="83"/>
      <c r="FX23" s="83"/>
      <c r="FY23" s="83"/>
      <c r="FZ23" s="83"/>
      <c r="GA23" s="83"/>
      <c r="GB23" s="83"/>
      <c r="GC23" s="83"/>
      <c r="GD23" s="83"/>
      <c r="GE23" s="83"/>
      <c r="GF23" s="83"/>
      <c r="GG23" s="83"/>
      <c r="GH23" s="83"/>
      <c r="GI23" s="83"/>
      <c r="GJ23" s="83"/>
      <c r="GK23" s="83"/>
    </row>
    <row r="24" spans="1:194" s="81" customFormat="1">
      <c r="A24" s="84" t="s">
        <v>92</v>
      </c>
      <c r="B24" s="81" t="s">
        <v>93</v>
      </c>
      <c r="C24" s="83" t="s">
        <v>94</v>
      </c>
      <c r="D24" s="83" t="s">
        <v>47</v>
      </c>
      <c r="E24" s="83" t="s">
        <v>39</v>
      </c>
      <c r="F24" s="83" t="s">
        <v>39</v>
      </c>
      <c r="G24" s="83" t="s">
        <v>39</v>
      </c>
      <c r="H24" s="83" t="s">
        <v>39</v>
      </c>
      <c r="I24" s="83" t="s">
        <v>39</v>
      </c>
      <c r="J24" s="83" t="s">
        <v>39</v>
      </c>
      <c r="K24" s="83" t="s">
        <v>39</v>
      </c>
      <c r="L24" s="83" t="s">
        <v>39</v>
      </c>
      <c r="M24" s="83" t="s">
        <v>39</v>
      </c>
      <c r="N24" s="83" t="s">
        <v>39</v>
      </c>
      <c r="O24" s="83" t="s">
        <v>39</v>
      </c>
      <c r="P24" s="83" t="s">
        <v>39</v>
      </c>
      <c r="Q24" s="83" t="s">
        <v>39</v>
      </c>
      <c r="R24" s="83" t="s">
        <v>39</v>
      </c>
      <c r="S24" s="83" t="s">
        <v>39</v>
      </c>
      <c r="T24" s="83" t="s">
        <v>39</v>
      </c>
      <c r="U24" s="83" t="s">
        <v>39</v>
      </c>
      <c r="V24" s="83" t="s">
        <v>39</v>
      </c>
      <c r="W24" s="83" t="s">
        <v>39</v>
      </c>
      <c r="X24" s="83" t="s">
        <v>39</v>
      </c>
      <c r="Y24" s="83" t="s">
        <v>39</v>
      </c>
      <c r="Z24" s="83" t="s">
        <v>39</v>
      </c>
      <c r="AA24" s="82" t="s">
        <v>39</v>
      </c>
      <c r="AB24" s="82" t="s">
        <v>39</v>
      </c>
      <c r="AC24" s="82" t="s">
        <v>39</v>
      </c>
      <c r="AL24" s="82"/>
      <c r="AM24" s="82"/>
      <c r="AZ24" s="82"/>
      <c r="BB24" s="82"/>
      <c r="BG24" s="82"/>
      <c r="EU24" s="83"/>
      <c r="EV24" s="83"/>
      <c r="EW24" s="83"/>
      <c r="EX24" s="83"/>
      <c r="EY24" s="83"/>
      <c r="EZ24" s="83"/>
      <c r="FA24" s="83"/>
      <c r="FB24" s="83"/>
      <c r="FC24" s="83"/>
      <c r="FD24" s="83"/>
      <c r="FE24" s="83"/>
      <c r="FF24" s="83"/>
      <c r="FG24" s="83"/>
      <c r="FH24" s="83"/>
      <c r="FI24" s="83"/>
      <c r="FJ24" s="83"/>
      <c r="FK24" s="83"/>
      <c r="FL24" s="83"/>
      <c r="FM24" s="83"/>
      <c r="FN24" s="83"/>
      <c r="FO24" s="83"/>
      <c r="FP24" s="83"/>
      <c r="FQ24" s="83"/>
      <c r="FR24" s="83"/>
      <c r="FS24" s="83"/>
      <c r="FT24" s="83"/>
      <c r="FU24" s="83"/>
      <c r="FV24" s="83"/>
      <c r="FW24" s="83"/>
      <c r="FX24" s="83"/>
      <c r="FY24" s="83"/>
      <c r="FZ24" s="83"/>
      <c r="GA24" s="83"/>
      <c r="GB24" s="83"/>
      <c r="GC24" s="83"/>
      <c r="GD24" s="83"/>
      <c r="GE24" s="83"/>
      <c r="GF24" s="83"/>
      <c r="GG24" s="83"/>
      <c r="GH24" s="83"/>
      <c r="GI24" s="83"/>
      <c r="GJ24" s="83"/>
      <c r="GK24" s="83"/>
    </row>
    <row r="25" spans="1:194" s="81" customFormat="1">
      <c r="A25" s="84" t="s">
        <v>95</v>
      </c>
      <c r="B25" s="81" t="s">
        <v>96</v>
      </c>
      <c r="C25" s="83" t="s">
        <v>91</v>
      </c>
      <c r="D25" s="83" t="s">
        <v>47</v>
      </c>
      <c r="E25" s="83">
        <v>6.3</v>
      </c>
      <c r="F25" s="83">
        <v>5.0999999999999996</v>
      </c>
      <c r="G25" s="83">
        <v>5.3</v>
      </c>
      <c r="H25" s="83">
        <v>5.3</v>
      </c>
      <c r="I25" s="83" t="s">
        <v>39</v>
      </c>
      <c r="J25" s="83" t="s">
        <v>39</v>
      </c>
      <c r="K25" s="83" t="s">
        <v>39</v>
      </c>
      <c r="L25" s="83" t="s">
        <v>39</v>
      </c>
      <c r="M25" s="83" t="s">
        <v>39</v>
      </c>
      <c r="N25" s="83" t="s">
        <v>39</v>
      </c>
      <c r="O25" s="83" t="s">
        <v>39</v>
      </c>
      <c r="P25" s="83" t="s">
        <v>39</v>
      </c>
      <c r="Q25" s="83" t="s">
        <v>39</v>
      </c>
      <c r="R25" s="83" t="s">
        <v>39</v>
      </c>
      <c r="S25" s="83" t="s">
        <v>39</v>
      </c>
      <c r="T25" s="83" t="s">
        <v>39</v>
      </c>
      <c r="U25" s="83" t="s">
        <v>39</v>
      </c>
      <c r="V25" s="83" t="s">
        <v>39</v>
      </c>
      <c r="W25" s="83" t="s">
        <v>39</v>
      </c>
      <c r="X25" s="83" t="s">
        <v>39</v>
      </c>
      <c r="Y25" s="83" t="s">
        <v>39</v>
      </c>
      <c r="Z25" s="83" t="s">
        <v>39</v>
      </c>
      <c r="AA25" s="82" t="s">
        <v>39</v>
      </c>
      <c r="AB25" s="82" t="s">
        <v>39</v>
      </c>
      <c r="AC25" s="82" t="s">
        <v>39</v>
      </c>
      <c r="AL25" s="82"/>
      <c r="AM25" s="82"/>
      <c r="AZ25" s="82"/>
      <c r="BB25" s="82"/>
      <c r="BG25" s="82"/>
      <c r="EU25" s="83"/>
      <c r="EV25" s="83"/>
      <c r="EW25" s="83"/>
      <c r="EX25" s="83"/>
      <c r="EY25" s="83"/>
      <c r="EZ25" s="83"/>
      <c r="FA25" s="83"/>
      <c r="FB25" s="83"/>
      <c r="FC25" s="83"/>
      <c r="FD25" s="83"/>
      <c r="FE25" s="83"/>
      <c r="FF25" s="83"/>
      <c r="FG25" s="83"/>
      <c r="FH25" s="83"/>
      <c r="FI25" s="83"/>
      <c r="FJ25" s="83"/>
      <c r="FK25" s="83"/>
      <c r="FL25" s="83"/>
      <c r="FM25" s="83"/>
      <c r="FN25" s="83"/>
      <c r="FO25" s="83"/>
      <c r="FP25" s="83"/>
      <c r="FQ25" s="83"/>
      <c r="FR25" s="83"/>
      <c r="FS25" s="83"/>
      <c r="FT25" s="83"/>
      <c r="FU25" s="83"/>
      <c r="FV25" s="83"/>
      <c r="FW25" s="83"/>
      <c r="FX25" s="83"/>
      <c r="FY25" s="83"/>
      <c r="FZ25" s="83"/>
      <c r="GA25" s="83"/>
      <c r="GB25" s="83"/>
      <c r="GC25" s="83"/>
      <c r="GD25" s="83"/>
      <c r="GE25" s="83"/>
      <c r="GF25" s="83"/>
      <c r="GG25" s="83"/>
      <c r="GH25" s="83"/>
      <c r="GI25" s="83"/>
      <c r="GJ25" s="83"/>
      <c r="GK25" s="83"/>
    </row>
    <row r="26" spans="1:194" s="81" customFormat="1">
      <c r="A26" s="84" t="s">
        <v>97</v>
      </c>
      <c r="B26" s="81" t="s">
        <v>98</v>
      </c>
      <c r="C26" s="83" t="s">
        <v>99</v>
      </c>
      <c r="D26" s="83" t="s">
        <v>100</v>
      </c>
      <c r="E26" s="83" t="s">
        <v>39</v>
      </c>
      <c r="F26" s="83" t="s">
        <v>39</v>
      </c>
      <c r="G26" s="83" t="s">
        <v>39</v>
      </c>
      <c r="H26" s="83" t="s">
        <v>39</v>
      </c>
      <c r="I26" s="83" t="s">
        <v>39</v>
      </c>
      <c r="J26" s="83" t="s">
        <v>39</v>
      </c>
      <c r="K26" s="83" t="s">
        <v>39</v>
      </c>
      <c r="L26" s="83" t="s">
        <v>39</v>
      </c>
      <c r="M26" s="83" t="s">
        <v>39</v>
      </c>
      <c r="N26" s="83" t="s">
        <v>39</v>
      </c>
      <c r="O26" s="83" t="s">
        <v>39</v>
      </c>
      <c r="P26" s="83" t="s">
        <v>39</v>
      </c>
      <c r="Q26" s="83" t="s">
        <v>39</v>
      </c>
      <c r="R26" s="83" t="s">
        <v>39</v>
      </c>
      <c r="S26" s="83" t="s">
        <v>39</v>
      </c>
      <c r="T26" s="83" t="s">
        <v>39</v>
      </c>
      <c r="U26" s="83" t="s">
        <v>39</v>
      </c>
      <c r="V26" s="83" t="s">
        <v>39</v>
      </c>
      <c r="W26" s="83" t="s">
        <v>39</v>
      </c>
      <c r="X26" s="83" t="s">
        <v>39</v>
      </c>
      <c r="Y26" s="83" t="s">
        <v>39</v>
      </c>
      <c r="Z26" s="83" t="s">
        <v>39</v>
      </c>
      <c r="AA26" s="82" t="s">
        <v>39</v>
      </c>
      <c r="AB26" s="82" t="s">
        <v>39</v>
      </c>
      <c r="AC26" s="82" t="s">
        <v>39</v>
      </c>
      <c r="AL26" s="82"/>
      <c r="AM26" s="82"/>
      <c r="AZ26" s="82"/>
      <c r="BB26" s="82"/>
      <c r="BG26" s="82"/>
      <c r="EU26" s="83"/>
      <c r="EV26" s="83"/>
      <c r="EW26" s="83"/>
      <c r="EX26" s="83"/>
      <c r="EY26" s="83"/>
      <c r="EZ26" s="83"/>
      <c r="FA26" s="83"/>
      <c r="FB26" s="83"/>
      <c r="FC26" s="83"/>
      <c r="FD26" s="83"/>
      <c r="FE26" s="83"/>
      <c r="FF26" s="83"/>
      <c r="FG26" s="83"/>
      <c r="FH26" s="83"/>
      <c r="FI26" s="83"/>
      <c r="FJ26" s="83"/>
      <c r="FK26" s="83"/>
      <c r="FL26" s="83"/>
      <c r="FM26" s="83"/>
      <c r="FN26" s="83"/>
      <c r="FO26" s="83"/>
      <c r="FP26" s="83"/>
      <c r="FQ26" s="83"/>
      <c r="FR26" s="83"/>
      <c r="FS26" s="83"/>
      <c r="FT26" s="83"/>
      <c r="FU26" s="83"/>
      <c r="FV26" s="83"/>
      <c r="FW26" s="83"/>
      <c r="FX26" s="83"/>
      <c r="FY26" s="83"/>
      <c r="FZ26" s="83"/>
      <c r="GA26" s="83"/>
      <c r="GB26" s="83"/>
      <c r="GC26" s="83"/>
      <c r="GD26" s="83"/>
      <c r="GE26" s="83"/>
      <c r="GF26" s="83"/>
      <c r="GG26" s="83"/>
      <c r="GH26" s="83"/>
      <c r="GI26" s="83"/>
      <c r="GJ26" s="83"/>
      <c r="GK26" s="83"/>
    </row>
    <row r="27" spans="1:194" s="81" customFormat="1">
      <c r="A27" s="84" t="s">
        <v>101</v>
      </c>
      <c r="B27" s="81" t="s">
        <v>102</v>
      </c>
      <c r="C27" s="83" t="s">
        <v>52</v>
      </c>
      <c r="D27" s="83" t="s">
        <v>100</v>
      </c>
      <c r="E27" s="83" t="s">
        <v>39</v>
      </c>
      <c r="F27" s="83" t="s">
        <v>39</v>
      </c>
      <c r="G27" s="83" t="s">
        <v>39</v>
      </c>
      <c r="H27" s="83" t="s">
        <v>39</v>
      </c>
      <c r="I27" s="83" t="s">
        <v>39</v>
      </c>
      <c r="J27" s="83" t="s">
        <v>39</v>
      </c>
      <c r="K27" s="83" t="s">
        <v>39</v>
      </c>
      <c r="L27" s="83" t="s">
        <v>39</v>
      </c>
      <c r="M27" s="83" t="s">
        <v>39</v>
      </c>
      <c r="N27" s="83" t="s">
        <v>39</v>
      </c>
      <c r="O27" s="83" t="s">
        <v>39</v>
      </c>
      <c r="P27" s="83" t="s">
        <v>39</v>
      </c>
      <c r="Q27" s="83" t="s">
        <v>39</v>
      </c>
      <c r="R27" s="83" t="s">
        <v>39</v>
      </c>
      <c r="S27" s="83" t="s">
        <v>39</v>
      </c>
      <c r="T27" s="83" t="s">
        <v>39</v>
      </c>
      <c r="U27" s="83" t="s">
        <v>39</v>
      </c>
      <c r="V27" s="83" t="s">
        <v>39</v>
      </c>
      <c r="W27" s="83" t="s">
        <v>39</v>
      </c>
      <c r="X27" s="83" t="s">
        <v>39</v>
      </c>
      <c r="Y27" s="83" t="s">
        <v>39</v>
      </c>
      <c r="Z27" s="83" t="s">
        <v>39</v>
      </c>
      <c r="AA27" s="82" t="s">
        <v>39</v>
      </c>
      <c r="AB27" s="82" t="s">
        <v>39</v>
      </c>
      <c r="AC27" s="82" t="s">
        <v>39</v>
      </c>
      <c r="AL27" s="82"/>
      <c r="AM27" s="82"/>
      <c r="AZ27" s="82"/>
      <c r="BB27" s="82"/>
      <c r="BG27" s="82"/>
      <c r="EU27" s="83"/>
      <c r="EV27" s="83"/>
      <c r="EW27" s="83"/>
      <c r="EX27" s="83"/>
      <c r="EY27" s="83"/>
      <c r="EZ27" s="83"/>
      <c r="FA27" s="83"/>
      <c r="FB27" s="83"/>
      <c r="FC27" s="83"/>
      <c r="FD27" s="83"/>
      <c r="FE27" s="83"/>
      <c r="FF27" s="83"/>
      <c r="FG27" s="83"/>
      <c r="FH27" s="83"/>
      <c r="FI27" s="83"/>
      <c r="FJ27" s="83"/>
      <c r="FK27" s="83"/>
      <c r="FL27" s="83"/>
      <c r="FM27" s="83"/>
      <c r="FN27" s="83"/>
      <c r="FO27" s="83"/>
      <c r="FP27" s="83"/>
      <c r="FQ27" s="83"/>
      <c r="FR27" s="83"/>
      <c r="FS27" s="83"/>
      <c r="FT27" s="83"/>
      <c r="FU27" s="83"/>
      <c r="FV27" s="83"/>
      <c r="FW27" s="83"/>
      <c r="FX27" s="83"/>
      <c r="FY27" s="83"/>
      <c r="FZ27" s="83"/>
      <c r="GA27" s="83"/>
      <c r="GB27" s="83"/>
      <c r="GC27" s="83"/>
      <c r="GD27" s="83"/>
      <c r="GE27" s="83"/>
      <c r="GF27" s="83"/>
      <c r="GG27" s="83"/>
      <c r="GH27" s="83"/>
      <c r="GI27" s="83"/>
      <c r="GJ27" s="83"/>
      <c r="GK27" s="83"/>
    </row>
    <row r="28" spans="1:194" s="81" customFormat="1">
      <c r="A28" s="84" t="s">
        <v>103</v>
      </c>
      <c r="B28" s="81" t="s">
        <v>104</v>
      </c>
      <c r="C28" s="83" t="s">
        <v>105</v>
      </c>
      <c r="D28" s="83" t="s">
        <v>100</v>
      </c>
      <c r="E28" s="83">
        <v>0.8</v>
      </c>
      <c r="F28" s="83">
        <v>0.83</v>
      </c>
      <c r="G28" s="83">
        <v>0.91</v>
      </c>
      <c r="H28" s="83">
        <v>0.96</v>
      </c>
      <c r="I28" s="83" t="s">
        <v>39</v>
      </c>
      <c r="J28" s="83" t="s">
        <v>39</v>
      </c>
      <c r="K28" s="83" t="s">
        <v>39</v>
      </c>
      <c r="L28" s="83" t="s">
        <v>39</v>
      </c>
      <c r="M28" s="83" t="s">
        <v>39</v>
      </c>
      <c r="N28" s="83" t="s">
        <v>39</v>
      </c>
      <c r="O28" s="83" t="s">
        <v>39</v>
      </c>
      <c r="P28" s="83" t="s">
        <v>39</v>
      </c>
      <c r="Q28" s="83" t="s">
        <v>39</v>
      </c>
      <c r="R28" s="83" t="s">
        <v>39</v>
      </c>
      <c r="S28" s="83" t="s">
        <v>39</v>
      </c>
      <c r="T28" s="83" t="s">
        <v>39</v>
      </c>
      <c r="U28" s="83" t="s">
        <v>39</v>
      </c>
      <c r="V28" s="83" t="s">
        <v>39</v>
      </c>
      <c r="W28" s="83" t="s">
        <v>39</v>
      </c>
      <c r="X28" s="83" t="s">
        <v>39</v>
      </c>
      <c r="Y28" s="83" t="s">
        <v>39</v>
      </c>
      <c r="Z28" s="83" t="s">
        <v>39</v>
      </c>
      <c r="AA28" s="82" t="s">
        <v>39</v>
      </c>
      <c r="AB28" s="82" t="s">
        <v>39</v>
      </c>
      <c r="AC28" s="82" t="s">
        <v>39</v>
      </c>
      <c r="AL28" s="82"/>
      <c r="AM28" s="82"/>
      <c r="AZ28" s="82"/>
      <c r="BB28" s="82"/>
      <c r="BG28" s="82"/>
      <c r="EU28" s="83"/>
      <c r="EV28" s="83"/>
      <c r="EW28" s="83"/>
      <c r="EX28" s="83"/>
      <c r="EY28" s="83"/>
      <c r="EZ28" s="83"/>
      <c r="FA28" s="83"/>
      <c r="FB28" s="83"/>
      <c r="FC28" s="83"/>
      <c r="FD28" s="83"/>
      <c r="FE28" s="83"/>
      <c r="FF28" s="83"/>
      <c r="FG28" s="83"/>
      <c r="FH28" s="83"/>
      <c r="FI28" s="83"/>
      <c r="FJ28" s="83"/>
      <c r="FK28" s="83"/>
      <c r="FL28" s="83"/>
      <c r="FM28" s="83"/>
      <c r="FN28" s="83"/>
      <c r="FO28" s="83"/>
      <c r="FP28" s="83"/>
      <c r="FQ28" s="83"/>
      <c r="FR28" s="83"/>
      <c r="FS28" s="83"/>
      <c r="FT28" s="83"/>
      <c r="FU28" s="83"/>
      <c r="FV28" s="83"/>
      <c r="FW28" s="83"/>
      <c r="FX28" s="83"/>
      <c r="FY28" s="83"/>
      <c r="FZ28" s="83"/>
      <c r="GA28" s="83"/>
      <c r="GB28" s="83"/>
      <c r="GC28" s="83"/>
      <c r="GD28" s="83"/>
      <c r="GE28" s="83"/>
      <c r="GF28" s="83"/>
      <c r="GG28" s="83"/>
      <c r="GH28" s="83"/>
      <c r="GI28" s="83"/>
      <c r="GJ28" s="83"/>
      <c r="GK28" s="83"/>
    </row>
    <row r="29" spans="1:194" s="81" customFormat="1">
      <c r="A29" s="84" t="s">
        <v>106</v>
      </c>
      <c r="B29" s="81" t="s">
        <v>107</v>
      </c>
      <c r="C29" s="83" t="s">
        <v>108</v>
      </c>
      <c r="D29" s="83" t="s">
        <v>100</v>
      </c>
      <c r="E29" s="83">
        <v>0.8</v>
      </c>
      <c r="F29" s="83">
        <v>0.83</v>
      </c>
      <c r="G29" s="83">
        <v>0.92</v>
      </c>
      <c r="H29" s="83">
        <v>0.97</v>
      </c>
      <c r="I29" s="83">
        <v>1.1399999999999999</v>
      </c>
      <c r="J29" s="83">
        <v>1.1399999999999999</v>
      </c>
      <c r="K29" s="83">
        <v>1.1299999999999999</v>
      </c>
      <c r="L29" s="83">
        <v>1.0900000000000001</v>
      </c>
      <c r="M29" s="83">
        <v>1.0900000000000001</v>
      </c>
      <c r="N29" s="83">
        <v>1.1000000000000001</v>
      </c>
      <c r="O29" s="83">
        <v>1.0900000000000001</v>
      </c>
      <c r="P29" s="83">
        <v>1.1000000000000001</v>
      </c>
      <c r="Q29" s="83">
        <v>1.1000000000000001</v>
      </c>
      <c r="R29" s="83">
        <v>1.1000000000000001</v>
      </c>
      <c r="S29" s="83">
        <v>1.1000000000000001</v>
      </c>
      <c r="T29" s="83">
        <v>1.1000000000000001</v>
      </c>
      <c r="U29" s="83">
        <v>1.0900000000000001</v>
      </c>
      <c r="V29" s="83">
        <v>1.04</v>
      </c>
      <c r="W29" s="83">
        <v>1</v>
      </c>
      <c r="X29" s="83">
        <v>0.96</v>
      </c>
      <c r="Y29" s="83">
        <v>0.88</v>
      </c>
      <c r="Z29" s="83">
        <v>0.86</v>
      </c>
      <c r="AA29" s="82">
        <v>0.79</v>
      </c>
      <c r="AB29" s="82">
        <v>0.72</v>
      </c>
      <c r="AC29" s="82">
        <v>0.71</v>
      </c>
      <c r="AD29" s="81">
        <v>0.71499999999999997</v>
      </c>
      <c r="AE29" s="81">
        <v>0.73</v>
      </c>
      <c r="AF29" s="81">
        <v>0.73499999999999999</v>
      </c>
      <c r="AG29" s="81">
        <v>0.745</v>
      </c>
      <c r="AH29" s="81">
        <v>0.75</v>
      </c>
      <c r="AI29" s="81">
        <v>0.755</v>
      </c>
      <c r="AJ29" s="81">
        <v>0.76</v>
      </c>
      <c r="AK29" s="81">
        <v>0.76</v>
      </c>
      <c r="AL29" s="82">
        <v>0.76</v>
      </c>
      <c r="AM29" s="82">
        <v>0.76</v>
      </c>
      <c r="AN29" s="81">
        <v>0.75</v>
      </c>
      <c r="AO29" s="81">
        <v>0.71</v>
      </c>
      <c r="AP29" s="81">
        <v>0.65</v>
      </c>
      <c r="AQ29" s="81">
        <v>0.61</v>
      </c>
      <c r="AR29" s="81">
        <v>0.55000000000000004</v>
      </c>
      <c r="AS29" s="81">
        <v>0.51</v>
      </c>
      <c r="AT29" s="81">
        <v>0.48</v>
      </c>
      <c r="AU29" s="81">
        <v>0.46</v>
      </c>
      <c r="AV29" s="81">
        <v>0.46</v>
      </c>
      <c r="AW29" s="81">
        <v>0.46</v>
      </c>
      <c r="AX29" s="81">
        <v>0.45</v>
      </c>
      <c r="AY29" s="81">
        <v>0.43</v>
      </c>
      <c r="AZ29" s="82">
        <v>0.42499999999999999</v>
      </c>
      <c r="BA29" s="81">
        <v>0.39</v>
      </c>
      <c r="BB29" s="82">
        <v>0.36</v>
      </c>
      <c r="BC29" s="81">
        <v>0.36</v>
      </c>
      <c r="BD29" s="81">
        <v>0.39</v>
      </c>
      <c r="BE29" s="81">
        <v>0.39</v>
      </c>
      <c r="BF29" s="81">
        <v>0.39</v>
      </c>
      <c r="BG29" s="82">
        <v>0.39</v>
      </c>
      <c r="BH29" s="81">
        <v>0.39</v>
      </c>
      <c r="BI29" s="81">
        <v>0.39</v>
      </c>
      <c r="BJ29" s="81">
        <v>0.39</v>
      </c>
      <c r="BK29" s="81">
        <v>0.38</v>
      </c>
      <c r="BL29" s="81">
        <v>0.38</v>
      </c>
      <c r="BM29" s="81">
        <v>0.38</v>
      </c>
      <c r="BN29" s="81">
        <v>0.375</v>
      </c>
      <c r="BO29" s="81">
        <v>0.375</v>
      </c>
      <c r="BP29" s="81">
        <v>0.35</v>
      </c>
      <c r="BQ29" s="81">
        <v>0.35</v>
      </c>
      <c r="BR29" s="81">
        <v>0.34</v>
      </c>
      <c r="BS29" s="81">
        <v>0.34</v>
      </c>
      <c r="BT29" s="81">
        <v>0.34</v>
      </c>
      <c r="BU29" s="81">
        <v>0.31</v>
      </c>
      <c r="BV29" s="81">
        <v>0.31</v>
      </c>
      <c r="BW29" s="81">
        <v>0.31</v>
      </c>
      <c r="BX29" s="81">
        <v>0.31</v>
      </c>
      <c r="BY29" s="81">
        <v>0.31</v>
      </c>
      <c r="BZ29" s="81">
        <v>0.31</v>
      </c>
      <c r="CA29" s="81">
        <v>0.31</v>
      </c>
      <c r="CB29" s="81">
        <v>0.31</v>
      </c>
      <c r="CC29" s="81">
        <v>0.31</v>
      </c>
      <c r="CD29" s="81">
        <v>0.31</v>
      </c>
      <c r="CE29" s="81">
        <v>0.31</v>
      </c>
      <c r="CF29" s="81">
        <v>0.31</v>
      </c>
      <c r="CG29" s="81">
        <v>0.31</v>
      </c>
      <c r="CH29" s="81">
        <v>0.31</v>
      </c>
      <c r="CI29" s="81">
        <v>0.31</v>
      </c>
      <c r="CJ29" s="81">
        <v>0.31</v>
      </c>
      <c r="CK29" s="81">
        <v>0.31</v>
      </c>
      <c r="CL29" s="81">
        <v>0.31</v>
      </c>
      <c r="CM29" s="81">
        <v>0.3</v>
      </c>
      <c r="CN29" s="81">
        <v>0.28000000000000003</v>
      </c>
      <c r="CO29" s="81">
        <v>0.28000000000000003</v>
      </c>
      <c r="CP29" s="81">
        <v>0.28000000000000003</v>
      </c>
      <c r="CQ29" s="81">
        <v>0.28000000000000003</v>
      </c>
      <c r="CR29" s="81">
        <v>0.28000000000000003</v>
      </c>
      <c r="CS29" s="81">
        <v>0.28000000000000003</v>
      </c>
      <c r="CT29" s="81">
        <v>0.27500000000000002</v>
      </c>
      <c r="CU29" s="81">
        <v>0.27500000000000002</v>
      </c>
      <c r="CV29" s="81">
        <v>0.27500000000000002</v>
      </c>
      <c r="CW29" s="81">
        <v>0.27500000000000002</v>
      </c>
      <c r="CX29" s="81">
        <v>0.27500000000000002</v>
      </c>
      <c r="CY29" s="81">
        <v>0.27500000000000002</v>
      </c>
      <c r="CZ29" s="81">
        <v>0.27500000000000002</v>
      </c>
      <c r="DA29" s="81">
        <v>0.27500000000000002</v>
      </c>
      <c r="DB29" s="81">
        <v>0.27500000000000002</v>
      </c>
      <c r="DC29" s="81">
        <v>0.27500000000000002</v>
      </c>
      <c r="DD29" s="81">
        <v>0.27500000000000002</v>
      </c>
      <c r="DE29" s="81">
        <v>0.27500000000000002</v>
      </c>
      <c r="DF29" s="81">
        <v>0.27500000000000002</v>
      </c>
      <c r="DG29" s="81">
        <v>0.27500000000000002</v>
      </c>
      <c r="DH29" s="81">
        <v>0.27500000000000002</v>
      </c>
      <c r="DI29" s="81">
        <v>0.27500000000000002</v>
      </c>
      <c r="DJ29" s="81">
        <v>0.27500000000000002</v>
      </c>
      <c r="DK29" s="81">
        <v>0.27500000000000002</v>
      </c>
      <c r="DL29" s="81">
        <v>0.27500000000000002</v>
      </c>
      <c r="DM29" s="81">
        <v>0.27500000000000002</v>
      </c>
      <c r="DN29" s="81">
        <v>0.27500000000000002</v>
      </c>
      <c r="DO29" s="81">
        <v>0.27500000000000002</v>
      </c>
      <c r="DP29" s="81">
        <v>0.27500000000000002</v>
      </c>
      <c r="DQ29" s="81">
        <v>0.27500000000000002</v>
      </c>
      <c r="DR29" s="81">
        <v>0.27500000000000002</v>
      </c>
      <c r="DS29" s="81">
        <v>0.27500000000000002</v>
      </c>
      <c r="DT29" s="81">
        <v>0.27</v>
      </c>
      <c r="DU29" s="81">
        <v>0.27</v>
      </c>
      <c r="DV29" s="81">
        <v>0.27</v>
      </c>
      <c r="DW29" s="81">
        <v>0.27</v>
      </c>
      <c r="DX29" s="81">
        <v>0.27</v>
      </c>
      <c r="DY29" s="81">
        <v>0.27</v>
      </c>
      <c r="DZ29" s="81">
        <v>0.27</v>
      </c>
      <c r="EA29" s="81">
        <v>0.27</v>
      </c>
      <c r="EB29" s="81">
        <v>0.27</v>
      </c>
      <c r="EU29" s="83"/>
      <c r="EV29" s="83"/>
      <c r="EW29" s="83"/>
      <c r="EX29" s="83"/>
      <c r="EY29" s="83"/>
      <c r="EZ29" s="83"/>
      <c r="FA29" s="83"/>
      <c r="FB29" s="83"/>
      <c r="FC29" s="83"/>
      <c r="FD29" s="83"/>
      <c r="FE29" s="83"/>
      <c r="FF29" s="83"/>
      <c r="FG29" s="83"/>
      <c r="FH29" s="83"/>
      <c r="FI29" s="83"/>
      <c r="FJ29" s="83"/>
      <c r="FK29" s="83"/>
      <c r="FL29" s="83"/>
      <c r="FM29" s="83"/>
      <c r="FN29" s="83"/>
      <c r="FO29" s="83"/>
      <c r="FP29" s="83"/>
      <c r="FQ29" s="83"/>
      <c r="FR29" s="83"/>
      <c r="FS29" s="83"/>
      <c r="FT29" s="83"/>
      <c r="FU29" s="83"/>
      <c r="FV29" s="83"/>
      <c r="FW29" s="83"/>
      <c r="FX29" s="83"/>
      <c r="FY29" s="83"/>
      <c r="FZ29" s="83"/>
      <c r="GA29" s="83"/>
      <c r="GB29" s="83"/>
      <c r="GC29" s="83"/>
      <c r="GD29" s="83"/>
      <c r="GE29" s="83"/>
      <c r="GF29" s="83"/>
      <c r="GG29" s="83"/>
      <c r="GH29" s="83"/>
      <c r="GI29" s="83"/>
      <c r="GJ29" s="83"/>
      <c r="GK29" s="83"/>
    </row>
    <row r="30" spans="1:194" s="81" customFormat="1">
      <c r="A30" s="84" t="s">
        <v>109</v>
      </c>
      <c r="B30" s="81" t="s">
        <v>110</v>
      </c>
      <c r="C30" s="83" t="s">
        <v>81</v>
      </c>
      <c r="D30" s="83" t="s">
        <v>100</v>
      </c>
      <c r="E30" s="83">
        <v>0.8</v>
      </c>
      <c r="F30" s="83">
        <v>0.83</v>
      </c>
      <c r="G30" s="83">
        <v>0.92</v>
      </c>
      <c r="H30" s="83">
        <v>0.97</v>
      </c>
      <c r="I30" s="83">
        <v>1.1399999999999999</v>
      </c>
      <c r="J30" s="83">
        <v>1.1399999999999999</v>
      </c>
      <c r="K30" s="83">
        <v>1.1299999999999999</v>
      </c>
      <c r="L30" s="83">
        <v>1.1000000000000001</v>
      </c>
      <c r="M30" s="83">
        <v>1.1000000000000001</v>
      </c>
      <c r="N30" s="83">
        <v>1.1000000000000001</v>
      </c>
      <c r="O30" s="83">
        <v>1.1000000000000001</v>
      </c>
      <c r="P30" s="83">
        <v>1.1299999999999999</v>
      </c>
      <c r="Q30" s="83">
        <v>1.1299999999999999</v>
      </c>
      <c r="R30" s="83">
        <v>1.1299999999999999</v>
      </c>
      <c r="S30" s="83">
        <v>1.1299999999999999</v>
      </c>
      <c r="T30" s="83">
        <v>1.1299999999999999</v>
      </c>
      <c r="U30" s="83">
        <v>1.1299999999999999</v>
      </c>
      <c r="V30" s="83">
        <v>1.1000000000000001</v>
      </c>
      <c r="W30" s="83">
        <v>1.06</v>
      </c>
      <c r="X30" s="83">
        <v>1.02</v>
      </c>
      <c r="Y30" s="83">
        <v>0.9</v>
      </c>
      <c r="Z30" s="83">
        <v>0.9</v>
      </c>
      <c r="AA30" s="82">
        <v>0.83</v>
      </c>
      <c r="AB30" s="82">
        <v>0.75</v>
      </c>
      <c r="AC30" s="82">
        <v>0.74</v>
      </c>
      <c r="AD30" s="81">
        <v>0.74</v>
      </c>
      <c r="AE30" s="81">
        <v>0.73</v>
      </c>
      <c r="AF30" s="81">
        <v>0.73</v>
      </c>
      <c r="AG30" s="81">
        <v>0.73</v>
      </c>
      <c r="AH30" s="81">
        <v>0.74</v>
      </c>
      <c r="AI30" s="81">
        <v>0.74</v>
      </c>
      <c r="AJ30" s="81">
        <v>0.74</v>
      </c>
      <c r="AK30" s="81">
        <v>0.74</v>
      </c>
      <c r="AL30" s="82">
        <v>0.74</v>
      </c>
      <c r="AM30" s="82">
        <v>0.74</v>
      </c>
      <c r="AN30" s="81">
        <v>0.74</v>
      </c>
      <c r="AO30" s="81">
        <v>0.72</v>
      </c>
      <c r="AP30" s="81">
        <v>0.68</v>
      </c>
      <c r="AQ30" s="81">
        <v>0.62</v>
      </c>
      <c r="AR30" s="81">
        <v>0.6</v>
      </c>
      <c r="AS30" s="81">
        <v>0.53</v>
      </c>
      <c r="AT30" s="81">
        <v>0.53</v>
      </c>
      <c r="AU30" s="81">
        <v>0.54</v>
      </c>
      <c r="AV30" s="81">
        <v>0.6</v>
      </c>
      <c r="AW30" s="81">
        <v>0.6</v>
      </c>
      <c r="AX30" s="81">
        <v>0.49</v>
      </c>
      <c r="AY30" s="81">
        <v>0.48</v>
      </c>
      <c r="AZ30" s="82">
        <v>0.44</v>
      </c>
      <c r="BA30" s="81">
        <v>0.43</v>
      </c>
      <c r="BB30" s="82">
        <v>0.42</v>
      </c>
      <c r="BC30" s="81">
        <v>0.42</v>
      </c>
      <c r="BD30" s="81">
        <v>0.42</v>
      </c>
      <c r="BE30" s="81">
        <v>0.4</v>
      </c>
      <c r="BF30" s="81">
        <v>0.39</v>
      </c>
      <c r="BG30" s="82">
        <v>0.39</v>
      </c>
      <c r="BH30" s="81">
        <v>0.39</v>
      </c>
      <c r="BI30" s="81">
        <v>0.39</v>
      </c>
      <c r="BJ30" s="81">
        <v>0.39</v>
      </c>
      <c r="BK30" s="81">
        <v>0.39</v>
      </c>
      <c r="BL30" s="81">
        <v>0.39</v>
      </c>
      <c r="BM30" s="81">
        <v>0.39</v>
      </c>
      <c r="BN30" s="81">
        <v>0.37</v>
      </c>
      <c r="BO30" s="81">
        <v>0.37</v>
      </c>
      <c r="BP30" s="81">
        <v>0.36</v>
      </c>
      <c r="BQ30" s="81">
        <v>0.36</v>
      </c>
      <c r="BR30" s="81">
        <v>0.35</v>
      </c>
      <c r="BS30" s="81">
        <v>0.35</v>
      </c>
      <c r="BT30" s="81">
        <v>0.35</v>
      </c>
      <c r="BU30" s="81">
        <v>0.32</v>
      </c>
      <c r="BV30" s="81">
        <v>0.32</v>
      </c>
      <c r="BW30" s="81">
        <v>0.32</v>
      </c>
      <c r="BX30" s="81">
        <v>0.32</v>
      </c>
      <c r="BY30" s="81">
        <v>0.32</v>
      </c>
      <c r="BZ30" s="81">
        <v>0.32</v>
      </c>
      <c r="CA30" s="81">
        <v>0.32</v>
      </c>
      <c r="CB30" s="81">
        <v>0.32</v>
      </c>
      <c r="CC30" s="81">
        <v>0.32</v>
      </c>
      <c r="CD30" s="81">
        <v>0.32</v>
      </c>
      <c r="CE30" s="81">
        <v>0.32</v>
      </c>
      <c r="CF30" s="81">
        <v>0.32</v>
      </c>
      <c r="CG30" s="81">
        <v>0.32</v>
      </c>
      <c r="CH30" s="81">
        <v>0.32</v>
      </c>
      <c r="CI30" s="81">
        <v>0.32</v>
      </c>
      <c r="CJ30" s="81">
        <v>0.32</v>
      </c>
      <c r="CK30" s="81">
        <v>0.32</v>
      </c>
      <c r="CL30" s="81">
        <v>0.32</v>
      </c>
      <c r="CM30" s="81">
        <v>0.31</v>
      </c>
      <c r="CN30" s="81">
        <v>0.28999999999999998</v>
      </c>
      <c r="CO30" s="81">
        <v>0.28999999999999998</v>
      </c>
      <c r="CP30" s="81">
        <v>0.28999999999999998</v>
      </c>
      <c r="CQ30" s="81">
        <v>0.28999999999999998</v>
      </c>
      <c r="CR30" s="81">
        <v>0.28999999999999998</v>
      </c>
      <c r="CS30" s="81">
        <v>0.28999999999999998</v>
      </c>
      <c r="CT30" s="81">
        <v>0.28000000000000003</v>
      </c>
      <c r="CU30" s="81">
        <v>0.28000000000000003</v>
      </c>
      <c r="CV30" s="81">
        <v>0.28000000000000003</v>
      </c>
      <c r="CW30" s="81">
        <v>0.28000000000000003</v>
      </c>
      <c r="CX30" s="81">
        <v>0.28000000000000003</v>
      </c>
      <c r="CY30" s="81">
        <v>0.28000000000000003</v>
      </c>
      <c r="CZ30" s="81">
        <v>0.28000000000000003</v>
      </c>
      <c r="DA30" s="81">
        <v>0.28000000000000003</v>
      </c>
      <c r="DB30" s="81">
        <v>0.28000000000000003</v>
      </c>
      <c r="DC30" s="81">
        <v>0.28000000000000003</v>
      </c>
      <c r="DD30" s="81">
        <v>0.28000000000000003</v>
      </c>
      <c r="DE30" s="81">
        <v>0.28000000000000003</v>
      </c>
      <c r="DF30" s="81">
        <v>0.28000000000000003</v>
      </c>
      <c r="DG30" s="81">
        <v>0.28000000000000003</v>
      </c>
      <c r="DH30" s="81">
        <v>0.28000000000000003</v>
      </c>
      <c r="DI30" s="81">
        <v>0.28000000000000003</v>
      </c>
      <c r="DJ30" s="81">
        <v>0.28000000000000003</v>
      </c>
      <c r="DK30" s="81">
        <v>0.28000000000000003</v>
      </c>
      <c r="DL30" s="81">
        <v>0.28000000000000003</v>
      </c>
      <c r="DM30" s="81">
        <v>0.28000000000000003</v>
      </c>
      <c r="DN30" s="81">
        <v>0.28000000000000003</v>
      </c>
      <c r="DO30" s="81">
        <v>0.28000000000000003</v>
      </c>
      <c r="DP30" s="81">
        <v>0.28000000000000003</v>
      </c>
      <c r="DQ30" s="81">
        <v>0.28000000000000003</v>
      </c>
      <c r="DR30" s="81">
        <v>0.28000000000000003</v>
      </c>
      <c r="DS30" s="81">
        <v>0.28000000000000003</v>
      </c>
      <c r="DT30" s="81">
        <v>0.28000000000000003</v>
      </c>
      <c r="DU30" s="81">
        <v>0.28000000000000003</v>
      </c>
      <c r="DV30" s="81">
        <v>0.28000000000000003</v>
      </c>
      <c r="DW30" s="81">
        <v>0.28000000000000003</v>
      </c>
      <c r="DX30" s="81">
        <v>0.28000000000000003</v>
      </c>
      <c r="DY30" s="81">
        <v>0.28000000000000003</v>
      </c>
      <c r="DZ30" s="81">
        <v>0.28000000000000003</v>
      </c>
      <c r="EA30" s="81">
        <v>0.28000000000000003</v>
      </c>
      <c r="EB30" s="81">
        <v>0.28000000000000003</v>
      </c>
      <c r="EU30" s="83"/>
      <c r="EV30" s="83"/>
      <c r="EW30" s="83"/>
      <c r="EX30" s="83"/>
      <c r="EY30" s="83"/>
      <c r="EZ30" s="83"/>
      <c r="FA30" s="83"/>
      <c r="FB30" s="83"/>
      <c r="FC30" s="83"/>
      <c r="FD30" s="83"/>
      <c r="FE30" s="83"/>
      <c r="FF30" s="83"/>
      <c r="FG30" s="83"/>
      <c r="FH30" s="83"/>
      <c r="FI30" s="83"/>
      <c r="FJ30" s="83"/>
      <c r="FK30" s="83"/>
      <c r="FL30" s="83"/>
      <c r="FM30" s="83"/>
      <c r="FN30" s="83"/>
      <c r="FO30" s="83"/>
      <c r="FP30" s="83"/>
      <c r="FQ30" s="83"/>
      <c r="FR30" s="83"/>
      <c r="FS30" s="83"/>
      <c r="FT30" s="83"/>
      <c r="FU30" s="83"/>
      <c r="FV30" s="83"/>
      <c r="FW30" s="83"/>
      <c r="FX30" s="83"/>
      <c r="FY30" s="83"/>
      <c r="FZ30" s="83"/>
      <c r="GA30" s="83"/>
      <c r="GB30" s="83"/>
      <c r="GC30" s="83"/>
      <c r="GD30" s="83"/>
      <c r="GE30" s="83"/>
      <c r="GF30" s="83"/>
      <c r="GG30" s="83"/>
      <c r="GH30" s="83"/>
      <c r="GI30" s="83"/>
      <c r="GJ30" s="83"/>
      <c r="GK30" s="83"/>
    </row>
    <row r="31" spans="1:194" s="81" customFormat="1">
      <c r="A31" s="84" t="s">
        <v>111</v>
      </c>
      <c r="B31" s="81" t="s">
        <v>112</v>
      </c>
      <c r="C31" s="83" t="s">
        <v>113</v>
      </c>
      <c r="D31" s="83" t="s">
        <v>100</v>
      </c>
      <c r="E31" s="83">
        <v>0.89</v>
      </c>
      <c r="F31" s="83">
        <v>0.92</v>
      </c>
      <c r="G31" s="83">
        <v>0.98</v>
      </c>
      <c r="H31" s="83">
        <v>1.03</v>
      </c>
      <c r="I31" s="83">
        <v>1.2</v>
      </c>
      <c r="J31" s="83">
        <v>1.2</v>
      </c>
      <c r="K31" s="83">
        <v>1.18</v>
      </c>
      <c r="L31" s="83">
        <v>1.1499999999999999</v>
      </c>
      <c r="M31" s="83">
        <v>1.1499999999999999</v>
      </c>
      <c r="N31" s="83">
        <v>1.21</v>
      </c>
      <c r="O31" s="83">
        <v>1.22</v>
      </c>
      <c r="P31" s="83">
        <v>1.22</v>
      </c>
      <c r="Q31" s="83">
        <v>1.22</v>
      </c>
      <c r="R31" s="83">
        <v>1.22</v>
      </c>
      <c r="S31" s="83">
        <v>1.22</v>
      </c>
      <c r="T31" s="83">
        <v>1.22</v>
      </c>
      <c r="U31" s="83">
        <v>1.22</v>
      </c>
      <c r="V31" s="83">
        <v>1.18</v>
      </c>
      <c r="W31" s="83">
        <v>1.1200000000000001</v>
      </c>
      <c r="X31" s="83">
        <v>1.1000000000000001</v>
      </c>
      <c r="Y31" s="83">
        <v>0.99</v>
      </c>
      <c r="Z31" s="83">
        <v>0.96</v>
      </c>
      <c r="AA31" s="82">
        <v>0.88</v>
      </c>
      <c r="AB31" s="82">
        <v>0.83</v>
      </c>
      <c r="AC31" s="82">
        <v>0.8</v>
      </c>
      <c r="AD31" s="81">
        <v>0.81</v>
      </c>
      <c r="AE31" s="81">
        <v>0.79</v>
      </c>
      <c r="AF31" s="81">
        <v>0.79</v>
      </c>
      <c r="AG31" s="81">
        <v>0.79</v>
      </c>
      <c r="AH31" s="81">
        <v>0.8</v>
      </c>
      <c r="AI31" s="81">
        <v>0.8</v>
      </c>
      <c r="AJ31" s="81">
        <v>0.81</v>
      </c>
      <c r="AK31" s="81">
        <v>0.81</v>
      </c>
      <c r="AL31" s="82">
        <v>0.81</v>
      </c>
      <c r="AM31" s="82">
        <v>0.81</v>
      </c>
      <c r="AN31" s="81">
        <v>0.81</v>
      </c>
      <c r="AO31" s="81">
        <v>0.74</v>
      </c>
      <c r="AP31" s="81">
        <v>0.68</v>
      </c>
      <c r="AQ31" s="81">
        <v>0.68</v>
      </c>
      <c r="AR31" s="81">
        <v>0.6</v>
      </c>
      <c r="AS31" s="81">
        <v>0.57999999999999996</v>
      </c>
      <c r="AT31" s="81">
        <v>0.53</v>
      </c>
      <c r="AU31" s="81">
        <v>0.5</v>
      </c>
      <c r="AV31" s="81">
        <v>0.5</v>
      </c>
      <c r="AW31" s="81">
        <v>0.5</v>
      </c>
      <c r="AX31" s="81">
        <v>0.49</v>
      </c>
      <c r="AY31" s="81">
        <v>0.49</v>
      </c>
      <c r="AZ31" s="82">
        <v>0.49</v>
      </c>
      <c r="BA31" s="81">
        <v>0.48</v>
      </c>
      <c r="BB31" s="82">
        <v>0.48</v>
      </c>
      <c r="BC31" s="81">
        <v>0.48</v>
      </c>
      <c r="BD31" s="81">
        <v>0.48</v>
      </c>
      <c r="BE31" s="81">
        <v>0.48</v>
      </c>
      <c r="BF31" s="81">
        <v>0.48</v>
      </c>
      <c r="BG31" s="82">
        <v>0.48</v>
      </c>
      <c r="BH31" s="81">
        <v>0.48</v>
      </c>
      <c r="BI31" s="81">
        <v>0.48</v>
      </c>
      <c r="BJ31" s="81">
        <v>0.48499999999999999</v>
      </c>
      <c r="BK31" s="81">
        <v>0.48</v>
      </c>
      <c r="BL31" s="81">
        <v>0.48</v>
      </c>
      <c r="BM31" s="81">
        <v>0.48</v>
      </c>
      <c r="BN31" s="81">
        <v>0.47</v>
      </c>
      <c r="BO31" s="81">
        <v>0.46</v>
      </c>
      <c r="BP31" s="81">
        <v>0.42</v>
      </c>
      <c r="BQ31" s="81">
        <v>0.42</v>
      </c>
      <c r="BR31" s="81">
        <v>0.39500000000000002</v>
      </c>
      <c r="BS31" s="81">
        <v>0.375</v>
      </c>
      <c r="BT31" s="81">
        <v>0.34</v>
      </c>
      <c r="BU31" s="81">
        <v>0.31</v>
      </c>
      <c r="BV31" s="81">
        <v>0.3</v>
      </c>
      <c r="BW31" s="81">
        <v>0.3</v>
      </c>
      <c r="BX31" s="81">
        <v>0.3</v>
      </c>
      <c r="BY31" s="81">
        <v>0.3</v>
      </c>
      <c r="BZ31" s="81">
        <v>0.3</v>
      </c>
      <c r="CA31" s="81">
        <v>0.3</v>
      </c>
      <c r="CB31" s="81">
        <v>0.3</v>
      </c>
      <c r="CC31" s="81">
        <v>0.28999999999999998</v>
      </c>
      <c r="CD31" s="81">
        <v>0.28999999999999998</v>
      </c>
      <c r="CE31" s="81">
        <v>0.28999999999999998</v>
      </c>
      <c r="CF31" s="81">
        <v>0.28999999999999998</v>
      </c>
      <c r="CG31" s="81">
        <v>0.28999999999999998</v>
      </c>
      <c r="CH31" s="81">
        <v>0.28999999999999998</v>
      </c>
      <c r="CI31" s="81">
        <v>0.28999999999999998</v>
      </c>
      <c r="CJ31" s="81">
        <v>0.28499999999999998</v>
      </c>
      <c r="CK31" s="81">
        <v>0.28000000000000003</v>
      </c>
      <c r="CL31" s="81">
        <v>0.28000000000000003</v>
      </c>
      <c r="CM31" s="81">
        <v>0.27</v>
      </c>
      <c r="CN31" s="81">
        <v>0.27</v>
      </c>
      <c r="CO31" s="81">
        <v>0.27</v>
      </c>
      <c r="CP31" s="81">
        <v>0.27</v>
      </c>
      <c r="CQ31" s="81">
        <v>0.27</v>
      </c>
      <c r="CR31" s="81">
        <v>0.27</v>
      </c>
      <c r="CS31" s="81">
        <v>0.27</v>
      </c>
      <c r="CT31" s="81">
        <v>0.27</v>
      </c>
      <c r="CU31" s="81">
        <v>0.27500000000000002</v>
      </c>
      <c r="CV31" s="81">
        <v>0.28000000000000003</v>
      </c>
      <c r="CW31" s="81">
        <v>0.28000000000000003</v>
      </c>
      <c r="CX31" s="81">
        <v>0.28000000000000003</v>
      </c>
      <c r="CY31" s="81">
        <v>0.28000000000000003</v>
      </c>
      <c r="CZ31" s="81">
        <v>0.28499999999999998</v>
      </c>
      <c r="DA31" s="81">
        <v>0.28499999999999998</v>
      </c>
      <c r="DB31" s="81">
        <v>0.28999999999999998</v>
      </c>
      <c r="DC31" s="81">
        <v>0.28999999999999998</v>
      </c>
      <c r="DD31" s="81">
        <v>0.28999999999999998</v>
      </c>
      <c r="DE31" s="81">
        <v>0.28999999999999998</v>
      </c>
      <c r="DF31" s="81">
        <v>0.29499999999999998</v>
      </c>
      <c r="DG31" s="81">
        <v>0.29499999999999998</v>
      </c>
      <c r="DH31" s="81">
        <v>0.29499999999999998</v>
      </c>
      <c r="DI31" s="81">
        <v>0.29799999999999999</v>
      </c>
      <c r="DJ31" s="81">
        <v>0.29799999999999999</v>
      </c>
      <c r="DK31" s="81">
        <v>0.3</v>
      </c>
      <c r="DL31" s="81">
        <v>0.3</v>
      </c>
      <c r="DM31" s="81">
        <v>0.3</v>
      </c>
      <c r="DN31" s="81">
        <v>0.3</v>
      </c>
      <c r="DO31" s="81">
        <v>0.3</v>
      </c>
      <c r="DP31" s="81">
        <v>0.29499999999999998</v>
      </c>
      <c r="DQ31" s="81">
        <v>0.28000000000000003</v>
      </c>
      <c r="DR31" s="81">
        <v>0.28000000000000003</v>
      </c>
      <c r="DS31" s="81">
        <v>0.26800000000000002</v>
      </c>
      <c r="DT31" s="81">
        <v>0.26500000000000001</v>
      </c>
      <c r="DU31" s="81">
        <v>0.26500000000000001</v>
      </c>
      <c r="DV31" s="81">
        <v>0.26</v>
      </c>
      <c r="DW31" s="81">
        <v>0.255</v>
      </c>
      <c r="DX31" s="81">
        <v>0.255</v>
      </c>
      <c r="DY31" s="81">
        <v>0.255</v>
      </c>
      <c r="DZ31" s="81">
        <v>0.255</v>
      </c>
      <c r="EA31" s="81">
        <v>0.24</v>
      </c>
      <c r="EB31" s="81">
        <v>0.23499999999999999</v>
      </c>
      <c r="EC31" s="81">
        <v>0.22500000000000001</v>
      </c>
      <c r="ED31" s="81">
        <v>0.23</v>
      </c>
      <c r="EE31" s="81">
        <v>0.25</v>
      </c>
      <c r="EF31" s="81">
        <v>0.28000000000000003</v>
      </c>
      <c r="EG31" s="81">
        <v>0.30499999999999999</v>
      </c>
      <c r="EH31" s="81">
        <v>0.315</v>
      </c>
      <c r="EI31" s="81">
        <v>0.29499999999999998</v>
      </c>
      <c r="EJ31" s="81">
        <v>0.29499999999999998</v>
      </c>
      <c r="EK31" s="81">
        <v>0.29799999999999999</v>
      </c>
      <c r="EL31" s="81">
        <v>0.29799999999999999</v>
      </c>
      <c r="EM31" s="81">
        <v>0.30499999999999999</v>
      </c>
      <c r="EN31" s="81">
        <v>0.315</v>
      </c>
      <c r="EO31" s="81">
        <v>0.32500000000000001</v>
      </c>
      <c r="EP31" s="81">
        <v>0.32500000000000001</v>
      </c>
      <c r="EQ31" s="81">
        <v>0.32500000000000001</v>
      </c>
      <c r="ER31" s="81">
        <v>0.32500000000000001</v>
      </c>
      <c r="ES31" s="81">
        <v>0.32500000000000001</v>
      </c>
      <c r="ET31" s="81">
        <v>0.31</v>
      </c>
      <c r="EU31" s="83">
        <v>0.31</v>
      </c>
      <c r="EV31" s="83">
        <v>0.308</v>
      </c>
      <c r="EW31" s="83">
        <v>0.29499999999999998</v>
      </c>
      <c r="EX31" s="83">
        <v>0.29199999999999998</v>
      </c>
      <c r="EY31" s="83">
        <v>0.28499999999999998</v>
      </c>
      <c r="EZ31" s="83">
        <v>0.29499999999999998</v>
      </c>
      <c r="FA31" s="83">
        <v>0.32</v>
      </c>
      <c r="FB31" s="83">
        <v>0.32</v>
      </c>
      <c r="FC31" s="83">
        <v>0.37</v>
      </c>
      <c r="FD31" s="83">
        <v>0.38</v>
      </c>
      <c r="FE31" s="83">
        <v>0.41</v>
      </c>
      <c r="FF31" s="83">
        <v>0.435</v>
      </c>
      <c r="FG31" s="83">
        <v>0.435</v>
      </c>
      <c r="FH31" s="83">
        <v>0.435</v>
      </c>
      <c r="FI31" s="83">
        <v>0.435</v>
      </c>
      <c r="FJ31" s="83">
        <v>0.42</v>
      </c>
      <c r="FK31" s="83">
        <v>0.42</v>
      </c>
      <c r="FL31" s="83">
        <v>0.4</v>
      </c>
      <c r="FM31" s="83">
        <v>0.38</v>
      </c>
      <c r="FN31" s="83">
        <v>0.37</v>
      </c>
      <c r="FO31" s="83">
        <v>0.35</v>
      </c>
      <c r="FP31" s="83">
        <v>0.34499999999999997</v>
      </c>
      <c r="FQ31" s="83">
        <v>0.32500000000000001</v>
      </c>
      <c r="FR31" s="83">
        <v>0.32500000000000001</v>
      </c>
      <c r="FS31" s="83">
        <v>0.32500000000000001</v>
      </c>
      <c r="FT31" s="83">
        <v>0.32500000000000001</v>
      </c>
      <c r="FU31" s="83">
        <v>0.32500000000000001</v>
      </c>
      <c r="FV31" s="83">
        <v>0.32500000000000001</v>
      </c>
      <c r="FW31" s="83">
        <v>0.32500000000000001</v>
      </c>
      <c r="FX31" s="83">
        <v>0.31</v>
      </c>
      <c r="FY31" s="83">
        <v>0.31</v>
      </c>
      <c r="FZ31" s="83">
        <v>0.28499999999999998</v>
      </c>
      <c r="GA31" s="83">
        <v>0.27</v>
      </c>
      <c r="GB31" s="83">
        <v>0.26800000000000002</v>
      </c>
      <c r="GC31" s="83">
        <v>0.26500000000000001</v>
      </c>
      <c r="GD31" s="83">
        <v>0.26500000000000001</v>
      </c>
      <c r="GE31" s="83">
        <v>0.26500000000000001</v>
      </c>
      <c r="GF31" s="83">
        <v>0.27500000000000002</v>
      </c>
      <c r="GG31" s="83">
        <v>0.3</v>
      </c>
      <c r="GH31" s="83">
        <v>0.38</v>
      </c>
      <c r="GI31" s="83">
        <v>0.33500000000000002</v>
      </c>
      <c r="GJ31" s="83">
        <v>0.31</v>
      </c>
      <c r="GK31" s="83">
        <v>0.31</v>
      </c>
      <c r="GL31" s="81">
        <v>0.3</v>
      </c>
    </row>
    <row r="32" spans="1:194" s="81" customFormat="1">
      <c r="A32" s="84" t="s">
        <v>114</v>
      </c>
      <c r="B32" s="81" t="s">
        <v>115</v>
      </c>
      <c r="C32" s="83" t="s">
        <v>116</v>
      </c>
      <c r="D32" s="83" t="s">
        <v>100</v>
      </c>
      <c r="E32" s="83"/>
      <c r="F32" s="83"/>
      <c r="G32" s="83"/>
      <c r="H32" s="83"/>
      <c r="I32" s="83"/>
      <c r="J32" s="83"/>
      <c r="K32" s="83"/>
      <c r="L32" s="83"/>
      <c r="M32" s="83"/>
      <c r="N32" s="83"/>
      <c r="O32" s="83"/>
      <c r="P32" s="83"/>
      <c r="Q32" s="83"/>
      <c r="R32" s="83"/>
      <c r="S32" s="83"/>
      <c r="T32" s="83"/>
      <c r="U32" s="83"/>
      <c r="V32" s="83"/>
      <c r="W32" s="83"/>
      <c r="X32" s="83"/>
      <c r="Y32" s="83"/>
      <c r="Z32" s="83"/>
      <c r="AA32" s="82"/>
      <c r="AB32" s="82"/>
      <c r="AC32" s="82"/>
      <c r="AL32" s="82"/>
      <c r="AM32" s="82"/>
      <c r="AZ32" s="82"/>
      <c r="BB32" s="82"/>
      <c r="BG32" s="82"/>
      <c r="BX32" s="81">
        <v>0.36</v>
      </c>
      <c r="BY32" s="81">
        <v>0.35</v>
      </c>
      <c r="BZ32" s="81">
        <v>0.35</v>
      </c>
      <c r="CA32" s="81">
        <v>0.35</v>
      </c>
      <c r="CB32" s="81">
        <v>0.35</v>
      </c>
      <c r="CC32" s="81">
        <v>0.33</v>
      </c>
      <c r="CD32" s="81">
        <v>0.33</v>
      </c>
      <c r="CE32" s="81">
        <v>0.32</v>
      </c>
      <c r="CF32" s="81">
        <v>0.32</v>
      </c>
      <c r="CG32" s="81">
        <v>0.32</v>
      </c>
      <c r="CH32" s="81">
        <v>0.32</v>
      </c>
      <c r="CI32" s="81">
        <v>0.32</v>
      </c>
      <c r="CJ32" s="81">
        <v>0.3</v>
      </c>
      <c r="CK32" s="81">
        <v>0.28999999999999998</v>
      </c>
      <c r="CL32" s="81">
        <v>0.28999999999999998</v>
      </c>
      <c r="CM32" s="81">
        <v>0.28499999999999998</v>
      </c>
      <c r="CN32" s="81">
        <v>0.28999999999999998</v>
      </c>
      <c r="CO32" s="81">
        <v>0.28999999999999998</v>
      </c>
      <c r="CP32" s="81">
        <v>0.28999999999999998</v>
      </c>
      <c r="CQ32" s="81">
        <v>0.28999999999999998</v>
      </c>
      <c r="CR32" s="81">
        <v>0.28999999999999998</v>
      </c>
      <c r="CS32" s="81">
        <v>0.28999999999999998</v>
      </c>
      <c r="CT32" s="81">
        <v>0.28499999999999998</v>
      </c>
      <c r="CU32" s="81">
        <v>0.28499999999999998</v>
      </c>
      <c r="CV32" s="81">
        <v>0.28499999999999998</v>
      </c>
      <c r="CW32" s="81">
        <v>0.28499999999999998</v>
      </c>
      <c r="CX32" s="81">
        <v>0.28499999999999998</v>
      </c>
      <c r="CY32" s="81">
        <v>0.28499999999999998</v>
      </c>
      <c r="CZ32" s="81">
        <v>0.28499999999999998</v>
      </c>
      <c r="DA32" s="81">
        <v>0.28999999999999998</v>
      </c>
      <c r="DB32" s="81">
        <v>0.28999999999999998</v>
      </c>
      <c r="DC32" s="81">
        <v>0.28999999999999998</v>
      </c>
      <c r="DD32" s="81">
        <v>0.28999999999999998</v>
      </c>
      <c r="DE32" s="81">
        <v>0.28999999999999998</v>
      </c>
      <c r="DF32" s="81">
        <v>0.29499999999999998</v>
      </c>
      <c r="DG32" s="81">
        <v>0.29499999999999998</v>
      </c>
      <c r="DH32" s="81">
        <v>0.29499999999999998</v>
      </c>
      <c r="DI32" s="81">
        <v>0.29499999999999998</v>
      </c>
      <c r="DJ32" s="81">
        <v>0.29499999999999998</v>
      </c>
      <c r="DK32" s="81">
        <v>0.30499999999999999</v>
      </c>
      <c r="DL32" s="81">
        <v>0.30499999999999999</v>
      </c>
      <c r="DM32" s="81">
        <v>0.30499999999999999</v>
      </c>
      <c r="DN32" s="81">
        <v>0.30499999999999999</v>
      </c>
      <c r="DO32" s="81">
        <v>0.30499999999999999</v>
      </c>
      <c r="DP32" s="81">
        <v>0.3</v>
      </c>
      <c r="DQ32" s="81">
        <v>0.28999999999999998</v>
      </c>
      <c r="DR32" s="81">
        <v>0.28999999999999998</v>
      </c>
      <c r="DS32" s="81">
        <v>0.28000000000000003</v>
      </c>
      <c r="DT32" s="81">
        <v>0.28000000000000003</v>
      </c>
      <c r="DU32" s="81">
        <v>0.28000000000000003</v>
      </c>
      <c r="DV32" s="81">
        <v>0.28000000000000003</v>
      </c>
      <c r="DW32" s="81">
        <v>0.27</v>
      </c>
      <c r="DX32" s="81">
        <v>0.27</v>
      </c>
      <c r="DY32" s="81">
        <v>0.27</v>
      </c>
      <c r="DZ32" s="81">
        <v>0.27</v>
      </c>
      <c r="EA32" s="81">
        <v>0.26</v>
      </c>
      <c r="EB32" s="81">
        <v>0.255</v>
      </c>
      <c r="EC32" s="81">
        <v>0.245</v>
      </c>
      <c r="ED32" s="81">
        <v>0.245</v>
      </c>
      <c r="EE32" s="81">
        <v>0.255</v>
      </c>
      <c r="EF32" s="81">
        <v>0.27500000000000002</v>
      </c>
      <c r="EG32" s="81">
        <v>0.28999999999999998</v>
      </c>
      <c r="EH32" s="81">
        <v>0.28999999999999998</v>
      </c>
      <c r="EI32" s="81">
        <v>0.28499999999999998</v>
      </c>
      <c r="EJ32" s="81">
        <v>0.28499999999999998</v>
      </c>
      <c r="EK32" s="81">
        <v>0.28799999999999998</v>
      </c>
      <c r="EL32" s="81">
        <v>0.28799999999999998</v>
      </c>
      <c r="EM32" s="81">
        <v>0.28999999999999998</v>
      </c>
      <c r="EN32" s="81">
        <v>0.3</v>
      </c>
      <c r="EO32" s="81">
        <v>0.3</v>
      </c>
      <c r="EP32" s="81">
        <v>0.3</v>
      </c>
      <c r="EQ32" s="81">
        <v>0.3</v>
      </c>
      <c r="ER32" s="81">
        <v>0.31</v>
      </c>
      <c r="ES32" s="81">
        <v>0.31</v>
      </c>
      <c r="ET32" s="81">
        <v>0.3</v>
      </c>
      <c r="EU32" s="83">
        <v>0.3</v>
      </c>
      <c r="EV32" s="83">
        <v>0.29799999999999999</v>
      </c>
      <c r="EW32" s="83">
        <v>0.28799999999999998</v>
      </c>
      <c r="EX32" s="83">
        <v>0.28499999999999998</v>
      </c>
      <c r="EY32" s="83">
        <v>0.28299999999999997</v>
      </c>
      <c r="EZ32" s="83">
        <v>0.29499999999999998</v>
      </c>
      <c r="FA32" s="83">
        <v>0.32</v>
      </c>
      <c r="FB32" s="83">
        <v>0.32</v>
      </c>
      <c r="FC32" s="83">
        <v>0.38</v>
      </c>
      <c r="FD32" s="83">
        <v>0.38</v>
      </c>
      <c r="FE32" s="83">
        <v>0.41</v>
      </c>
      <c r="FF32" s="83">
        <v>0.435</v>
      </c>
      <c r="FG32" s="83">
        <v>0.435</v>
      </c>
      <c r="FH32" s="83">
        <v>0.435</v>
      </c>
      <c r="FI32" s="83">
        <v>0.435</v>
      </c>
      <c r="FJ32" s="83">
        <v>0.42199999999999999</v>
      </c>
      <c r="FK32" s="83">
        <v>0.42199999999999999</v>
      </c>
      <c r="FL32" s="83">
        <v>0.4</v>
      </c>
      <c r="FM32" s="83">
        <v>0.39</v>
      </c>
      <c r="FN32" s="83">
        <v>0.37</v>
      </c>
      <c r="FO32" s="83">
        <v>0.36</v>
      </c>
      <c r="FP32" s="83">
        <v>0.35399999999999998</v>
      </c>
      <c r="FQ32" s="83">
        <v>0.34</v>
      </c>
      <c r="FR32" s="83">
        <v>0.34</v>
      </c>
      <c r="FS32" s="83">
        <v>0.34</v>
      </c>
      <c r="FT32" s="83">
        <v>0.34</v>
      </c>
      <c r="FU32" s="83">
        <v>0.34</v>
      </c>
      <c r="FV32" s="83">
        <v>0.33</v>
      </c>
      <c r="FW32" s="83">
        <v>0.33</v>
      </c>
      <c r="FX32" s="83">
        <v>0.315</v>
      </c>
      <c r="FY32" s="83">
        <v>0.315</v>
      </c>
      <c r="FZ32" s="83">
        <v>0.29499999999999998</v>
      </c>
      <c r="GA32" s="83">
        <v>0.27500000000000002</v>
      </c>
      <c r="GB32" s="83">
        <v>0.27200000000000002</v>
      </c>
      <c r="GC32" s="83">
        <v>0.27</v>
      </c>
      <c r="GD32" s="83">
        <v>0.27</v>
      </c>
      <c r="GE32" s="83">
        <v>0.27</v>
      </c>
      <c r="GF32" s="83">
        <v>0.27</v>
      </c>
      <c r="GG32" s="83">
        <v>0.29499999999999998</v>
      </c>
      <c r="GH32" s="83">
        <v>0.36</v>
      </c>
      <c r="GI32" s="83">
        <v>0.31</v>
      </c>
      <c r="GJ32" s="83">
        <v>0.31</v>
      </c>
      <c r="GK32" s="83">
        <v>0.31</v>
      </c>
      <c r="GL32" s="81">
        <v>0.29499999999999998</v>
      </c>
    </row>
    <row r="33" spans="1:194" s="81" customFormat="1">
      <c r="A33" s="84" t="s">
        <v>117</v>
      </c>
      <c r="B33" s="81" t="s">
        <v>118</v>
      </c>
      <c r="C33" s="83" t="s">
        <v>119</v>
      </c>
      <c r="D33" s="83" t="s">
        <v>100</v>
      </c>
      <c r="E33" s="83" t="s">
        <v>39</v>
      </c>
      <c r="F33" s="83" t="s">
        <v>39</v>
      </c>
      <c r="G33" s="83" t="s">
        <v>39</v>
      </c>
      <c r="H33" s="83" t="s">
        <v>39</v>
      </c>
      <c r="I33" s="83" t="s">
        <v>39</v>
      </c>
      <c r="J33" s="83" t="s">
        <v>39</v>
      </c>
      <c r="K33" s="83" t="s">
        <v>39</v>
      </c>
      <c r="L33" s="83" t="s">
        <v>39</v>
      </c>
      <c r="M33" s="83" t="s">
        <v>39</v>
      </c>
      <c r="N33" s="83" t="s">
        <v>39</v>
      </c>
      <c r="O33" s="83" t="s">
        <v>39</v>
      </c>
      <c r="P33" s="83" t="s">
        <v>39</v>
      </c>
      <c r="Q33" s="83" t="s">
        <v>39</v>
      </c>
      <c r="R33" s="83" t="s">
        <v>39</v>
      </c>
      <c r="S33" s="83" t="s">
        <v>39</v>
      </c>
      <c r="T33" s="83" t="s">
        <v>39</v>
      </c>
      <c r="U33" s="83" t="s">
        <v>39</v>
      </c>
      <c r="V33" s="83" t="s">
        <v>39</v>
      </c>
      <c r="W33" s="83" t="s">
        <v>39</v>
      </c>
      <c r="X33" s="83" t="s">
        <v>39</v>
      </c>
      <c r="Y33" s="83" t="s">
        <v>39</v>
      </c>
      <c r="Z33" s="83" t="s">
        <v>39</v>
      </c>
      <c r="AA33" s="82" t="s">
        <v>39</v>
      </c>
      <c r="AB33" s="82" t="s">
        <v>39</v>
      </c>
      <c r="AC33" s="82" t="s">
        <v>39</v>
      </c>
      <c r="AL33" s="82"/>
      <c r="AM33" s="82"/>
      <c r="AZ33" s="82"/>
      <c r="BB33" s="82"/>
      <c r="BG33" s="82"/>
      <c r="EU33" s="83"/>
      <c r="EV33" s="83"/>
      <c r="EW33" s="83"/>
      <c r="EX33" s="83"/>
      <c r="EY33" s="83"/>
      <c r="EZ33" s="83"/>
      <c r="FA33" s="83"/>
      <c r="FB33" s="83"/>
      <c r="FC33" s="83"/>
      <c r="FD33" s="83"/>
      <c r="FE33" s="83"/>
      <c r="FF33" s="83"/>
      <c r="FG33" s="83"/>
      <c r="FH33" s="83"/>
      <c r="FI33" s="83"/>
      <c r="FJ33" s="83"/>
      <c r="FK33" s="83"/>
      <c r="FL33" s="83"/>
      <c r="FM33" s="83"/>
      <c r="FN33" s="83"/>
      <c r="FO33" s="83"/>
      <c r="FP33" s="83"/>
      <c r="FQ33" s="83"/>
      <c r="FR33" s="83"/>
      <c r="FS33" s="83"/>
      <c r="FT33" s="83"/>
      <c r="FU33" s="83"/>
      <c r="FV33" s="83"/>
      <c r="FW33" s="83"/>
      <c r="FX33" s="83"/>
      <c r="FY33" s="83"/>
      <c r="FZ33" s="83"/>
      <c r="GA33" s="83"/>
      <c r="GB33" s="83"/>
      <c r="GC33" s="83"/>
      <c r="GD33" s="83"/>
      <c r="GE33" s="83"/>
      <c r="GF33" s="83"/>
      <c r="GG33" s="83"/>
      <c r="GH33" s="83"/>
      <c r="GI33" s="83"/>
      <c r="GJ33" s="83"/>
      <c r="GK33" s="83"/>
    </row>
    <row r="34" spans="1:194" s="81" customFormat="1">
      <c r="A34" s="84" t="s">
        <v>120</v>
      </c>
      <c r="B34" s="81" t="s">
        <v>121</v>
      </c>
      <c r="C34" s="83" t="s">
        <v>119</v>
      </c>
      <c r="D34" s="83" t="s">
        <v>100</v>
      </c>
      <c r="E34" s="83" t="s">
        <v>39</v>
      </c>
      <c r="F34" s="83" t="s">
        <v>39</v>
      </c>
      <c r="G34" s="83" t="s">
        <v>39</v>
      </c>
      <c r="H34" s="83" t="s">
        <v>39</v>
      </c>
      <c r="I34" s="83" t="s">
        <v>39</v>
      </c>
      <c r="J34" s="83" t="s">
        <v>39</v>
      </c>
      <c r="K34" s="83" t="s">
        <v>39</v>
      </c>
      <c r="L34" s="83" t="s">
        <v>39</v>
      </c>
      <c r="M34" s="83" t="s">
        <v>39</v>
      </c>
      <c r="N34" s="83" t="s">
        <v>39</v>
      </c>
      <c r="O34" s="83" t="s">
        <v>39</v>
      </c>
      <c r="P34" s="83" t="s">
        <v>39</v>
      </c>
      <c r="Q34" s="83" t="s">
        <v>39</v>
      </c>
      <c r="R34" s="83" t="s">
        <v>39</v>
      </c>
      <c r="S34" s="83" t="s">
        <v>39</v>
      </c>
      <c r="T34" s="83" t="s">
        <v>39</v>
      </c>
      <c r="U34" s="83" t="s">
        <v>39</v>
      </c>
      <c r="V34" s="83" t="s">
        <v>39</v>
      </c>
      <c r="W34" s="83" t="s">
        <v>39</v>
      </c>
      <c r="X34" s="83" t="s">
        <v>39</v>
      </c>
      <c r="Y34" s="83" t="s">
        <v>39</v>
      </c>
      <c r="Z34" s="83" t="s">
        <v>39</v>
      </c>
      <c r="AA34" s="82" t="s">
        <v>39</v>
      </c>
      <c r="AB34" s="82" t="s">
        <v>39</v>
      </c>
      <c r="AC34" s="82" t="s">
        <v>39</v>
      </c>
      <c r="AL34" s="82"/>
      <c r="AM34" s="82"/>
      <c r="AZ34" s="82"/>
      <c r="BB34" s="82"/>
      <c r="BG34" s="82"/>
      <c r="EU34" s="83"/>
      <c r="EV34" s="83"/>
      <c r="EW34" s="83"/>
      <c r="EX34" s="83"/>
      <c r="EY34" s="83"/>
      <c r="EZ34" s="83"/>
      <c r="FA34" s="83"/>
      <c r="FB34" s="83"/>
      <c r="FC34" s="83"/>
      <c r="FD34" s="83"/>
      <c r="FE34" s="83"/>
      <c r="FF34" s="83"/>
      <c r="FG34" s="83"/>
      <c r="FH34" s="83"/>
      <c r="FI34" s="83"/>
      <c r="FJ34" s="83"/>
      <c r="FK34" s="83"/>
      <c r="FL34" s="83"/>
      <c r="FM34" s="83"/>
      <c r="FN34" s="83"/>
      <c r="FO34" s="83"/>
      <c r="FP34" s="83"/>
      <c r="FQ34" s="83"/>
      <c r="FR34" s="83"/>
      <c r="FS34" s="83"/>
      <c r="FT34" s="83"/>
      <c r="FU34" s="83"/>
      <c r="FV34" s="83"/>
      <c r="FW34" s="83"/>
      <c r="FX34" s="83"/>
      <c r="FY34" s="83"/>
      <c r="FZ34" s="83"/>
      <c r="GA34" s="83"/>
      <c r="GB34" s="83"/>
      <c r="GC34" s="83"/>
      <c r="GD34" s="83"/>
      <c r="GE34" s="83"/>
      <c r="GF34" s="83"/>
      <c r="GG34" s="83"/>
      <c r="GH34" s="83"/>
      <c r="GI34" s="83"/>
      <c r="GJ34" s="83"/>
      <c r="GK34" s="83"/>
    </row>
    <row r="35" spans="1:194" s="81" customFormat="1">
      <c r="A35" s="84" t="s">
        <v>122</v>
      </c>
      <c r="B35" s="81" t="s">
        <v>123</v>
      </c>
      <c r="C35" s="83" t="s">
        <v>124</v>
      </c>
      <c r="D35" s="83" t="s">
        <v>100</v>
      </c>
      <c r="E35" s="83">
        <v>1.75</v>
      </c>
      <c r="F35" s="83">
        <v>1.72</v>
      </c>
      <c r="G35" s="83">
        <v>1.72</v>
      </c>
      <c r="H35" s="83">
        <v>1.72</v>
      </c>
      <c r="I35" s="83">
        <v>1.72</v>
      </c>
      <c r="J35" s="83">
        <v>1.72</v>
      </c>
      <c r="K35" s="83">
        <v>1.72</v>
      </c>
      <c r="L35" s="83">
        <v>1.72</v>
      </c>
      <c r="M35" s="83">
        <v>1.72</v>
      </c>
      <c r="N35" s="83" t="s">
        <v>39</v>
      </c>
      <c r="O35" s="83" t="s">
        <v>39</v>
      </c>
      <c r="P35" s="83" t="s">
        <v>39</v>
      </c>
      <c r="Q35" s="83" t="s">
        <v>39</v>
      </c>
      <c r="R35" s="83" t="s">
        <v>39</v>
      </c>
      <c r="S35" s="83" t="s">
        <v>39</v>
      </c>
      <c r="T35" s="83" t="s">
        <v>39</v>
      </c>
      <c r="U35" s="83" t="s">
        <v>39</v>
      </c>
      <c r="V35" s="83" t="s">
        <v>39</v>
      </c>
      <c r="W35" s="83" t="s">
        <v>39</v>
      </c>
      <c r="X35" s="83" t="s">
        <v>39</v>
      </c>
      <c r="Y35" s="83" t="s">
        <v>39</v>
      </c>
      <c r="Z35" s="83" t="s">
        <v>39</v>
      </c>
      <c r="AA35" s="82" t="s">
        <v>39</v>
      </c>
      <c r="AB35" s="82" t="s">
        <v>39</v>
      </c>
      <c r="AC35" s="82" t="s">
        <v>39</v>
      </c>
      <c r="AL35" s="82"/>
      <c r="AM35" s="82"/>
      <c r="AZ35" s="82"/>
      <c r="BB35" s="82"/>
      <c r="BG35" s="82"/>
      <c r="EU35" s="83"/>
      <c r="EV35" s="83"/>
      <c r="EW35" s="83"/>
      <c r="EX35" s="83"/>
      <c r="EY35" s="83"/>
      <c r="EZ35" s="83"/>
      <c r="FA35" s="83"/>
      <c r="FB35" s="83"/>
      <c r="FC35" s="83"/>
      <c r="FD35" s="83"/>
      <c r="FE35" s="83"/>
      <c r="FF35" s="83"/>
      <c r="FG35" s="83"/>
      <c r="FH35" s="83"/>
      <c r="FI35" s="83"/>
      <c r="FJ35" s="83"/>
      <c r="FK35" s="83"/>
      <c r="FL35" s="83"/>
      <c r="FM35" s="83"/>
      <c r="FN35" s="83"/>
      <c r="FO35" s="83"/>
      <c r="FP35" s="83"/>
      <c r="FQ35" s="83"/>
      <c r="FR35" s="83"/>
      <c r="FS35" s="83"/>
      <c r="FT35" s="83"/>
      <c r="FU35" s="83"/>
      <c r="FV35" s="83"/>
      <c r="FW35" s="83"/>
      <c r="FX35" s="83"/>
      <c r="FY35" s="83"/>
      <c r="FZ35" s="83"/>
      <c r="GA35" s="83"/>
      <c r="GB35" s="83"/>
      <c r="GC35" s="83"/>
      <c r="GD35" s="83"/>
      <c r="GE35" s="83"/>
      <c r="GF35" s="83"/>
      <c r="GG35" s="83"/>
      <c r="GH35" s="83"/>
      <c r="GI35" s="83"/>
      <c r="GJ35" s="83"/>
      <c r="GK35" s="83"/>
    </row>
    <row r="36" spans="1:194" s="81" customFormat="1">
      <c r="A36" s="84" t="s">
        <v>125</v>
      </c>
      <c r="B36" s="81" t="s">
        <v>123</v>
      </c>
      <c r="C36" s="83" t="s">
        <v>126</v>
      </c>
      <c r="D36" s="83" t="s">
        <v>100</v>
      </c>
      <c r="E36" s="83">
        <v>1.82</v>
      </c>
      <c r="F36" s="83">
        <v>1.75</v>
      </c>
      <c r="G36" s="83">
        <v>1.75</v>
      </c>
      <c r="H36" s="83">
        <v>1.75</v>
      </c>
      <c r="I36" s="83">
        <v>1.75</v>
      </c>
      <c r="J36" s="83">
        <v>1.75</v>
      </c>
      <c r="K36" s="83">
        <v>1.75</v>
      </c>
      <c r="L36" s="83">
        <v>1.75</v>
      </c>
      <c r="M36" s="83">
        <v>1.75</v>
      </c>
      <c r="N36" s="83" t="s">
        <v>39</v>
      </c>
      <c r="O36" s="83" t="s">
        <v>39</v>
      </c>
      <c r="P36" s="83" t="s">
        <v>39</v>
      </c>
      <c r="Q36" s="83" t="s">
        <v>39</v>
      </c>
      <c r="R36" s="83" t="s">
        <v>39</v>
      </c>
      <c r="S36" s="83" t="s">
        <v>39</v>
      </c>
      <c r="T36" s="83" t="s">
        <v>39</v>
      </c>
      <c r="U36" s="83" t="s">
        <v>39</v>
      </c>
      <c r="V36" s="83" t="s">
        <v>39</v>
      </c>
      <c r="W36" s="83" t="s">
        <v>39</v>
      </c>
      <c r="X36" s="83" t="s">
        <v>39</v>
      </c>
      <c r="Y36" s="83" t="s">
        <v>39</v>
      </c>
      <c r="Z36" s="83" t="s">
        <v>39</v>
      </c>
      <c r="AA36" s="82" t="s">
        <v>39</v>
      </c>
      <c r="AB36" s="82" t="s">
        <v>39</v>
      </c>
      <c r="AC36" s="82" t="s">
        <v>39</v>
      </c>
      <c r="AL36" s="82"/>
      <c r="AM36" s="82"/>
      <c r="AZ36" s="82"/>
      <c r="BB36" s="82"/>
      <c r="BG36" s="82"/>
      <c r="EU36" s="83"/>
      <c r="EV36" s="83"/>
      <c r="EW36" s="83"/>
      <c r="EX36" s="83"/>
      <c r="EY36" s="83"/>
      <c r="EZ36" s="83"/>
      <c r="FA36" s="83"/>
      <c r="FB36" s="83"/>
      <c r="FC36" s="83"/>
      <c r="FD36" s="83"/>
      <c r="FE36" s="83"/>
      <c r="FF36" s="83"/>
      <c r="FG36" s="83"/>
      <c r="FH36" s="83"/>
      <c r="FI36" s="83"/>
      <c r="FJ36" s="83"/>
      <c r="FK36" s="83"/>
      <c r="FL36" s="83"/>
      <c r="FM36" s="83"/>
      <c r="FN36" s="83"/>
      <c r="FO36" s="83"/>
      <c r="FP36" s="83"/>
      <c r="FQ36" s="83"/>
      <c r="FR36" s="83"/>
      <c r="FS36" s="83"/>
      <c r="FT36" s="83"/>
      <c r="FU36" s="83"/>
      <c r="FV36" s="83"/>
      <c r="FW36" s="83"/>
      <c r="FX36" s="83"/>
      <c r="FY36" s="83"/>
      <c r="FZ36" s="83"/>
      <c r="GA36" s="83"/>
      <c r="GB36" s="83"/>
      <c r="GC36" s="83"/>
      <c r="GD36" s="83"/>
      <c r="GE36" s="83"/>
      <c r="GF36" s="83"/>
      <c r="GG36" s="83"/>
      <c r="GH36" s="83"/>
      <c r="GI36" s="83"/>
      <c r="GJ36" s="83"/>
      <c r="GK36" s="83"/>
    </row>
    <row r="37" spans="1:194" s="81" customFormat="1">
      <c r="A37" s="84" t="s">
        <v>127</v>
      </c>
      <c r="B37" s="81" t="s">
        <v>128</v>
      </c>
      <c r="C37" s="83" t="s">
        <v>129</v>
      </c>
      <c r="D37" s="83" t="s">
        <v>100</v>
      </c>
      <c r="E37" s="83">
        <v>1.83</v>
      </c>
      <c r="F37" s="83">
        <v>1.79</v>
      </c>
      <c r="G37" s="83">
        <v>1.79</v>
      </c>
      <c r="H37" s="83">
        <v>1.79</v>
      </c>
      <c r="I37" s="83">
        <v>1.79</v>
      </c>
      <c r="J37" s="83">
        <v>1.78</v>
      </c>
      <c r="K37" s="83">
        <v>1.78</v>
      </c>
      <c r="L37" s="83">
        <v>1.76</v>
      </c>
      <c r="M37" s="83">
        <v>1.76</v>
      </c>
      <c r="N37" s="83">
        <v>1.76</v>
      </c>
      <c r="O37" s="83">
        <v>1.74</v>
      </c>
      <c r="P37" s="83">
        <v>1.73</v>
      </c>
      <c r="Q37" s="83">
        <v>1.73</v>
      </c>
      <c r="R37" s="83">
        <v>1.73</v>
      </c>
      <c r="S37" s="83">
        <v>1.73</v>
      </c>
      <c r="T37" s="83">
        <v>1.71</v>
      </c>
      <c r="U37" s="83">
        <v>1.71</v>
      </c>
      <c r="V37" s="83">
        <v>1.68</v>
      </c>
      <c r="W37" s="83">
        <v>1.62</v>
      </c>
      <c r="X37" s="83">
        <v>1.62</v>
      </c>
      <c r="Y37" s="83">
        <v>1.6</v>
      </c>
      <c r="Z37" s="83">
        <v>1.57</v>
      </c>
      <c r="AA37" s="82">
        <v>1.4</v>
      </c>
      <c r="AB37" s="82">
        <v>1.38</v>
      </c>
      <c r="AC37" s="82">
        <v>1.375</v>
      </c>
      <c r="AD37" s="81">
        <v>1.36</v>
      </c>
      <c r="AE37" s="81">
        <v>1.33</v>
      </c>
      <c r="AF37" s="81">
        <v>1.31</v>
      </c>
      <c r="AG37" s="81">
        <v>1.31</v>
      </c>
      <c r="AH37" s="81">
        <v>1.27</v>
      </c>
      <c r="AI37" s="81">
        <v>1.27</v>
      </c>
      <c r="AJ37" s="81">
        <v>1.27</v>
      </c>
      <c r="AK37" s="81">
        <v>1.27</v>
      </c>
      <c r="AL37" s="82">
        <v>1.27</v>
      </c>
      <c r="AM37" s="82">
        <v>1.27</v>
      </c>
      <c r="AN37" s="81">
        <v>1.2549999999999999</v>
      </c>
      <c r="AO37" s="81">
        <v>1.22</v>
      </c>
      <c r="AP37" s="81">
        <v>1.1599999999999999</v>
      </c>
      <c r="AQ37" s="81">
        <v>1.1299999999999999</v>
      </c>
      <c r="AR37" s="81">
        <v>1.1000000000000001</v>
      </c>
      <c r="AS37" s="81">
        <v>1.08</v>
      </c>
      <c r="AT37" s="81">
        <v>1.02</v>
      </c>
      <c r="AU37" s="81">
        <v>1</v>
      </c>
      <c r="AV37" s="81">
        <v>1</v>
      </c>
      <c r="AW37" s="81">
        <v>0.98</v>
      </c>
      <c r="AX37" s="81">
        <v>0.98</v>
      </c>
      <c r="AY37" s="81">
        <v>0.93</v>
      </c>
      <c r="AZ37" s="82">
        <v>0.92</v>
      </c>
      <c r="BA37" s="81">
        <v>0.88</v>
      </c>
      <c r="BB37" s="82">
        <v>0.87</v>
      </c>
      <c r="BC37" s="81">
        <v>0.87</v>
      </c>
      <c r="BD37" s="81">
        <v>0.87</v>
      </c>
      <c r="BE37" s="81">
        <v>0.86</v>
      </c>
      <c r="BF37" s="81">
        <v>0.86</v>
      </c>
      <c r="BG37" s="82">
        <v>0.86</v>
      </c>
      <c r="BH37" s="81">
        <v>0.86</v>
      </c>
      <c r="BI37" s="81">
        <v>0.86</v>
      </c>
      <c r="BJ37" s="81">
        <v>0.86</v>
      </c>
      <c r="BK37" s="81">
        <v>0.86</v>
      </c>
      <c r="BL37" s="81">
        <v>0.86</v>
      </c>
      <c r="BM37" s="81">
        <v>0.86</v>
      </c>
      <c r="BN37" s="81">
        <v>0.85</v>
      </c>
      <c r="BO37" s="81">
        <v>0.85</v>
      </c>
      <c r="BP37" s="81">
        <v>0.85</v>
      </c>
      <c r="BQ37" s="81">
        <v>0.85</v>
      </c>
      <c r="BR37" s="81">
        <v>0.84</v>
      </c>
      <c r="BS37" s="81">
        <v>0.83</v>
      </c>
      <c r="BT37" s="81">
        <v>0.82</v>
      </c>
      <c r="BU37" s="81">
        <v>0.8</v>
      </c>
      <c r="BV37" s="81">
        <v>0.8</v>
      </c>
      <c r="BW37" s="81">
        <v>0.8</v>
      </c>
      <c r="BX37" s="81">
        <v>0.8</v>
      </c>
      <c r="BY37" s="81">
        <v>0.78</v>
      </c>
      <c r="BZ37" s="81">
        <v>0.78</v>
      </c>
      <c r="CA37" s="81">
        <v>0.75</v>
      </c>
      <c r="CB37" s="81">
        <v>0.74</v>
      </c>
      <c r="CC37" s="81">
        <v>0.74</v>
      </c>
      <c r="CD37" s="81">
        <v>0.74</v>
      </c>
      <c r="CE37" s="81">
        <v>0.74</v>
      </c>
      <c r="CF37" s="81">
        <v>0.74</v>
      </c>
      <c r="CG37" s="81">
        <v>0.74</v>
      </c>
      <c r="CH37" s="81">
        <v>0.74</v>
      </c>
      <c r="CI37" s="81">
        <v>0.74</v>
      </c>
      <c r="CJ37" s="81">
        <v>0.74</v>
      </c>
      <c r="CK37" s="81">
        <v>0.74</v>
      </c>
      <c r="CL37" s="81">
        <v>0.74</v>
      </c>
      <c r="CM37" s="81">
        <v>0.72</v>
      </c>
      <c r="CN37" s="81">
        <v>0.68</v>
      </c>
      <c r="CO37" s="81">
        <v>0.68</v>
      </c>
      <c r="CP37" s="81">
        <v>0.68</v>
      </c>
      <c r="CQ37" s="81">
        <v>0.68</v>
      </c>
      <c r="CR37" s="81">
        <v>0.68</v>
      </c>
      <c r="CS37" s="81">
        <v>0.68</v>
      </c>
      <c r="CT37" s="81">
        <v>0.68</v>
      </c>
      <c r="CU37" s="81">
        <v>0.67</v>
      </c>
      <c r="CV37" s="81">
        <v>0.67</v>
      </c>
      <c r="CW37" s="81">
        <v>0.67</v>
      </c>
      <c r="CX37" s="81">
        <v>0.67</v>
      </c>
      <c r="CY37" s="81">
        <v>0.67</v>
      </c>
      <c r="CZ37" s="81">
        <v>0.67</v>
      </c>
      <c r="DA37" s="81">
        <v>0.65</v>
      </c>
      <c r="DB37" s="81">
        <v>0.65</v>
      </c>
      <c r="DC37" s="81">
        <v>0.65</v>
      </c>
      <c r="DD37" s="81">
        <v>0.65</v>
      </c>
      <c r="DE37" s="81">
        <v>0.65</v>
      </c>
      <c r="DF37" s="81">
        <v>0.65</v>
      </c>
      <c r="DG37" s="81">
        <v>0.65</v>
      </c>
      <c r="DH37" s="81">
        <v>0.65</v>
      </c>
      <c r="DI37" s="81">
        <v>0.65</v>
      </c>
      <c r="DJ37" s="81">
        <v>0.65</v>
      </c>
      <c r="DK37" s="81">
        <v>0.65</v>
      </c>
      <c r="DL37" s="81">
        <v>0.65</v>
      </c>
      <c r="DM37" s="81">
        <v>0.65</v>
      </c>
      <c r="DN37" s="81">
        <v>0.65</v>
      </c>
      <c r="DO37" s="81">
        <v>0.65</v>
      </c>
      <c r="DP37" s="81">
        <v>0.65</v>
      </c>
      <c r="DQ37" s="81">
        <v>0.65</v>
      </c>
      <c r="DR37" s="81">
        <v>0.65</v>
      </c>
      <c r="DS37" s="81">
        <v>0.65</v>
      </c>
      <c r="DT37" s="81">
        <v>0.65</v>
      </c>
      <c r="DU37" s="81">
        <v>0.65</v>
      </c>
      <c r="DV37" s="81">
        <v>0.65</v>
      </c>
      <c r="DW37" s="81">
        <v>0.65</v>
      </c>
      <c r="DX37" s="81">
        <v>0.65</v>
      </c>
      <c r="DY37" s="81">
        <v>0.65</v>
      </c>
      <c r="DZ37" s="81">
        <v>0.65</v>
      </c>
      <c r="EA37" s="81">
        <v>0.65</v>
      </c>
      <c r="EB37" s="81">
        <v>0.65</v>
      </c>
      <c r="EC37" s="81">
        <v>0.65</v>
      </c>
      <c r="ED37" s="81">
        <v>0.65</v>
      </c>
      <c r="EE37" s="81">
        <v>0.65</v>
      </c>
      <c r="EF37" s="81">
        <v>0.65</v>
      </c>
      <c r="EG37" s="81">
        <v>0.65</v>
      </c>
      <c r="EH37" s="81">
        <v>0.65</v>
      </c>
      <c r="EI37" s="81">
        <v>0.65</v>
      </c>
      <c r="EJ37" s="81">
        <v>0.65</v>
      </c>
      <c r="EK37" s="81">
        <v>0.65</v>
      </c>
      <c r="EL37" s="81">
        <v>0.65</v>
      </c>
      <c r="EM37" s="81">
        <v>0.65</v>
      </c>
      <c r="EN37" s="81">
        <v>0.65</v>
      </c>
      <c r="EU37" s="83"/>
      <c r="EV37" s="83"/>
      <c r="EW37" s="83"/>
      <c r="EX37" s="83"/>
      <c r="EY37" s="83"/>
      <c r="EZ37" s="83"/>
      <c r="FA37" s="83"/>
      <c r="FB37" s="83"/>
      <c r="FC37" s="83"/>
      <c r="FD37" s="83"/>
      <c r="FE37" s="83"/>
      <c r="FF37" s="83"/>
      <c r="FG37" s="83"/>
      <c r="FH37" s="83"/>
      <c r="FI37" s="83"/>
      <c r="FJ37" s="83"/>
      <c r="FK37" s="83"/>
      <c r="FL37" s="83"/>
      <c r="FM37" s="83"/>
      <c r="FN37" s="83"/>
      <c r="FO37" s="83"/>
      <c r="FP37" s="83"/>
      <c r="FQ37" s="83"/>
      <c r="FR37" s="83"/>
      <c r="FS37" s="83"/>
      <c r="FT37" s="83"/>
      <c r="FU37" s="83"/>
      <c r="FV37" s="83"/>
      <c r="FW37" s="83"/>
      <c r="FX37" s="83"/>
      <c r="FY37" s="83"/>
      <c r="FZ37" s="83"/>
      <c r="GA37" s="83"/>
      <c r="GB37" s="83"/>
      <c r="GC37" s="83"/>
      <c r="GD37" s="83"/>
      <c r="GE37" s="83"/>
      <c r="GF37" s="83"/>
      <c r="GG37" s="83"/>
      <c r="GH37" s="83"/>
      <c r="GI37" s="83"/>
      <c r="GJ37" s="83"/>
      <c r="GK37" s="83"/>
    </row>
    <row r="38" spans="1:194" s="81" customFormat="1">
      <c r="A38" s="84" t="s">
        <v>130</v>
      </c>
      <c r="B38" s="81" t="s">
        <v>131</v>
      </c>
      <c r="C38" s="83" t="s">
        <v>129</v>
      </c>
      <c r="D38" s="83" t="s">
        <v>100</v>
      </c>
      <c r="E38" s="83">
        <v>1.85</v>
      </c>
      <c r="F38" s="83">
        <v>1.81</v>
      </c>
      <c r="G38" s="83">
        <v>1.81</v>
      </c>
      <c r="H38" s="83">
        <v>1.81</v>
      </c>
      <c r="I38" s="83">
        <v>1.81</v>
      </c>
      <c r="J38" s="83">
        <v>1.8</v>
      </c>
      <c r="K38" s="83">
        <v>1.8</v>
      </c>
      <c r="L38" s="83">
        <v>1.78</v>
      </c>
      <c r="M38" s="83">
        <v>1.78</v>
      </c>
      <c r="N38" s="83">
        <v>1.78</v>
      </c>
      <c r="O38" s="83">
        <v>1.76</v>
      </c>
      <c r="P38" s="83">
        <v>1.75</v>
      </c>
      <c r="Q38" s="83">
        <v>1.75</v>
      </c>
      <c r="R38" s="83">
        <v>1.75</v>
      </c>
      <c r="S38" s="83">
        <v>1.75</v>
      </c>
      <c r="T38" s="83">
        <v>1.73</v>
      </c>
      <c r="U38" s="83">
        <v>1.73</v>
      </c>
      <c r="V38" s="83">
        <v>1.7</v>
      </c>
      <c r="W38" s="83">
        <v>1.65</v>
      </c>
      <c r="X38" s="83">
        <v>1.65</v>
      </c>
      <c r="Y38" s="83">
        <v>1.62</v>
      </c>
      <c r="Z38" s="83">
        <v>1.59</v>
      </c>
      <c r="AA38" s="82">
        <v>1.42</v>
      </c>
      <c r="AB38" s="82">
        <v>1.4</v>
      </c>
      <c r="AC38" s="82">
        <v>1.395</v>
      </c>
      <c r="AD38" s="81">
        <v>1.39</v>
      </c>
      <c r="AE38" s="81">
        <v>1.355</v>
      </c>
      <c r="AF38" s="81">
        <v>1.33</v>
      </c>
      <c r="AG38" s="81">
        <v>1.33</v>
      </c>
      <c r="AH38" s="81">
        <v>1.28</v>
      </c>
      <c r="AI38" s="81">
        <v>1.28</v>
      </c>
      <c r="AJ38" s="81">
        <v>1.28</v>
      </c>
      <c r="AK38" s="81">
        <v>1.28</v>
      </c>
      <c r="AL38" s="82">
        <v>1.28</v>
      </c>
      <c r="AM38" s="82">
        <v>1.28</v>
      </c>
      <c r="AN38" s="81">
        <v>1.2649999999999999</v>
      </c>
      <c r="AO38" s="81">
        <v>1.24</v>
      </c>
      <c r="AP38" s="81">
        <v>1.18</v>
      </c>
      <c r="AQ38" s="81">
        <v>1.1499999999999999</v>
      </c>
      <c r="AR38" s="81">
        <v>1.1200000000000001</v>
      </c>
      <c r="AS38" s="81">
        <v>1.1000000000000001</v>
      </c>
      <c r="AT38" s="81">
        <v>1.05</v>
      </c>
      <c r="AU38" s="81">
        <v>1.04</v>
      </c>
      <c r="AV38" s="81">
        <v>1.04</v>
      </c>
      <c r="AW38" s="81">
        <v>1.03</v>
      </c>
      <c r="AX38" s="81">
        <v>1.03</v>
      </c>
      <c r="AY38" s="81">
        <v>0.95</v>
      </c>
      <c r="AZ38" s="82">
        <v>0.94</v>
      </c>
      <c r="BA38" s="81">
        <v>0.92</v>
      </c>
      <c r="BB38" s="82">
        <v>0.91</v>
      </c>
      <c r="BC38" s="81">
        <v>0.91</v>
      </c>
      <c r="BD38" s="81">
        <v>0.91</v>
      </c>
      <c r="BE38" s="81">
        <v>0.89</v>
      </c>
      <c r="BF38" s="81">
        <v>0.89</v>
      </c>
      <c r="BG38" s="82">
        <v>0.89</v>
      </c>
      <c r="BH38" s="81">
        <v>0.89</v>
      </c>
      <c r="BI38" s="81">
        <v>0.89</v>
      </c>
      <c r="BJ38" s="81">
        <v>0.89</v>
      </c>
      <c r="BK38" s="81">
        <v>0.89</v>
      </c>
      <c r="BL38" s="81">
        <v>0.89</v>
      </c>
      <c r="BM38" s="81">
        <v>0.89</v>
      </c>
      <c r="BN38" s="81">
        <v>0.88</v>
      </c>
      <c r="BO38" s="81">
        <v>0.88</v>
      </c>
      <c r="BP38" s="81">
        <v>0.88</v>
      </c>
      <c r="BQ38" s="81">
        <v>0.88</v>
      </c>
      <c r="BR38" s="81">
        <v>0.87</v>
      </c>
      <c r="BS38" s="81">
        <v>0.86</v>
      </c>
      <c r="BT38" s="81">
        <v>0.85</v>
      </c>
      <c r="BU38" s="81">
        <v>0.82</v>
      </c>
      <c r="BV38" s="81">
        <v>0.82</v>
      </c>
      <c r="BW38" s="81">
        <v>0.82</v>
      </c>
      <c r="BX38" s="81">
        <v>0.82</v>
      </c>
      <c r="BY38" s="81">
        <v>0.8</v>
      </c>
      <c r="BZ38" s="81">
        <v>0.8</v>
      </c>
      <c r="CA38" s="81">
        <v>0.8</v>
      </c>
      <c r="CB38" s="81">
        <v>0.78</v>
      </c>
      <c r="CC38" s="81">
        <v>0.78</v>
      </c>
      <c r="CD38" s="81">
        <v>0.78</v>
      </c>
      <c r="CE38" s="81">
        <v>0.78</v>
      </c>
      <c r="CF38" s="81">
        <v>0.78</v>
      </c>
      <c r="CG38" s="81">
        <v>0.78</v>
      </c>
      <c r="CH38" s="81">
        <v>0.78</v>
      </c>
      <c r="CI38" s="81">
        <v>0.78</v>
      </c>
      <c r="CJ38" s="81">
        <v>0.78</v>
      </c>
      <c r="CK38" s="81">
        <v>0.76</v>
      </c>
      <c r="CL38" s="81">
        <v>0.76</v>
      </c>
      <c r="CM38" s="81">
        <v>0.74</v>
      </c>
      <c r="CN38" s="81">
        <v>0.71</v>
      </c>
      <c r="CO38" s="81">
        <v>0.71</v>
      </c>
      <c r="CP38" s="81">
        <v>0.71</v>
      </c>
      <c r="CQ38" s="81">
        <v>0.69</v>
      </c>
      <c r="CR38" s="81">
        <v>0.68</v>
      </c>
      <c r="CS38" s="81">
        <v>0.68</v>
      </c>
      <c r="CT38" s="81">
        <v>0.68</v>
      </c>
      <c r="CU38" s="81">
        <v>0.67</v>
      </c>
      <c r="CV38" s="81">
        <v>0.67</v>
      </c>
      <c r="CW38" s="81">
        <v>0.67</v>
      </c>
      <c r="CX38" s="81">
        <v>0.67</v>
      </c>
      <c r="CY38" s="81">
        <v>0.67</v>
      </c>
      <c r="CZ38" s="81">
        <v>0.67</v>
      </c>
      <c r="DA38" s="81">
        <v>0.66500000000000004</v>
      </c>
      <c r="DB38" s="81">
        <v>0.66500000000000004</v>
      </c>
      <c r="DC38" s="81">
        <v>0.66500000000000004</v>
      </c>
      <c r="DD38" s="81">
        <v>0.66500000000000004</v>
      </c>
      <c r="DE38" s="81">
        <v>0.66500000000000004</v>
      </c>
      <c r="DF38" s="81">
        <v>0.66500000000000004</v>
      </c>
      <c r="DG38" s="81">
        <v>0.66500000000000004</v>
      </c>
      <c r="DH38" s="81">
        <v>0.66500000000000004</v>
      </c>
      <c r="DI38" s="81">
        <v>0.66500000000000004</v>
      </c>
      <c r="DJ38" s="81">
        <v>0.66500000000000004</v>
      </c>
      <c r="DK38" s="81">
        <v>0.66500000000000004</v>
      </c>
      <c r="DL38" s="81">
        <v>0.66500000000000004</v>
      </c>
      <c r="DM38" s="81">
        <v>0.66500000000000004</v>
      </c>
      <c r="DN38" s="81">
        <v>0.66500000000000004</v>
      </c>
      <c r="DO38" s="81">
        <v>0.66500000000000004</v>
      </c>
      <c r="DP38" s="81">
        <v>0.66500000000000004</v>
      </c>
      <c r="DQ38" s="81">
        <v>0.66500000000000004</v>
      </c>
      <c r="DR38" s="81">
        <v>0.66500000000000004</v>
      </c>
      <c r="DS38" s="81">
        <v>0.66500000000000004</v>
      </c>
      <c r="DT38" s="81">
        <v>0.66500000000000004</v>
      </c>
      <c r="DU38" s="81">
        <v>0.66500000000000004</v>
      </c>
      <c r="DV38" s="81">
        <v>0.66500000000000004</v>
      </c>
      <c r="DW38" s="81">
        <v>0.66500000000000004</v>
      </c>
      <c r="DX38" s="81">
        <v>0.66500000000000004</v>
      </c>
      <c r="DY38" s="81">
        <v>0.66500000000000004</v>
      </c>
      <c r="DZ38" s="81">
        <v>0.66500000000000004</v>
      </c>
      <c r="EA38" s="81">
        <v>0.66500000000000004</v>
      </c>
      <c r="EB38" s="81">
        <v>0.66500000000000004</v>
      </c>
      <c r="EC38" s="81">
        <v>0.66500000000000004</v>
      </c>
      <c r="ED38" s="81">
        <v>0.66500000000000004</v>
      </c>
      <c r="EE38" s="81">
        <v>0.66500000000000004</v>
      </c>
      <c r="EF38" s="81">
        <v>0.66500000000000004</v>
      </c>
      <c r="EG38" s="81">
        <v>0.66500000000000004</v>
      </c>
      <c r="EH38" s="81">
        <v>0.66500000000000004</v>
      </c>
      <c r="EI38" s="81">
        <v>0.66500000000000004</v>
      </c>
      <c r="EJ38" s="81">
        <v>0.66500000000000004</v>
      </c>
      <c r="EK38" s="81">
        <v>0.66500000000000004</v>
      </c>
      <c r="EL38" s="81">
        <v>0.66500000000000004</v>
      </c>
      <c r="EM38" s="81">
        <v>0.66500000000000004</v>
      </c>
      <c r="EN38" s="81">
        <v>0.66500000000000004</v>
      </c>
      <c r="EU38" s="83"/>
      <c r="EV38" s="83"/>
      <c r="EW38" s="83"/>
      <c r="EX38" s="83"/>
      <c r="EY38" s="83"/>
      <c r="EZ38" s="83"/>
      <c r="FA38" s="83"/>
      <c r="FB38" s="83"/>
      <c r="FC38" s="83"/>
      <c r="FD38" s="83"/>
      <c r="FE38" s="83"/>
      <c r="FF38" s="83"/>
      <c r="FG38" s="83"/>
      <c r="FH38" s="83"/>
      <c r="FI38" s="83"/>
      <c r="FJ38" s="83"/>
      <c r="FK38" s="83"/>
      <c r="FL38" s="83"/>
      <c r="FM38" s="83"/>
      <c r="FN38" s="83"/>
      <c r="FO38" s="83"/>
      <c r="FP38" s="83"/>
      <c r="FQ38" s="83"/>
      <c r="FR38" s="83"/>
      <c r="FS38" s="83"/>
      <c r="FT38" s="83"/>
      <c r="FU38" s="83"/>
      <c r="FV38" s="83"/>
      <c r="FW38" s="83"/>
      <c r="FX38" s="83"/>
      <c r="FY38" s="83"/>
      <c r="FZ38" s="83"/>
      <c r="GA38" s="83"/>
      <c r="GB38" s="83"/>
      <c r="GC38" s="83"/>
      <c r="GD38" s="83"/>
      <c r="GE38" s="83"/>
      <c r="GF38" s="83"/>
      <c r="GG38" s="83"/>
      <c r="GH38" s="83"/>
      <c r="GI38" s="83"/>
      <c r="GJ38" s="83"/>
      <c r="GK38" s="83"/>
    </row>
    <row r="39" spans="1:194" s="81" customFormat="1">
      <c r="A39" s="84" t="s">
        <v>132</v>
      </c>
      <c r="B39" s="81" t="s">
        <v>133</v>
      </c>
      <c r="C39" s="83" t="s">
        <v>134</v>
      </c>
      <c r="D39" s="83" t="s">
        <v>100</v>
      </c>
      <c r="E39" s="83">
        <v>1.85</v>
      </c>
      <c r="F39" s="83">
        <v>1.81</v>
      </c>
      <c r="G39" s="83">
        <v>1.81</v>
      </c>
      <c r="H39" s="83">
        <v>1.81</v>
      </c>
      <c r="I39" s="83">
        <v>1.81</v>
      </c>
      <c r="J39" s="83">
        <v>1.8</v>
      </c>
      <c r="K39" s="83">
        <v>1.8</v>
      </c>
      <c r="L39" s="83">
        <v>1.78</v>
      </c>
      <c r="M39" s="83">
        <v>1.78</v>
      </c>
      <c r="N39" s="83">
        <v>1.78</v>
      </c>
      <c r="O39" s="83">
        <v>1.76</v>
      </c>
      <c r="P39" s="83">
        <v>1.75</v>
      </c>
      <c r="Q39" s="83">
        <v>1.75</v>
      </c>
      <c r="R39" s="83">
        <v>1.75</v>
      </c>
      <c r="S39" s="83">
        <v>1.75</v>
      </c>
      <c r="T39" s="83">
        <v>1.73</v>
      </c>
      <c r="U39" s="83">
        <v>1.73</v>
      </c>
      <c r="V39" s="83">
        <v>1.7</v>
      </c>
      <c r="W39" s="83">
        <v>1.66</v>
      </c>
      <c r="X39" s="83">
        <v>1.66</v>
      </c>
      <c r="Y39" s="83">
        <v>1.63</v>
      </c>
      <c r="Z39" s="83">
        <v>1.61</v>
      </c>
      <c r="AA39" s="82">
        <v>1.44</v>
      </c>
      <c r="AB39" s="82">
        <v>1.42</v>
      </c>
      <c r="AC39" s="82">
        <v>1.415</v>
      </c>
      <c r="AD39" s="81">
        <v>1.41</v>
      </c>
      <c r="AE39" s="81">
        <v>1.36</v>
      </c>
      <c r="AF39" s="81">
        <v>1.33</v>
      </c>
      <c r="AG39" s="81">
        <v>1.33</v>
      </c>
      <c r="AH39" s="81">
        <v>1.28</v>
      </c>
      <c r="AI39" s="81">
        <v>1.28</v>
      </c>
      <c r="AJ39" s="81">
        <v>1.28</v>
      </c>
      <c r="AK39" s="81">
        <v>1.28</v>
      </c>
      <c r="AL39" s="82">
        <v>1.28</v>
      </c>
      <c r="AM39" s="82">
        <v>1.28</v>
      </c>
      <c r="AN39" s="81">
        <v>1.2649999999999999</v>
      </c>
      <c r="AO39" s="81">
        <v>1.24</v>
      </c>
      <c r="AP39" s="81">
        <v>1.18</v>
      </c>
      <c r="AQ39" s="81">
        <v>1.1499999999999999</v>
      </c>
      <c r="AR39" s="81">
        <v>1.1399999999999999</v>
      </c>
      <c r="AS39" s="81">
        <v>1.1200000000000001</v>
      </c>
      <c r="AT39" s="81">
        <v>1.05</v>
      </c>
      <c r="AU39" s="81">
        <v>1.04</v>
      </c>
      <c r="AV39" s="81">
        <v>1.1299999999999999</v>
      </c>
      <c r="AW39" s="81">
        <v>1.1299999999999999</v>
      </c>
      <c r="AX39" s="81">
        <v>1.1299999999999999</v>
      </c>
      <c r="AY39" s="81">
        <v>0.98</v>
      </c>
      <c r="AZ39" s="82">
        <v>0.96</v>
      </c>
      <c r="BA39" s="81">
        <v>0.94</v>
      </c>
      <c r="BB39" s="82">
        <v>0.93</v>
      </c>
      <c r="BC39" s="81">
        <v>0.93</v>
      </c>
      <c r="BD39" s="81">
        <v>0.93</v>
      </c>
      <c r="BE39" s="81">
        <v>0.92</v>
      </c>
      <c r="BF39" s="81">
        <v>0.92</v>
      </c>
      <c r="BG39" s="82">
        <v>0.92</v>
      </c>
      <c r="BH39" s="81">
        <v>0.92</v>
      </c>
      <c r="BI39" s="81">
        <v>0.92</v>
      </c>
      <c r="BJ39" s="81">
        <v>0.92</v>
      </c>
      <c r="BK39" s="81">
        <v>0.92</v>
      </c>
      <c r="BL39" s="81">
        <v>0.92</v>
      </c>
      <c r="BM39" s="81">
        <v>0.92</v>
      </c>
      <c r="BN39" s="81">
        <v>0.9</v>
      </c>
      <c r="BO39" s="81">
        <v>0.9</v>
      </c>
      <c r="BP39" s="81">
        <v>0.9</v>
      </c>
      <c r="BQ39" s="81">
        <v>0.9</v>
      </c>
      <c r="BR39" s="81">
        <v>0.88</v>
      </c>
      <c r="BS39" s="81">
        <v>0.87</v>
      </c>
      <c r="BT39" s="81">
        <v>0.86</v>
      </c>
      <c r="BU39" s="81">
        <v>0.83</v>
      </c>
      <c r="BV39" s="81">
        <v>0.83</v>
      </c>
      <c r="BW39" s="81">
        <v>0.83</v>
      </c>
      <c r="BX39" s="81">
        <v>0.83</v>
      </c>
      <c r="BY39" s="81">
        <v>0.82</v>
      </c>
      <c r="BZ39" s="81">
        <v>0.82</v>
      </c>
      <c r="CA39" s="81">
        <v>0.82</v>
      </c>
      <c r="CB39" s="81">
        <v>0.8</v>
      </c>
      <c r="CC39" s="81">
        <v>0.8</v>
      </c>
      <c r="CD39" s="81">
        <v>0.8</v>
      </c>
      <c r="CE39" s="81">
        <v>0.79</v>
      </c>
      <c r="CF39" s="81">
        <v>0.79</v>
      </c>
      <c r="CG39" s="81">
        <v>0.79</v>
      </c>
      <c r="CH39" s="81">
        <v>0.79</v>
      </c>
      <c r="CI39" s="81">
        <v>0.79</v>
      </c>
      <c r="CJ39" s="81">
        <v>0.79</v>
      </c>
      <c r="CK39" s="81">
        <v>0.78</v>
      </c>
      <c r="CL39" s="81">
        <v>0.78</v>
      </c>
      <c r="CM39" s="81">
        <v>0.75</v>
      </c>
      <c r="CN39" s="81">
        <v>0.72</v>
      </c>
      <c r="CO39" s="81">
        <v>0.72</v>
      </c>
      <c r="CP39" s="81">
        <v>0.72</v>
      </c>
      <c r="CQ39" s="81">
        <v>0.7</v>
      </c>
      <c r="CR39" s="81">
        <v>0.69</v>
      </c>
      <c r="CS39" s="81">
        <v>0.69</v>
      </c>
      <c r="CT39" s="81">
        <v>0.69</v>
      </c>
      <c r="CU39" s="81">
        <v>0.68</v>
      </c>
      <c r="CV39" s="81">
        <v>0.68</v>
      </c>
      <c r="CW39" s="81">
        <v>0.68</v>
      </c>
      <c r="CX39" s="81">
        <v>0.68</v>
      </c>
      <c r="CY39" s="81">
        <v>0.68</v>
      </c>
      <c r="CZ39" s="81">
        <v>0.68</v>
      </c>
      <c r="DA39" s="81">
        <v>0.67</v>
      </c>
      <c r="DB39" s="81">
        <v>0.67</v>
      </c>
      <c r="DC39" s="81">
        <v>0.67</v>
      </c>
      <c r="DD39" s="81">
        <v>0.67</v>
      </c>
      <c r="DE39" s="81">
        <v>0.67</v>
      </c>
      <c r="DF39" s="81">
        <v>0.67</v>
      </c>
      <c r="DG39" s="81">
        <v>0.67</v>
      </c>
      <c r="DH39" s="81">
        <v>0.67</v>
      </c>
      <c r="DI39" s="81">
        <v>0.67</v>
      </c>
      <c r="DJ39" s="81">
        <v>0.67</v>
      </c>
      <c r="DK39" s="81">
        <v>0.67</v>
      </c>
      <c r="DL39" s="81">
        <v>0.67</v>
      </c>
      <c r="DM39" s="81">
        <v>0.67</v>
      </c>
      <c r="DN39" s="81">
        <v>0.67</v>
      </c>
      <c r="DO39" s="81">
        <v>0.67</v>
      </c>
      <c r="DP39" s="81">
        <v>0.67</v>
      </c>
      <c r="DQ39" s="81">
        <v>0.67</v>
      </c>
      <c r="DR39" s="81">
        <v>0.67</v>
      </c>
      <c r="DS39" s="81">
        <v>0.67</v>
      </c>
      <c r="DT39" s="81">
        <v>0.67</v>
      </c>
      <c r="DU39" s="81">
        <v>0.67</v>
      </c>
      <c r="DV39" s="81">
        <v>0.67</v>
      </c>
      <c r="DW39" s="81">
        <v>0.67</v>
      </c>
      <c r="DX39" s="81">
        <v>0.67</v>
      </c>
      <c r="DY39" s="81">
        <v>0.67</v>
      </c>
      <c r="DZ39" s="81">
        <v>0.67</v>
      </c>
      <c r="EA39" s="81">
        <v>0.67</v>
      </c>
      <c r="EB39" s="81">
        <v>0.67</v>
      </c>
      <c r="EC39" s="81">
        <v>0.67</v>
      </c>
      <c r="ED39" s="81">
        <v>0.67</v>
      </c>
      <c r="EE39" s="81">
        <v>0.67</v>
      </c>
      <c r="EF39" s="81">
        <v>0.67</v>
      </c>
      <c r="EG39" s="81">
        <v>0.67</v>
      </c>
      <c r="EH39" s="81">
        <v>0.67</v>
      </c>
      <c r="EI39" s="81">
        <v>0.67</v>
      </c>
      <c r="EJ39" s="81">
        <v>0.67</v>
      </c>
      <c r="EK39" s="81">
        <v>0.67</v>
      </c>
      <c r="EL39" s="81">
        <v>0.67</v>
      </c>
      <c r="EM39" s="81">
        <v>0.67</v>
      </c>
      <c r="EN39" s="81">
        <v>0.67</v>
      </c>
      <c r="EU39" s="83"/>
      <c r="EV39" s="83"/>
      <c r="EW39" s="83"/>
      <c r="EX39" s="83"/>
      <c r="EY39" s="83"/>
      <c r="EZ39" s="83"/>
      <c r="FA39" s="83"/>
      <c r="FB39" s="83"/>
      <c r="FC39" s="83"/>
      <c r="FD39" s="83"/>
      <c r="FE39" s="83"/>
      <c r="FF39" s="83"/>
      <c r="FG39" s="83"/>
      <c r="FH39" s="83"/>
      <c r="FI39" s="83"/>
      <c r="FJ39" s="83"/>
      <c r="FK39" s="83"/>
      <c r="FL39" s="83"/>
      <c r="FM39" s="83"/>
      <c r="FN39" s="83"/>
      <c r="FO39" s="83"/>
      <c r="FP39" s="83"/>
      <c r="FQ39" s="83"/>
      <c r="FR39" s="83"/>
      <c r="FS39" s="83"/>
      <c r="FT39" s="83"/>
      <c r="FU39" s="83"/>
      <c r="FV39" s="83"/>
      <c r="FW39" s="83"/>
      <c r="FX39" s="83"/>
      <c r="FY39" s="83"/>
      <c r="FZ39" s="83"/>
      <c r="GA39" s="83"/>
      <c r="GB39" s="83"/>
      <c r="GC39" s="83"/>
      <c r="GD39" s="83"/>
      <c r="GE39" s="83"/>
      <c r="GF39" s="83"/>
      <c r="GG39" s="83"/>
      <c r="GH39" s="83"/>
      <c r="GI39" s="83"/>
      <c r="GJ39" s="83"/>
      <c r="GK39" s="83"/>
    </row>
    <row r="40" spans="1:194" s="81" customFormat="1">
      <c r="A40" s="84" t="s">
        <v>135</v>
      </c>
      <c r="B40" s="81" t="s">
        <v>136</v>
      </c>
      <c r="C40" s="83" t="s">
        <v>137</v>
      </c>
      <c r="D40" s="83" t="s">
        <v>100</v>
      </c>
      <c r="E40" s="83">
        <v>1.92</v>
      </c>
      <c r="F40" s="83">
        <v>1.87</v>
      </c>
      <c r="G40" s="83">
        <v>1.87</v>
      </c>
      <c r="H40" s="83">
        <v>1.87</v>
      </c>
      <c r="I40" s="83">
        <v>1.87</v>
      </c>
      <c r="J40" s="83">
        <v>1.87</v>
      </c>
      <c r="K40" s="83">
        <v>1.85</v>
      </c>
      <c r="L40" s="83">
        <v>1.85</v>
      </c>
      <c r="M40" s="83">
        <v>1.85</v>
      </c>
      <c r="N40" s="83">
        <v>1.85</v>
      </c>
      <c r="O40" s="83">
        <v>1.85</v>
      </c>
      <c r="P40" s="83">
        <v>1.85</v>
      </c>
      <c r="Q40" s="83">
        <v>1.85</v>
      </c>
      <c r="R40" s="83">
        <v>1.85</v>
      </c>
      <c r="S40" s="83">
        <v>1.85</v>
      </c>
      <c r="T40" s="83">
        <v>1.83</v>
      </c>
      <c r="U40" s="83">
        <v>1.83</v>
      </c>
      <c r="V40" s="83">
        <v>1.78</v>
      </c>
      <c r="W40" s="83">
        <v>1.74</v>
      </c>
      <c r="X40" s="83">
        <v>1.74</v>
      </c>
      <c r="Y40" s="83">
        <v>1.7</v>
      </c>
      <c r="Z40" s="83">
        <v>1.69</v>
      </c>
      <c r="AA40" s="82">
        <v>1.5</v>
      </c>
      <c r="AB40" s="82">
        <v>1.48</v>
      </c>
      <c r="AC40" s="82">
        <v>1.4550000000000001</v>
      </c>
      <c r="AD40" s="81">
        <v>1.4550000000000001</v>
      </c>
      <c r="AE40" s="81">
        <v>1.397</v>
      </c>
      <c r="AF40" s="81">
        <v>1.38</v>
      </c>
      <c r="AG40" s="81">
        <v>1.38</v>
      </c>
      <c r="AH40" s="81">
        <v>1.33</v>
      </c>
      <c r="AI40" s="81">
        <v>1.33</v>
      </c>
      <c r="AJ40" s="81">
        <v>1.33</v>
      </c>
      <c r="AK40" s="81">
        <v>1.33</v>
      </c>
      <c r="AL40" s="82">
        <v>1.33</v>
      </c>
      <c r="AM40" s="82">
        <v>1.33</v>
      </c>
      <c r="AN40" s="81">
        <v>1.33</v>
      </c>
      <c r="AO40" s="81">
        <v>1.28</v>
      </c>
      <c r="AP40" s="81">
        <v>1.24</v>
      </c>
      <c r="AQ40" s="81">
        <v>1.18</v>
      </c>
      <c r="AR40" s="81">
        <v>1.17</v>
      </c>
      <c r="AS40" s="81">
        <v>1.1499999999999999</v>
      </c>
      <c r="AT40" s="81">
        <v>1.1299999999999999</v>
      </c>
      <c r="AU40" s="81">
        <v>1.1000000000000001</v>
      </c>
      <c r="AV40" s="81">
        <v>1.1000000000000001</v>
      </c>
      <c r="AW40" s="81">
        <v>1.0900000000000001</v>
      </c>
      <c r="AX40" s="81">
        <v>1.0900000000000001</v>
      </c>
      <c r="AY40" s="81">
        <v>1.03</v>
      </c>
      <c r="AZ40" s="82">
        <v>1.03</v>
      </c>
      <c r="BA40" s="81">
        <v>1.02</v>
      </c>
      <c r="BB40" s="82">
        <v>1.02</v>
      </c>
      <c r="BC40" s="81">
        <v>1.02</v>
      </c>
      <c r="BD40" s="81">
        <v>1.02</v>
      </c>
      <c r="BE40" s="81">
        <v>1.02</v>
      </c>
      <c r="BF40" s="81">
        <v>0.96</v>
      </c>
      <c r="BG40" s="82">
        <v>0.96</v>
      </c>
      <c r="BH40" s="81">
        <v>0.96</v>
      </c>
      <c r="BI40" s="81">
        <v>0.96</v>
      </c>
      <c r="BJ40" s="81">
        <v>0.96</v>
      </c>
      <c r="BK40" s="81">
        <v>0.96</v>
      </c>
      <c r="BL40" s="81">
        <v>0.96</v>
      </c>
      <c r="BM40" s="81">
        <v>0.96</v>
      </c>
      <c r="BN40" s="81">
        <v>0.96</v>
      </c>
      <c r="BO40" s="81">
        <v>0.96</v>
      </c>
      <c r="BP40" s="81">
        <v>0.96</v>
      </c>
      <c r="BQ40" s="81">
        <v>0.96</v>
      </c>
      <c r="BR40" s="81">
        <v>0.94</v>
      </c>
      <c r="BS40" s="81">
        <v>0.92</v>
      </c>
      <c r="BT40" s="81">
        <v>0.9</v>
      </c>
      <c r="BU40" s="81">
        <v>0.88</v>
      </c>
      <c r="BV40" s="81">
        <v>0.86</v>
      </c>
      <c r="BW40" s="81">
        <v>0.86</v>
      </c>
      <c r="BX40" s="81">
        <v>0.86</v>
      </c>
      <c r="BY40" s="81">
        <v>0.83</v>
      </c>
      <c r="BZ40" s="81">
        <v>0.81</v>
      </c>
      <c r="CA40" s="81">
        <v>0.81</v>
      </c>
      <c r="CB40" s="81">
        <v>0.81</v>
      </c>
      <c r="CC40" s="81">
        <v>0.8</v>
      </c>
      <c r="CD40" s="81">
        <v>0.8</v>
      </c>
      <c r="CE40" s="81">
        <v>0.8</v>
      </c>
      <c r="CF40" s="81">
        <v>0.8</v>
      </c>
      <c r="CG40" s="81">
        <v>0.78</v>
      </c>
      <c r="CH40" s="81">
        <v>0.77500000000000002</v>
      </c>
      <c r="CI40" s="81">
        <v>0.77500000000000002</v>
      </c>
      <c r="CJ40" s="81">
        <v>0.75</v>
      </c>
      <c r="CK40" s="81">
        <v>0.75</v>
      </c>
      <c r="CL40" s="81">
        <v>0.75</v>
      </c>
      <c r="CM40" s="81">
        <v>0.75</v>
      </c>
      <c r="CN40" s="81">
        <v>0.74</v>
      </c>
      <c r="CO40" s="81">
        <v>0.74</v>
      </c>
      <c r="CP40" s="81">
        <v>0.72</v>
      </c>
      <c r="CQ40" s="81">
        <v>0.72</v>
      </c>
      <c r="CR40" s="81">
        <v>0.72</v>
      </c>
      <c r="CS40" s="81">
        <v>0.72</v>
      </c>
      <c r="CT40" s="81">
        <v>0.7</v>
      </c>
      <c r="CU40" s="81">
        <v>0.7</v>
      </c>
      <c r="CV40" s="81">
        <v>0.7</v>
      </c>
      <c r="CW40" s="81">
        <v>0.7</v>
      </c>
      <c r="CX40" s="81">
        <v>0.7</v>
      </c>
      <c r="CY40" s="81">
        <v>0.7</v>
      </c>
      <c r="CZ40" s="81">
        <v>0.7</v>
      </c>
      <c r="DA40" s="81">
        <v>0.7</v>
      </c>
      <c r="DB40" s="81">
        <v>0.7</v>
      </c>
      <c r="DC40" s="81">
        <v>0.7</v>
      </c>
      <c r="DD40" s="81">
        <v>0.69</v>
      </c>
      <c r="DE40" s="81">
        <v>0.69</v>
      </c>
      <c r="DF40" s="81">
        <v>0.69</v>
      </c>
      <c r="DG40" s="81">
        <v>0.69</v>
      </c>
      <c r="DH40" s="81">
        <v>0.69</v>
      </c>
      <c r="DI40" s="81">
        <v>0.69</v>
      </c>
      <c r="DJ40" s="81">
        <v>0.71</v>
      </c>
      <c r="DK40" s="81">
        <v>0.72</v>
      </c>
      <c r="DL40" s="81">
        <v>0.75</v>
      </c>
      <c r="DM40" s="81">
        <v>0.75</v>
      </c>
      <c r="DN40" s="81">
        <v>0.75</v>
      </c>
      <c r="DO40" s="81">
        <v>0.75</v>
      </c>
      <c r="DP40" s="81">
        <v>0.73</v>
      </c>
      <c r="DQ40" s="81">
        <v>0.73</v>
      </c>
      <c r="DR40" s="81">
        <v>0.71499999999999997</v>
      </c>
      <c r="DS40" s="81">
        <v>0.70499999999999996</v>
      </c>
      <c r="DT40" s="81">
        <v>0.68500000000000005</v>
      </c>
      <c r="DU40" s="81">
        <v>0.68500000000000005</v>
      </c>
      <c r="DV40" s="81">
        <v>0.68500000000000005</v>
      </c>
      <c r="DW40" s="81">
        <v>0.68</v>
      </c>
      <c r="DX40" s="81">
        <v>0.68</v>
      </c>
      <c r="DY40" s="81">
        <v>0.68</v>
      </c>
      <c r="DZ40" s="81">
        <v>0.68</v>
      </c>
      <c r="EA40" s="81">
        <v>0.68</v>
      </c>
      <c r="EB40" s="81">
        <v>0.67</v>
      </c>
      <c r="EC40" s="81">
        <v>0.67</v>
      </c>
      <c r="ED40" s="81">
        <v>0.67</v>
      </c>
      <c r="EE40" s="81">
        <v>0.67500000000000004</v>
      </c>
      <c r="EF40" s="81">
        <v>0.7</v>
      </c>
      <c r="EG40" s="81">
        <v>0.7</v>
      </c>
      <c r="EH40" s="81">
        <v>0.7</v>
      </c>
      <c r="EI40" s="81">
        <v>0.7</v>
      </c>
      <c r="EJ40" s="81">
        <v>0.7</v>
      </c>
      <c r="EK40" s="81">
        <v>0.7</v>
      </c>
      <c r="EL40" s="81">
        <v>0.7</v>
      </c>
      <c r="EM40" s="81">
        <v>0.7</v>
      </c>
      <c r="EN40" s="81">
        <v>0.7</v>
      </c>
      <c r="EO40" s="81">
        <v>0.69</v>
      </c>
      <c r="EP40" s="81">
        <v>0.69</v>
      </c>
      <c r="EQ40" s="81">
        <v>0.69</v>
      </c>
      <c r="ER40" s="81">
        <v>0.69</v>
      </c>
      <c r="ES40" s="81">
        <v>0.69</v>
      </c>
      <c r="ET40" s="81">
        <v>0.69</v>
      </c>
      <c r="EU40" s="83">
        <v>0.69</v>
      </c>
      <c r="EV40" s="83">
        <v>0.69</v>
      </c>
      <c r="EW40" s="83">
        <v>0.69</v>
      </c>
      <c r="EX40" s="83">
        <v>0.68</v>
      </c>
      <c r="EY40" s="83">
        <v>0.68</v>
      </c>
      <c r="EZ40" s="83">
        <v>0.68</v>
      </c>
      <c r="FA40" s="83">
        <v>0.68</v>
      </c>
      <c r="FB40" s="83">
        <v>0.68</v>
      </c>
      <c r="FC40" s="83">
        <v>0.68500000000000005</v>
      </c>
      <c r="FD40" s="83">
        <v>0.70799999999999996</v>
      </c>
      <c r="FE40" s="83">
        <v>0.74</v>
      </c>
      <c r="FF40" s="83">
        <v>0.8</v>
      </c>
      <c r="FG40" s="83">
        <v>0.8</v>
      </c>
      <c r="FH40" s="83">
        <v>0.8</v>
      </c>
      <c r="FI40" s="83">
        <v>0.83</v>
      </c>
      <c r="FJ40" s="83">
        <v>0.83</v>
      </c>
      <c r="FK40" s="83">
        <v>0.82</v>
      </c>
      <c r="FL40" s="83">
        <v>0.81</v>
      </c>
      <c r="FM40" s="83">
        <v>0.81</v>
      </c>
      <c r="FN40" s="83">
        <v>0.78</v>
      </c>
      <c r="FO40" s="83">
        <v>0.76</v>
      </c>
      <c r="FP40" s="83">
        <v>0.76</v>
      </c>
      <c r="FQ40" s="83">
        <v>0.75800000000000001</v>
      </c>
      <c r="FR40" s="83">
        <v>0.75800000000000001</v>
      </c>
      <c r="FS40" s="83">
        <v>0.75800000000000001</v>
      </c>
      <c r="FT40" s="83">
        <v>0.75800000000000001</v>
      </c>
      <c r="FU40" s="83">
        <v>0.75</v>
      </c>
      <c r="FV40" s="83">
        <v>0.75</v>
      </c>
      <c r="FW40" s="83">
        <v>0.75</v>
      </c>
      <c r="FX40" s="83">
        <v>0.74</v>
      </c>
      <c r="FY40" s="83">
        <v>0.74</v>
      </c>
      <c r="FZ40" s="83">
        <v>0.72</v>
      </c>
      <c r="GA40" s="83">
        <v>0.71</v>
      </c>
      <c r="GB40" s="83">
        <v>0.7</v>
      </c>
      <c r="GC40" s="83">
        <v>0.68</v>
      </c>
      <c r="GD40" s="83">
        <v>0.66</v>
      </c>
      <c r="GE40" s="83">
        <v>0.65500000000000003</v>
      </c>
      <c r="GF40" s="83">
        <v>0.64500000000000002</v>
      </c>
      <c r="GG40" s="83">
        <v>0.64500000000000002</v>
      </c>
      <c r="GH40" s="83">
        <v>0.65</v>
      </c>
      <c r="GI40" s="83">
        <v>0.66</v>
      </c>
      <c r="GJ40" s="83"/>
      <c r="GK40" s="83"/>
    </row>
    <row r="41" spans="1:194" s="81" customFormat="1">
      <c r="A41" s="84" t="s">
        <v>138</v>
      </c>
      <c r="B41" s="81" t="s">
        <v>139</v>
      </c>
      <c r="C41" s="83" t="s">
        <v>140</v>
      </c>
      <c r="D41" s="83" t="s">
        <v>100</v>
      </c>
      <c r="E41" s="83" t="s">
        <v>39</v>
      </c>
      <c r="F41" s="83" t="s">
        <v>39</v>
      </c>
      <c r="G41" s="83" t="s">
        <v>39</v>
      </c>
      <c r="H41" s="83" t="s">
        <v>39</v>
      </c>
      <c r="I41" s="83" t="s">
        <v>39</v>
      </c>
      <c r="J41" s="83" t="s">
        <v>39</v>
      </c>
      <c r="K41" s="83" t="s">
        <v>39</v>
      </c>
      <c r="L41" s="83" t="s">
        <v>39</v>
      </c>
      <c r="M41" s="83" t="s">
        <v>39</v>
      </c>
      <c r="N41" s="83" t="s">
        <v>39</v>
      </c>
      <c r="O41" s="83" t="s">
        <v>39</v>
      </c>
      <c r="P41" s="83" t="s">
        <v>39</v>
      </c>
      <c r="Q41" s="83" t="s">
        <v>39</v>
      </c>
      <c r="R41" s="83" t="s">
        <v>39</v>
      </c>
      <c r="S41" s="83" t="s">
        <v>39</v>
      </c>
      <c r="T41" s="83" t="s">
        <v>39</v>
      </c>
      <c r="U41" s="83" t="s">
        <v>39</v>
      </c>
      <c r="V41" s="83" t="s">
        <v>39</v>
      </c>
      <c r="W41" s="83" t="s">
        <v>39</v>
      </c>
      <c r="X41" s="83" t="s">
        <v>39</v>
      </c>
      <c r="Y41" s="83" t="s">
        <v>39</v>
      </c>
      <c r="Z41" s="83" t="s">
        <v>39</v>
      </c>
      <c r="AA41" s="82" t="s">
        <v>39</v>
      </c>
      <c r="AB41" s="82" t="s">
        <v>39</v>
      </c>
      <c r="AC41" s="82" t="s">
        <v>39</v>
      </c>
      <c r="AL41" s="82"/>
      <c r="AM41" s="82"/>
      <c r="AZ41" s="82"/>
      <c r="BB41" s="82"/>
      <c r="BG41" s="82"/>
      <c r="EU41" s="83"/>
      <c r="EV41" s="83"/>
      <c r="EW41" s="83"/>
      <c r="EX41" s="83"/>
      <c r="EY41" s="83"/>
      <c r="EZ41" s="83"/>
      <c r="FA41" s="83"/>
      <c r="FB41" s="83"/>
      <c r="FC41" s="83"/>
      <c r="FD41" s="83"/>
      <c r="FE41" s="83"/>
      <c r="FF41" s="83"/>
      <c r="FG41" s="83"/>
      <c r="FH41" s="83"/>
      <c r="FI41" s="83"/>
      <c r="FJ41" s="83"/>
      <c r="FK41" s="83"/>
      <c r="FL41" s="83"/>
      <c r="FM41" s="83"/>
      <c r="FN41" s="83"/>
      <c r="FO41" s="83"/>
      <c r="FP41" s="83"/>
      <c r="FQ41" s="83"/>
      <c r="FR41" s="83"/>
      <c r="FS41" s="83"/>
      <c r="FT41" s="83"/>
      <c r="FU41" s="83"/>
      <c r="FV41" s="83"/>
      <c r="FW41" s="83"/>
      <c r="FX41" s="83"/>
      <c r="FY41" s="83"/>
      <c r="FZ41" s="83"/>
      <c r="GA41" s="83"/>
      <c r="GB41" s="83"/>
      <c r="GC41" s="83"/>
      <c r="GD41" s="83"/>
      <c r="GE41" s="83"/>
      <c r="GF41" s="83"/>
      <c r="GG41" s="83"/>
      <c r="GH41" s="83"/>
      <c r="GI41" s="83"/>
      <c r="GJ41" s="83"/>
      <c r="GK41" s="83"/>
    </row>
    <row r="42" spans="1:194" s="81" customFormat="1" ht="17.25">
      <c r="A42" s="84" t="s">
        <v>141</v>
      </c>
      <c r="B42" s="81" t="s">
        <v>139</v>
      </c>
      <c r="C42" s="91" t="s">
        <v>142</v>
      </c>
      <c r="D42" s="83" t="s">
        <v>100</v>
      </c>
      <c r="E42" s="83">
        <v>1.796</v>
      </c>
      <c r="F42" s="83">
        <v>1.796</v>
      </c>
      <c r="G42" s="83">
        <v>1.796</v>
      </c>
      <c r="H42" s="83">
        <v>1.796</v>
      </c>
      <c r="I42" s="83">
        <v>1.796</v>
      </c>
      <c r="J42" s="83">
        <v>1.796</v>
      </c>
      <c r="K42" s="83">
        <v>1.796</v>
      </c>
      <c r="L42" s="83">
        <v>1.75</v>
      </c>
      <c r="M42" s="83">
        <v>1.72</v>
      </c>
      <c r="N42" s="83">
        <v>1.72</v>
      </c>
      <c r="O42" s="83">
        <v>1.77</v>
      </c>
      <c r="P42" s="83">
        <v>1.77</v>
      </c>
      <c r="Q42" s="83">
        <v>1.77</v>
      </c>
      <c r="R42" s="83">
        <v>1.71</v>
      </c>
      <c r="S42" s="83">
        <v>1.71</v>
      </c>
      <c r="T42" s="83">
        <v>1.71</v>
      </c>
      <c r="U42" s="83">
        <v>1.71</v>
      </c>
      <c r="V42" s="83">
        <v>1.71</v>
      </c>
      <c r="W42" s="83">
        <v>1.65</v>
      </c>
      <c r="X42" s="83">
        <v>1.65</v>
      </c>
      <c r="Y42" s="83">
        <v>1.59</v>
      </c>
      <c r="Z42" s="83">
        <v>1.55</v>
      </c>
      <c r="AA42" s="82">
        <v>1.4</v>
      </c>
      <c r="AB42" s="82">
        <v>1.37</v>
      </c>
      <c r="AC42" s="82">
        <v>1.36</v>
      </c>
      <c r="AD42" s="81">
        <v>1.32</v>
      </c>
      <c r="AE42" s="81">
        <v>1.32</v>
      </c>
      <c r="AF42" s="81">
        <v>1.3</v>
      </c>
      <c r="AG42" s="81">
        <v>1.3</v>
      </c>
      <c r="AH42" s="81">
        <v>1.25</v>
      </c>
      <c r="AI42" s="81">
        <v>1.24</v>
      </c>
      <c r="AJ42" s="81">
        <v>1.24</v>
      </c>
      <c r="AK42" s="81">
        <v>1.24</v>
      </c>
      <c r="AL42" s="82">
        <v>1.24</v>
      </c>
      <c r="AM42" s="82">
        <v>1.24</v>
      </c>
      <c r="AN42" s="81">
        <v>1.24</v>
      </c>
      <c r="AO42" s="81">
        <v>1.22</v>
      </c>
      <c r="AP42" s="81">
        <v>1.1499999999999999</v>
      </c>
      <c r="AQ42" s="81">
        <v>1.1499999999999999</v>
      </c>
      <c r="AR42" s="81">
        <v>1.1499999999999999</v>
      </c>
      <c r="AS42" s="81">
        <v>1.1200000000000001</v>
      </c>
      <c r="AT42" s="81">
        <v>1.1200000000000001</v>
      </c>
      <c r="AU42" s="81">
        <v>1.1200000000000001</v>
      </c>
      <c r="AV42" s="81">
        <v>1.1200000000000001</v>
      </c>
      <c r="AW42" s="81">
        <v>1.1200000000000001</v>
      </c>
      <c r="AX42" s="81">
        <v>1.1200000000000001</v>
      </c>
      <c r="AY42" s="81">
        <v>0.97</v>
      </c>
      <c r="AZ42" s="82">
        <v>0.97</v>
      </c>
      <c r="BA42" s="81">
        <v>0.97</v>
      </c>
      <c r="BB42" s="82">
        <v>0.95</v>
      </c>
      <c r="BC42" s="81">
        <v>0.95</v>
      </c>
      <c r="BD42" s="81">
        <v>0.95</v>
      </c>
      <c r="BE42" s="81">
        <v>0.95</v>
      </c>
      <c r="BF42" s="81">
        <v>0.95</v>
      </c>
      <c r="BG42" s="82">
        <v>0.95</v>
      </c>
      <c r="BH42" s="81">
        <v>0.95</v>
      </c>
      <c r="BI42" s="81">
        <v>0.95</v>
      </c>
      <c r="BJ42" s="81">
        <v>0.95</v>
      </c>
      <c r="BK42" s="81">
        <v>0.95</v>
      </c>
      <c r="BL42" s="81">
        <v>0.95</v>
      </c>
      <c r="BM42" s="81">
        <v>0.95</v>
      </c>
      <c r="BN42" s="81">
        <v>0.95</v>
      </c>
      <c r="BO42" s="81">
        <v>0.95</v>
      </c>
      <c r="BP42" s="81">
        <v>0.95</v>
      </c>
      <c r="BQ42" s="81">
        <v>0.95</v>
      </c>
      <c r="BR42" s="81">
        <v>0.94</v>
      </c>
      <c r="BS42" s="81">
        <v>0.92</v>
      </c>
      <c r="BT42" s="81">
        <v>0.89</v>
      </c>
      <c r="BU42" s="81">
        <v>0.89</v>
      </c>
      <c r="BV42" s="81">
        <v>0.89</v>
      </c>
      <c r="BW42" s="81">
        <v>0.89</v>
      </c>
      <c r="BX42" s="81">
        <v>0.89</v>
      </c>
      <c r="BY42" s="81">
        <v>0.89</v>
      </c>
      <c r="BZ42" s="81">
        <v>0.89</v>
      </c>
      <c r="CA42" s="81">
        <v>0.89</v>
      </c>
      <c r="CB42" s="81">
        <v>0.89</v>
      </c>
      <c r="CC42" s="81">
        <v>0.84</v>
      </c>
      <c r="CD42" s="81">
        <v>0.84</v>
      </c>
      <c r="CE42" s="81">
        <v>0.83</v>
      </c>
      <c r="CF42" s="81">
        <v>0.83</v>
      </c>
      <c r="CG42" s="81">
        <v>0.79</v>
      </c>
      <c r="CH42" s="81">
        <v>0.78</v>
      </c>
      <c r="CI42" s="81">
        <v>0.78</v>
      </c>
      <c r="CJ42" s="81">
        <v>0.76</v>
      </c>
      <c r="CK42" s="81">
        <v>0.74</v>
      </c>
      <c r="CL42" s="81">
        <v>0.74</v>
      </c>
      <c r="CM42" s="81">
        <v>0.74</v>
      </c>
      <c r="CN42" s="81">
        <v>0.72</v>
      </c>
      <c r="CO42" s="81">
        <v>0.71</v>
      </c>
      <c r="CP42" s="81">
        <v>0.68500000000000005</v>
      </c>
      <c r="CQ42" s="81">
        <v>0.68500000000000005</v>
      </c>
      <c r="CR42" s="81">
        <v>0.68500000000000005</v>
      </c>
      <c r="CS42" s="81">
        <v>0.68500000000000005</v>
      </c>
      <c r="CT42" s="81">
        <v>0.68500000000000005</v>
      </c>
      <c r="CU42" s="81">
        <v>0.68500000000000005</v>
      </c>
      <c r="CV42" s="81">
        <v>0.68500000000000005</v>
      </c>
      <c r="CW42" s="81">
        <v>0.68500000000000005</v>
      </c>
      <c r="CX42" s="81">
        <v>0.68500000000000005</v>
      </c>
      <c r="CY42" s="81">
        <v>0.68500000000000005</v>
      </c>
      <c r="CZ42" s="81">
        <v>0.68500000000000005</v>
      </c>
      <c r="DA42" s="81">
        <v>0.68500000000000005</v>
      </c>
      <c r="DB42" s="81">
        <v>0.68500000000000005</v>
      </c>
      <c r="DC42" s="81">
        <v>0.68500000000000005</v>
      </c>
      <c r="DD42" s="81">
        <v>0.68500000000000005</v>
      </c>
      <c r="DE42" s="81">
        <v>0.68500000000000005</v>
      </c>
      <c r="DF42" s="81">
        <v>0.68500000000000005</v>
      </c>
      <c r="DG42" s="81">
        <v>0.68500000000000005</v>
      </c>
      <c r="DH42" s="81">
        <v>0.68500000000000005</v>
      </c>
      <c r="DI42" s="81">
        <v>0.68500000000000005</v>
      </c>
      <c r="DJ42" s="81">
        <v>0.7</v>
      </c>
      <c r="DK42" s="81">
        <v>0.7</v>
      </c>
      <c r="DL42" s="81">
        <v>0.7</v>
      </c>
      <c r="DM42" s="81">
        <v>0.7</v>
      </c>
      <c r="DN42" s="81">
        <v>0.7</v>
      </c>
      <c r="DO42" s="81">
        <v>0.7</v>
      </c>
      <c r="DP42" s="81">
        <v>0.7</v>
      </c>
      <c r="DQ42" s="81">
        <v>0.7</v>
      </c>
      <c r="DR42" s="81">
        <v>0.7</v>
      </c>
      <c r="DS42" s="81">
        <v>0.69</v>
      </c>
      <c r="DT42" s="81">
        <v>0.69</v>
      </c>
      <c r="DU42" s="81">
        <v>0.69</v>
      </c>
      <c r="DV42" s="81">
        <v>0.66500000000000004</v>
      </c>
      <c r="DW42" s="81">
        <v>0.66</v>
      </c>
      <c r="DX42" s="81">
        <v>0.66</v>
      </c>
      <c r="DY42" s="81">
        <v>0.66</v>
      </c>
      <c r="DZ42" s="81">
        <v>0.66</v>
      </c>
      <c r="EA42" s="81">
        <v>0.66</v>
      </c>
      <c r="EB42" s="81">
        <v>0.66</v>
      </c>
      <c r="EC42" s="81">
        <v>0.66</v>
      </c>
      <c r="ED42" s="81">
        <v>0.66</v>
      </c>
      <c r="EE42" s="81">
        <v>0.66</v>
      </c>
      <c r="EF42" s="81">
        <v>0.66</v>
      </c>
      <c r="EG42" s="81">
        <v>0.66</v>
      </c>
      <c r="EH42" s="81">
        <v>0.66</v>
      </c>
      <c r="EI42" s="81">
        <v>0.66</v>
      </c>
      <c r="EJ42" s="81">
        <v>0.66</v>
      </c>
      <c r="EK42" s="81">
        <v>0.66</v>
      </c>
      <c r="EL42" s="81">
        <v>0.66</v>
      </c>
      <c r="EM42" s="81">
        <v>0.66</v>
      </c>
      <c r="EN42" s="81">
        <v>0.66</v>
      </c>
      <c r="EO42" s="81">
        <v>0.66</v>
      </c>
      <c r="EP42" s="81">
        <v>0.66</v>
      </c>
      <c r="EQ42" s="81">
        <v>0.66</v>
      </c>
      <c r="ER42" s="81">
        <v>0.66</v>
      </c>
      <c r="ES42" s="81">
        <v>0.66</v>
      </c>
      <c r="ET42" s="81">
        <v>0.66</v>
      </c>
      <c r="EU42" s="83">
        <v>0.66</v>
      </c>
      <c r="EV42" s="83">
        <v>0.66</v>
      </c>
      <c r="EW42" s="83">
        <v>0.66</v>
      </c>
      <c r="EX42" s="83">
        <v>0.66</v>
      </c>
      <c r="EY42" s="83">
        <v>0.66</v>
      </c>
      <c r="EZ42" s="83">
        <v>0.66</v>
      </c>
      <c r="FA42" s="83">
        <v>0.66</v>
      </c>
      <c r="FB42" s="83">
        <v>0.66</v>
      </c>
      <c r="FC42" s="83">
        <v>0.68</v>
      </c>
      <c r="FD42" s="83">
        <v>0.75</v>
      </c>
      <c r="FE42" s="83">
        <v>0.75</v>
      </c>
      <c r="FF42" s="83">
        <v>0.78</v>
      </c>
      <c r="FG42" s="83">
        <v>0.78</v>
      </c>
      <c r="FH42" s="83">
        <v>0.78</v>
      </c>
      <c r="FI42" s="83">
        <v>0.78</v>
      </c>
      <c r="FJ42" s="83">
        <v>0.78</v>
      </c>
      <c r="FK42" s="83">
        <v>0.78</v>
      </c>
      <c r="FL42" s="83">
        <v>0.78</v>
      </c>
      <c r="FM42" s="83">
        <v>0.78</v>
      </c>
      <c r="FN42" s="83">
        <v>0.78</v>
      </c>
      <c r="FO42" s="83">
        <v>0.78</v>
      </c>
      <c r="FP42" s="83">
        <v>0.78</v>
      </c>
      <c r="FQ42" s="83">
        <v>0.78</v>
      </c>
      <c r="FR42" s="83">
        <v>0.78</v>
      </c>
      <c r="FS42" s="83">
        <v>0.78</v>
      </c>
      <c r="FT42" s="83">
        <v>0.78</v>
      </c>
      <c r="FU42" s="83">
        <v>0.78</v>
      </c>
      <c r="FV42" s="83">
        <v>0.747</v>
      </c>
      <c r="FW42" s="83">
        <v>0.747</v>
      </c>
      <c r="FX42" s="83">
        <v>0.745</v>
      </c>
      <c r="FY42" s="83">
        <v>0.745</v>
      </c>
      <c r="FZ42" s="83">
        <v>0.74</v>
      </c>
      <c r="GA42" s="83">
        <v>0.72</v>
      </c>
      <c r="GB42" s="83">
        <v>0.72</v>
      </c>
      <c r="GC42" s="83">
        <v>0.72</v>
      </c>
      <c r="GD42" s="83">
        <v>0.72</v>
      </c>
      <c r="GE42" s="83">
        <v>0.72</v>
      </c>
      <c r="GF42" s="83">
        <v>0.72</v>
      </c>
      <c r="GG42" s="83">
        <v>0.72</v>
      </c>
      <c r="GH42" s="83">
        <v>0.72</v>
      </c>
      <c r="GI42" s="83">
        <v>0.72</v>
      </c>
      <c r="GJ42" s="83">
        <v>0.72</v>
      </c>
      <c r="GK42" s="83">
        <v>0.72</v>
      </c>
      <c r="GL42" s="81">
        <v>0.72</v>
      </c>
    </row>
    <row r="43" spans="1:194" s="81" customFormat="1">
      <c r="A43" s="84" t="s">
        <v>143</v>
      </c>
      <c r="B43" s="81" t="s">
        <v>144</v>
      </c>
      <c r="C43" s="82" t="s">
        <v>145</v>
      </c>
      <c r="D43" s="83" t="s">
        <v>146</v>
      </c>
      <c r="E43" s="83">
        <v>0.27</v>
      </c>
      <c r="F43" s="83">
        <v>0.27</v>
      </c>
      <c r="G43" s="83">
        <v>0.27</v>
      </c>
      <c r="H43" s="83">
        <v>0.27</v>
      </c>
      <c r="I43" s="83">
        <v>0.27</v>
      </c>
      <c r="J43" s="83">
        <v>0.27</v>
      </c>
      <c r="K43" s="83">
        <v>0.27</v>
      </c>
      <c r="L43" s="83">
        <v>0.27</v>
      </c>
      <c r="M43" s="83">
        <v>0.27</v>
      </c>
      <c r="N43" s="83">
        <v>0.27500000000000002</v>
      </c>
      <c r="O43" s="83">
        <v>0.27</v>
      </c>
      <c r="P43" s="83">
        <v>0.26</v>
      </c>
      <c r="Q43" s="83">
        <v>0.26</v>
      </c>
      <c r="R43" s="83">
        <v>0.25</v>
      </c>
      <c r="S43" s="83">
        <v>0.25</v>
      </c>
      <c r="T43" s="83">
        <v>0.25</v>
      </c>
      <c r="U43" s="83">
        <v>0.25</v>
      </c>
      <c r="V43" s="83">
        <v>0.25</v>
      </c>
      <c r="W43" s="83">
        <v>0.25</v>
      </c>
      <c r="X43" s="83">
        <v>0.25</v>
      </c>
      <c r="Y43" s="83">
        <v>0.23</v>
      </c>
      <c r="Z43" s="83">
        <v>0.22</v>
      </c>
      <c r="AA43" s="82">
        <v>0.215</v>
      </c>
      <c r="AB43" s="82">
        <v>0.20499999999999999</v>
      </c>
      <c r="AC43" s="82">
        <v>0.20200000000000001</v>
      </c>
      <c r="AD43" s="81">
        <v>0.19800000000000001</v>
      </c>
      <c r="AE43" s="81">
        <v>0.19800000000000001</v>
      </c>
      <c r="AF43" s="81">
        <v>0.19800000000000001</v>
      </c>
      <c r="AG43" s="81">
        <v>0.19800000000000001</v>
      </c>
      <c r="AH43" s="81">
        <v>0.19800000000000001</v>
      </c>
      <c r="AI43" s="81">
        <v>0.19800000000000001</v>
      </c>
      <c r="AJ43" s="81">
        <v>0.19800000000000001</v>
      </c>
      <c r="AK43" s="81">
        <v>0.19800000000000001</v>
      </c>
      <c r="AL43" s="82">
        <v>0.19800000000000001</v>
      </c>
      <c r="AM43" s="82">
        <v>0.19800000000000001</v>
      </c>
      <c r="AN43" s="81">
        <v>0.19800000000000001</v>
      </c>
      <c r="AO43" s="81">
        <v>0.19</v>
      </c>
      <c r="AP43" s="81">
        <v>0.18</v>
      </c>
      <c r="AQ43" s="81">
        <v>0.16</v>
      </c>
      <c r="AR43" s="81">
        <v>0.15</v>
      </c>
      <c r="AS43" s="81">
        <v>0.13</v>
      </c>
      <c r="AT43" s="81">
        <v>0.125</v>
      </c>
      <c r="AU43" s="81">
        <v>0.125</v>
      </c>
      <c r="AV43" s="81">
        <v>0.125</v>
      </c>
      <c r="AW43" s="81">
        <v>0.125</v>
      </c>
      <c r="AX43" s="81">
        <v>0.125</v>
      </c>
      <c r="AY43" s="81">
        <v>0.125</v>
      </c>
      <c r="AZ43" s="82">
        <v>0.125</v>
      </c>
      <c r="BA43" s="81">
        <v>0.125</v>
      </c>
      <c r="BB43" s="82">
        <v>0.125</v>
      </c>
      <c r="BC43" s="81">
        <v>0.125</v>
      </c>
      <c r="BD43" s="81">
        <v>0.125</v>
      </c>
      <c r="BE43" s="81">
        <v>0.125</v>
      </c>
      <c r="BF43" s="81">
        <v>0.125</v>
      </c>
      <c r="BG43" s="82">
        <v>0.125</v>
      </c>
      <c r="BH43" s="81">
        <v>0.125</v>
      </c>
      <c r="BI43" s="81">
        <v>0.125</v>
      </c>
      <c r="BJ43" s="81">
        <v>0.125</v>
      </c>
      <c r="BK43" s="81">
        <v>0.125</v>
      </c>
      <c r="BL43" s="81">
        <v>0.125</v>
      </c>
      <c r="BM43" s="81">
        <v>0.125</v>
      </c>
      <c r="BN43" s="81">
        <v>0.125</v>
      </c>
      <c r="BO43" s="81">
        <v>0.128</v>
      </c>
      <c r="BP43" s="81">
        <v>0.128</v>
      </c>
      <c r="BQ43" s="81">
        <v>0.128</v>
      </c>
      <c r="BR43" s="81">
        <v>0.128</v>
      </c>
      <c r="BS43" s="81">
        <v>0.128</v>
      </c>
      <c r="BT43" s="81">
        <v>0.128</v>
      </c>
      <c r="BU43" s="81">
        <v>0.128</v>
      </c>
      <c r="BV43" s="81">
        <v>0.128</v>
      </c>
      <c r="BW43" s="81">
        <v>0.128</v>
      </c>
      <c r="BX43" s="81">
        <v>0.128</v>
      </c>
      <c r="BY43" s="81">
        <v>0.128</v>
      </c>
      <c r="BZ43" s="81">
        <v>0.125</v>
      </c>
      <c r="CA43" s="81">
        <v>0.124</v>
      </c>
      <c r="CB43" s="81">
        <v>0.124</v>
      </c>
      <c r="CC43" s="81">
        <v>0.124</v>
      </c>
      <c r="CD43" s="81">
        <v>0.124</v>
      </c>
      <c r="CE43" s="81">
        <v>0.124</v>
      </c>
      <c r="CF43" s="81">
        <v>0.124</v>
      </c>
      <c r="CG43" s="81">
        <v>0.122</v>
      </c>
      <c r="CH43" s="81">
        <v>0.12</v>
      </c>
      <c r="CI43" s="81">
        <v>0.12</v>
      </c>
      <c r="CJ43" s="81">
        <v>0.12</v>
      </c>
      <c r="CK43" s="81">
        <v>0.12</v>
      </c>
      <c r="CL43" s="81">
        <v>0.12</v>
      </c>
      <c r="CM43" s="81">
        <v>0.115</v>
      </c>
      <c r="CN43" s="81">
        <v>0.11</v>
      </c>
      <c r="CO43" s="81">
        <v>0.11</v>
      </c>
      <c r="CP43" s="81">
        <v>0.11</v>
      </c>
      <c r="CQ43" s="81">
        <v>0.11</v>
      </c>
      <c r="CR43" s="81">
        <v>0.11</v>
      </c>
      <c r="CS43" s="81">
        <v>0.108</v>
      </c>
      <c r="CT43" s="81">
        <v>0.108</v>
      </c>
      <c r="CU43" s="81">
        <v>0.108</v>
      </c>
      <c r="CV43" s="81">
        <v>0.108</v>
      </c>
      <c r="CW43" s="81">
        <v>0.104</v>
      </c>
      <c r="CX43" s="81">
        <v>9.9299999999999999E-2</v>
      </c>
      <c r="CY43" s="81">
        <v>9.4E-2</v>
      </c>
      <c r="CZ43" s="81">
        <v>9.4E-2</v>
      </c>
      <c r="DA43" s="81">
        <v>9.4E-2</v>
      </c>
      <c r="DB43" s="81">
        <v>9.4E-2</v>
      </c>
      <c r="DC43" s="81">
        <v>0.09</v>
      </c>
      <c r="DD43" s="81">
        <v>8.8999999999999996E-2</v>
      </c>
      <c r="DE43" s="81">
        <v>8.8999999999999996E-2</v>
      </c>
      <c r="DF43" s="81">
        <v>9.1999999999999998E-2</v>
      </c>
      <c r="DG43" s="81">
        <v>9.1999999999999998E-2</v>
      </c>
      <c r="DH43" s="81">
        <v>9.1999999999999998E-2</v>
      </c>
      <c r="DI43" s="81">
        <v>9.1999999999999998E-2</v>
      </c>
      <c r="DJ43" s="81">
        <v>9.1999999999999998E-2</v>
      </c>
      <c r="DK43" s="81">
        <v>9.1999999999999998E-2</v>
      </c>
      <c r="DL43" s="81">
        <v>9.1999999999999998E-2</v>
      </c>
      <c r="DM43" s="81">
        <v>9.1999999999999998E-2</v>
      </c>
      <c r="DN43" s="81">
        <v>9.1999999999999998E-2</v>
      </c>
      <c r="DO43" s="81">
        <v>9.1999999999999998E-2</v>
      </c>
      <c r="DP43" s="81">
        <v>9.1999999999999998E-2</v>
      </c>
      <c r="DQ43" s="81">
        <v>9.1999999999999998E-2</v>
      </c>
      <c r="DR43" s="81">
        <v>9.1999999999999998E-2</v>
      </c>
      <c r="DS43" s="81">
        <v>9.1999999999999998E-2</v>
      </c>
      <c r="DT43" s="81">
        <v>9.1999999999999998E-2</v>
      </c>
      <c r="DU43" s="81">
        <v>9.1999999999999998E-2</v>
      </c>
      <c r="DV43" s="81">
        <v>9.1999999999999998E-2</v>
      </c>
      <c r="DW43" s="81">
        <v>9.1999999999999998E-2</v>
      </c>
      <c r="DX43" s="81">
        <v>9.1999999999999998E-2</v>
      </c>
      <c r="DY43" s="81">
        <v>9.1999999999999998E-2</v>
      </c>
      <c r="DZ43" s="81">
        <v>9.1999999999999998E-2</v>
      </c>
      <c r="EA43" s="81">
        <v>9.1999999999999998E-2</v>
      </c>
      <c r="EB43" s="81">
        <v>9.1999999999999998E-2</v>
      </c>
      <c r="EC43" s="81">
        <v>9.1999999999999998E-2</v>
      </c>
      <c r="ED43" s="81">
        <v>9.1999999999999998E-2</v>
      </c>
      <c r="EE43" s="81">
        <v>9.1999999999999998E-2</v>
      </c>
      <c r="EF43" s="81">
        <v>9.1999999999999998E-2</v>
      </c>
      <c r="EG43" s="81">
        <v>9.1999999999999998E-2</v>
      </c>
      <c r="EH43" s="81">
        <v>9.1999999999999998E-2</v>
      </c>
      <c r="EI43" s="81">
        <v>9.1999999999999998E-2</v>
      </c>
      <c r="EJ43" s="81">
        <v>9.1999999999999998E-2</v>
      </c>
      <c r="EK43" s="81">
        <v>9.1999999999999998E-2</v>
      </c>
      <c r="EL43" s="81">
        <v>9.1999999999999998E-2</v>
      </c>
      <c r="EM43" s="81">
        <v>9.1999999999999998E-2</v>
      </c>
      <c r="EN43" s="81">
        <v>9.1999999999999998E-2</v>
      </c>
      <c r="EO43" s="81">
        <v>9.1999999999999998E-2</v>
      </c>
      <c r="EP43" s="81">
        <v>9.1999999999999998E-2</v>
      </c>
      <c r="EQ43" s="81">
        <v>9.1999999999999998E-2</v>
      </c>
      <c r="ER43" s="81">
        <v>9.1999999999999998E-2</v>
      </c>
      <c r="ES43" s="81">
        <v>9.1999999999999998E-2</v>
      </c>
      <c r="ET43" s="81">
        <v>9.1999999999999998E-2</v>
      </c>
      <c r="EU43" s="83">
        <v>9.1999999999999998E-2</v>
      </c>
      <c r="EV43" s="83">
        <v>9.1999999999999998E-2</v>
      </c>
      <c r="EW43" s="83">
        <v>9.1999999999999998E-2</v>
      </c>
      <c r="EX43" s="83">
        <v>0.9</v>
      </c>
      <c r="EY43" s="83">
        <v>8.8999999999999996E-2</v>
      </c>
      <c r="EZ43" s="83">
        <v>8.8999999999999996E-2</v>
      </c>
      <c r="FA43" s="83">
        <v>8.8999999999999996E-2</v>
      </c>
      <c r="FB43" s="83">
        <v>8.8999999999999996E-2</v>
      </c>
      <c r="FC43" s="83">
        <v>8.8999999999999996E-2</v>
      </c>
      <c r="FD43" s="83">
        <v>0.1</v>
      </c>
      <c r="FE43" s="83">
        <v>0.1</v>
      </c>
      <c r="FF43" s="83">
        <v>0.105</v>
      </c>
      <c r="FG43" s="83">
        <v>0.105</v>
      </c>
      <c r="FH43" s="83">
        <v>0.105</v>
      </c>
      <c r="FI43" s="83">
        <v>0.105</v>
      </c>
      <c r="FJ43" s="83">
        <v>0.105</v>
      </c>
      <c r="FK43" s="83">
        <v>0.105</v>
      </c>
      <c r="FL43" s="83">
        <v>0.105</v>
      </c>
      <c r="FM43" s="83">
        <v>0.105</v>
      </c>
      <c r="FN43" s="83">
        <v>0.105</v>
      </c>
      <c r="FO43" s="83">
        <v>0.105</v>
      </c>
      <c r="FP43" s="83">
        <v>0.105</v>
      </c>
      <c r="FQ43" s="83">
        <v>0.105</v>
      </c>
      <c r="FR43" s="83">
        <v>0.105</v>
      </c>
      <c r="FS43" s="83">
        <v>0.105</v>
      </c>
      <c r="FT43" s="83">
        <v>0.105</v>
      </c>
      <c r="FU43" s="83">
        <v>0.105</v>
      </c>
      <c r="FV43" s="83">
        <v>0.105</v>
      </c>
      <c r="FW43" s="83">
        <v>0.105</v>
      </c>
      <c r="FX43" s="83">
        <v>0.105</v>
      </c>
      <c r="FY43" s="83">
        <v>0.105</v>
      </c>
      <c r="FZ43" s="83">
        <v>0.105</v>
      </c>
      <c r="GA43" s="83">
        <v>0.105</v>
      </c>
      <c r="GB43" s="83">
        <v>0.105</v>
      </c>
      <c r="GC43" s="83">
        <v>0.105</v>
      </c>
      <c r="GD43" s="83">
        <v>0.105</v>
      </c>
      <c r="GE43" s="83">
        <v>0.105</v>
      </c>
      <c r="GF43" s="83">
        <v>0.105</v>
      </c>
      <c r="GG43" s="83">
        <v>0.105</v>
      </c>
      <c r="GH43" s="83">
        <v>0.105</v>
      </c>
      <c r="GI43" s="83">
        <v>0.105</v>
      </c>
      <c r="GJ43" s="83">
        <v>0.105</v>
      </c>
      <c r="GK43" s="83">
        <v>0.105</v>
      </c>
      <c r="GL43" s="81">
        <v>0.105</v>
      </c>
    </row>
    <row r="44" spans="1:194" s="81" customFormat="1">
      <c r="A44" s="84" t="s">
        <v>147</v>
      </c>
      <c r="B44" s="81" t="s">
        <v>148</v>
      </c>
      <c r="C44" s="82" t="s">
        <v>145</v>
      </c>
      <c r="D44" s="83" t="s">
        <v>146</v>
      </c>
      <c r="E44" s="83">
        <v>0.26300000000000001</v>
      </c>
      <c r="F44" s="83">
        <v>0.26300000000000001</v>
      </c>
      <c r="G44" s="83">
        <v>0.26300000000000001</v>
      </c>
      <c r="H44" s="83">
        <v>0.26300000000000001</v>
      </c>
      <c r="I44" s="83">
        <v>0.26300000000000001</v>
      </c>
      <c r="J44" s="83">
        <v>0.26300000000000001</v>
      </c>
      <c r="K44" s="83">
        <v>0.26300000000000001</v>
      </c>
      <c r="L44" s="83">
        <v>0.26300000000000001</v>
      </c>
      <c r="M44" s="83">
        <v>0.26300000000000001</v>
      </c>
      <c r="N44" s="83">
        <v>0.26500000000000001</v>
      </c>
      <c r="O44" s="83">
        <v>0.26</v>
      </c>
      <c r="P44" s="83">
        <v>0.26</v>
      </c>
      <c r="Q44" s="83">
        <v>0.26</v>
      </c>
      <c r="R44" s="83">
        <v>0.26</v>
      </c>
      <c r="S44" s="83">
        <v>0.26</v>
      </c>
      <c r="T44" s="83">
        <v>0.26</v>
      </c>
      <c r="U44" s="83">
        <v>0.26</v>
      </c>
      <c r="V44" s="83">
        <v>0.26</v>
      </c>
      <c r="W44" s="83">
        <v>0.26</v>
      </c>
      <c r="X44" s="83">
        <v>0.26</v>
      </c>
      <c r="Y44" s="83">
        <v>0.23499999999999999</v>
      </c>
      <c r="Z44" s="83">
        <v>0.23499999999999999</v>
      </c>
      <c r="AA44" s="82">
        <v>0.23499999999999999</v>
      </c>
      <c r="AB44" s="82">
        <v>0.23</v>
      </c>
      <c r="AC44" s="82">
        <v>0.23</v>
      </c>
      <c r="AD44" s="81">
        <v>0.23</v>
      </c>
      <c r="AE44" s="81">
        <v>0.23</v>
      </c>
      <c r="AF44" s="81">
        <v>0.23</v>
      </c>
      <c r="AG44" s="81">
        <v>0.23</v>
      </c>
      <c r="AH44" s="81">
        <v>0.23</v>
      </c>
      <c r="AI44" s="81">
        <v>0.23</v>
      </c>
      <c r="AJ44" s="81">
        <v>0.23</v>
      </c>
      <c r="AK44" s="81">
        <v>0.23</v>
      </c>
      <c r="AL44" s="82">
        <v>0.23</v>
      </c>
      <c r="AM44" s="82">
        <v>0.23</v>
      </c>
      <c r="AN44" s="81">
        <v>0.23</v>
      </c>
      <c r="AO44" s="81">
        <v>0.22</v>
      </c>
      <c r="AP44" s="81">
        <v>0.22</v>
      </c>
      <c r="AQ44" s="81">
        <v>0.22</v>
      </c>
      <c r="AR44" s="81">
        <v>0.22</v>
      </c>
      <c r="AS44" s="81">
        <v>0.22</v>
      </c>
      <c r="AT44" s="81">
        <v>0.215</v>
      </c>
      <c r="AU44" s="81">
        <v>0.215</v>
      </c>
      <c r="AV44" s="81">
        <v>0.215</v>
      </c>
      <c r="AW44" s="81">
        <v>0.215</v>
      </c>
      <c r="AX44" s="81">
        <v>0.215</v>
      </c>
      <c r="AY44" s="81">
        <v>0.215</v>
      </c>
      <c r="AZ44" s="82">
        <v>0.215</v>
      </c>
      <c r="BA44" s="81">
        <v>0.215</v>
      </c>
      <c r="BB44" s="82">
        <v>0.215</v>
      </c>
      <c r="BC44" s="81">
        <v>0.215</v>
      </c>
      <c r="BD44" s="81">
        <v>0.215</v>
      </c>
      <c r="BE44" s="81">
        <v>0.215</v>
      </c>
      <c r="BF44" s="81">
        <v>0.215</v>
      </c>
      <c r="BG44" s="82">
        <v>0.215</v>
      </c>
      <c r="BH44" s="81">
        <v>0.215</v>
      </c>
      <c r="BI44" s="81">
        <v>0.215</v>
      </c>
      <c r="BJ44" s="81">
        <v>0.215</v>
      </c>
      <c r="BK44" s="81">
        <v>0.215</v>
      </c>
      <c r="BL44" s="81">
        <v>0.215</v>
      </c>
      <c r="BM44" s="81">
        <v>0.215</v>
      </c>
      <c r="BN44" s="81">
        <v>0.215</v>
      </c>
      <c r="BO44" s="81">
        <v>0.215</v>
      </c>
      <c r="BP44" s="81">
        <v>0.215</v>
      </c>
      <c r="BQ44" s="81">
        <v>0.215</v>
      </c>
      <c r="BR44" s="81">
        <v>0.215</v>
      </c>
      <c r="BS44" s="81">
        <v>0.215</v>
      </c>
      <c r="BT44" s="81">
        <v>0.215</v>
      </c>
      <c r="BU44" s="81">
        <v>0.215</v>
      </c>
      <c r="BV44" s="81">
        <v>0.215</v>
      </c>
      <c r="BW44" s="81">
        <v>0.215</v>
      </c>
      <c r="BX44" s="81">
        <v>0.215</v>
      </c>
      <c r="BY44" s="81">
        <v>0.215</v>
      </c>
      <c r="BZ44" s="81">
        <v>0.215</v>
      </c>
      <c r="CA44" s="81">
        <v>0.215</v>
      </c>
      <c r="CB44" s="81">
        <v>0.215</v>
      </c>
      <c r="CC44" s="81">
        <v>0.215</v>
      </c>
      <c r="CD44" s="81">
        <v>0.215</v>
      </c>
      <c r="CE44" s="81">
        <v>0.215</v>
      </c>
      <c r="CF44" s="81">
        <v>0.215</v>
      </c>
      <c r="CG44" s="81">
        <v>0.215</v>
      </c>
      <c r="CH44" s="81">
        <v>0.215</v>
      </c>
      <c r="CI44" s="81">
        <v>0.215</v>
      </c>
      <c r="CJ44" s="81">
        <v>0.215</v>
      </c>
      <c r="CK44" s="81">
        <v>0.215</v>
      </c>
      <c r="CL44" s="81">
        <v>0.215</v>
      </c>
      <c r="CM44" s="81">
        <v>0.215</v>
      </c>
      <c r="CN44" s="81">
        <v>0.215</v>
      </c>
      <c r="CO44" s="81">
        <v>0.215</v>
      </c>
      <c r="CP44" s="81">
        <v>0.215</v>
      </c>
      <c r="CQ44" s="81">
        <v>0.215</v>
      </c>
      <c r="CR44" s="81">
        <v>0.215</v>
      </c>
      <c r="CS44" s="81">
        <v>0.215</v>
      </c>
      <c r="CT44" s="81">
        <v>0.215</v>
      </c>
      <c r="CU44" s="81">
        <v>0.215</v>
      </c>
      <c r="CV44" s="81">
        <v>0.215</v>
      </c>
      <c r="CW44" s="81">
        <v>0.215</v>
      </c>
      <c r="CX44" s="81">
        <v>0.215</v>
      </c>
      <c r="CY44" s="81">
        <v>0.215</v>
      </c>
      <c r="CZ44" s="81">
        <v>0.215</v>
      </c>
      <c r="DA44" s="81">
        <v>0.215</v>
      </c>
      <c r="DB44" s="81">
        <v>0.215</v>
      </c>
      <c r="DC44" s="81">
        <v>0.21</v>
      </c>
      <c r="DD44" s="81">
        <v>0.21</v>
      </c>
      <c r="DE44" s="81">
        <v>0.21</v>
      </c>
      <c r="DF44" s="81">
        <v>0.21</v>
      </c>
      <c r="DG44" s="81">
        <v>0.21</v>
      </c>
      <c r="DH44" s="81">
        <v>0.21</v>
      </c>
      <c r="DI44" s="81">
        <v>0.21</v>
      </c>
      <c r="DJ44" s="81">
        <v>0.21</v>
      </c>
      <c r="DK44" s="81">
        <v>0.21</v>
      </c>
      <c r="DL44" s="81">
        <v>0.21</v>
      </c>
      <c r="DM44" s="81">
        <v>0.21</v>
      </c>
      <c r="DN44" s="81">
        <v>0.21</v>
      </c>
      <c r="DO44" s="81">
        <v>0.21</v>
      </c>
      <c r="DP44" s="81">
        <v>0.21</v>
      </c>
      <c r="DQ44" s="81">
        <v>0.21</v>
      </c>
      <c r="DR44" s="81">
        <v>0.21</v>
      </c>
      <c r="DS44" s="81">
        <v>0.21</v>
      </c>
      <c r="DT44" s="81">
        <v>0.21</v>
      </c>
      <c r="DU44" s="81">
        <v>0.21</v>
      </c>
      <c r="DV44" s="81">
        <v>0.21</v>
      </c>
      <c r="DW44" s="81">
        <v>0.21</v>
      </c>
      <c r="DX44" s="81">
        <v>0.21</v>
      </c>
      <c r="DY44" s="81">
        <v>0.21</v>
      </c>
      <c r="DZ44" s="81">
        <v>0.21</v>
      </c>
      <c r="EA44" s="81">
        <v>0.21</v>
      </c>
      <c r="EB44" s="81">
        <v>0.21</v>
      </c>
      <c r="EC44" s="81">
        <v>0.21</v>
      </c>
      <c r="ED44" s="81">
        <v>0.21</v>
      </c>
      <c r="EE44" s="81">
        <v>0.21</v>
      </c>
      <c r="EF44" s="81">
        <v>0.21</v>
      </c>
      <c r="EG44" s="81">
        <v>0.21</v>
      </c>
      <c r="EH44" s="81">
        <v>0.21</v>
      </c>
      <c r="EI44" s="81">
        <v>0.21</v>
      </c>
      <c r="EJ44" s="81">
        <v>0.21</v>
      </c>
      <c r="EK44" s="81">
        <v>0.21</v>
      </c>
      <c r="EL44" s="81">
        <v>0.21</v>
      </c>
      <c r="EM44" s="81">
        <v>0.21</v>
      </c>
      <c r="EN44" s="81">
        <v>0.21</v>
      </c>
      <c r="EO44" s="81">
        <v>0.21</v>
      </c>
      <c r="EP44" s="81">
        <v>0.21</v>
      </c>
      <c r="EQ44" s="81">
        <v>0.21</v>
      </c>
      <c r="ER44" s="81">
        <v>0.21</v>
      </c>
      <c r="ES44" s="81">
        <v>0.21</v>
      </c>
      <c r="ET44" s="81">
        <v>0.21</v>
      </c>
      <c r="EU44" s="83">
        <v>0.21</v>
      </c>
      <c r="EV44" s="83">
        <v>0.21</v>
      </c>
      <c r="EW44" s="83">
        <v>0.21</v>
      </c>
      <c r="EX44" s="83">
        <v>0.21</v>
      </c>
      <c r="EY44" s="83">
        <v>0.21</v>
      </c>
      <c r="EZ44" s="83">
        <v>0.21</v>
      </c>
      <c r="FA44" s="83">
        <v>0.21</v>
      </c>
      <c r="FB44" s="83">
        <v>0.21</v>
      </c>
      <c r="FC44" s="83">
        <v>0.21</v>
      </c>
      <c r="FD44" s="83">
        <v>0.24840000000000001</v>
      </c>
      <c r="FE44" s="83">
        <v>0.24840000000000001</v>
      </c>
      <c r="FF44" s="83">
        <v>0.24840000000000001</v>
      </c>
      <c r="FG44" s="83">
        <v>0.24840000000000001</v>
      </c>
      <c r="FH44" s="83">
        <v>0.24840000000000001</v>
      </c>
      <c r="FI44" s="83">
        <v>0.24840000000000001</v>
      </c>
      <c r="FJ44" s="83">
        <v>0.24840000000000001</v>
      </c>
      <c r="FK44" s="83">
        <v>0.24840000000000001</v>
      </c>
      <c r="FL44" s="83">
        <v>0.24840000000000001</v>
      </c>
      <c r="FM44" s="83">
        <v>0.24840000000000001</v>
      </c>
      <c r="FN44" s="83">
        <v>0.24840000000000001</v>
      </c>
      <c r="FO44" s="83">
        <v>0.24840000000000001</v>
      </c>
      <c r="FP44" s="83">
        <v>0.24840000000000001</v>
      </c>
      <c r="FQ44" s="83">
        <v>0.24840000000000001</v>
      </c>
      <c r="FR44" s="83">
        <v>0.24840000000000001</v>
      </c>
      <c r="FS44" s="83">
        <v>0.24840000000000001</v>
      </c>
      <c r="FT44" s="83">
        <v>0.24840000000000001</v>
      </c>
      <c r="FU44" s="83">
        <v>0.24840000000000001</v>
      </c>
      <c r="FV44" s="83">
        <v>0.24840000000000001</v>
      </c>
      <c r="FW44" s="83">
        <v>0.24840000000000001</v>
      </c>
      <c r="FX44" s="83">
        <v>0.24840000000000001</v>
      </c>
      <c r="FY44" s="83">
        <v>0.24840000000000001</v>
      </c>
      <c r="FZ44" s="83">
        <v>0.24840000000000001</v>
      </c>
      <c r="GA44" s="83">
        <v>0.24840000000000001</v>
      </c>
      <c r="GB44" s="83">
        <v>0.24840000000000001</v>
      </c>
      <c r="GC44" s="83">
        <v>0.24840000000000001</v>
      </c>
      <c r="GD44" s="83">
        <v>0.24840000000000001</v>
      </c>
      <c r="GE44" s="83">
        <v>0.24840000000000001</v>
      </c>
      <c r="GF44" s="83">
        <v>0.24840000000000001</v>
      </c>
      <c r="GG44" s="83">
        <v>0.24840000000000001</v>
      </c>
      <c r="GH44" s="83">
        <v>0.24840000000000001</v>
      </c>
      <c r="GI44" s="83">
        <v>0.24840000000000001</v>
      </c>
      <c r="GJ44" s="83">
        <v>0.24840000000000001</v>
      </c>
      <c r="GK44" s="83">
        <v>0.24840000000000001</v>
      </c>
      <c r="GL44" s="81">
        <v>0.24840000000000001</v>
      </c>
    </row>
    <row r="45" spans="1:194" s="81" customFormat="1">
      <c r="A45" s="84" t="s">
        <v>149</v>
      </c>
      <c r="B45" s="81" t="s">
        <v>150</v>
      </c>
      <c r="C45" s="82" t="s">
        <v>145</v>
      </c>
      <c r="D45" s="83" t="s">
        <v>146</v>
      </c>
      <c r="E45" s="83">
        <v>0.32800000000000001</v>
      </c>
      <c r="F45" s="83">
        <v>0.32800000000000001</v>
      </c>
      <c r="G45" s="83">
        <v>0.32800000000000001</v>
      </c>
      <c r="H45" s="83">
        <v>0.32800000000000001</v>
      </c>
      <c r="I45" s="83">
        <v>0.32800000000000001</v>
      </c>
      <c r="J45" s="83">
        <v>0.32800000000000001</v>
      </c>
      <c r="K45" s="83">
        <v>0.32800000000000001</v>
      </c>
      <c r="L45" s="83">
        <v>0.32800000000000001</v>
      </c>
      <c r="M45" s="83">
        <v>0.32800000000000001</v>
      </c>
      <c r="N45" s="83">
        <v>0.33</v>
      </c>
      <c r="O45" s="83">
        <v>0.33</v>
      </c>
      <c r="P45" s="83">
        <v>0.33</v>
      </c>
      <c r="Q45" s="83">
        <v>0.33</v>
      </c>
      <c r="R45" s="83">
        <v>0.33</v>
      </c>
      <c r="S45" s="83">
        <v>0.33</v>
      </c>
      <c r="T45" s="83">
        <v>0.33</v>
      </c>
      <c r="U45" s="83">
        <v>0.33</v>
      </c>
      <c r="V45" s="83">
        <v>0.33</v>
      </c>
      <c r="W45" s="83">
        <v>0.33</v>
      </c>
      <c r="X45" s="83">
        <v>0.33</v>
      </c>
      <c r="Y45" s="83">
        <v>0.33</v>
      </c>
      <c r="Z45" s="83">
        <v>0.33</v>
      </c>
      <c r="AA45" s="82">
        <v>0.33</v>
      </c>
      <c r="AB45" s="82">
        <v>0.33</v>
      </c>
      <c r="AC45" s="82">
        <v>0.33</v>
      </c>
      <c r="AD45" s="81">
        <v>0.33</v>
      </c>
      <c r="AE45" s="81">
        <v>0.33</v>
      </c>
      <c r="AF45" s="81">
        <v>0.33</v>
      </c>
      <c r="AG45" s="81">
        <v>0.33</v>
      </c>
      <c r="AH45" s="81">
        <v>0.33</v>
      </c>
      <c r="AI45" s="81">
        <v>0.33</v>
      </c>
      <c r="AJ45" s="81">
        <v>0.33</v>
      </c>
      <c r="AK45" s="81">
        <v>0.33</v>
      </c>
      <c r="AL45" s="82">
        <v>0.33</v>
      </c>
      <c r="AM45" s="82">
        <v>0.33</v>
      </c>
      <c r="AN45" s="81">
        <v>0.33</v>
      </c>
      <c r="AO45" s="81">
        <v>0.33</v>
      </c>
      <c r="AP45" s="81">
        <v>0.33</v>
      </c>
      <c r="AQ45" s="81">
        <v>0.33</v>
      </c>
      <c r="AR45" s="81">
        <v>0.33</v>
      </c>
      <c r="AS45" s="81">
        <v>0.33</v>
      </c>
      <c r="AT45" s="81">
        <v>0.33</v>
      </c>
      <c r="AU45" s="81">
        <v>0.33</v>
      </c>
      <c r="AV45" s="81">
        <v>0.33</v>
      </c>
      <c r="AW45" s="81">
        <v>0.33</v>
      </c>
      <c r="AX45" s="81">
        <v>0.33</v>
      </c>
      <c r="AY45" s="81">
        <v>0.33</v>
      </c>
      <c r="AZ45" s="82">
        <v>0.33</v>
      </c>
      <c r="BA45" s="81">
        <v>0.33</v>
      </c>
      <c r="BB45" s="82">
        <v>0.33</v>
      </c>
      <c r="BC45" s="81">
        <v>0.33</v>
      </c>
      <c r="BD45" s="81">
        <v>0.33</v>
      </c>
      <c r="BE45" s="81">
        <v>0.33</v>
      </c>
      <c r="BF45" s="81">
        <v>0.33</v>
      </c>
      <c r="BG45" s="82">
        <v>0.33</v>
      </c>
      <c r="BH45" s="81">
        <v>0.33</v>
      </c>
      <c r="BI45" s="81">
        <v>0.33</v>
      </c>
      <c r="BJ45" s="81">
        <v>0.33</v>
      </c>
      <c r="BK45" s="81">
        <v>0.33</v>
      </c>
      <c r="BL45" s="81">
        <v>0.33</v>
      </c>
      <c r="BM45" s="81">
        <v>0.33</v>
      </c>
      <c r="BN45" s="81">
        <v>0.33</v>
      </c>
      <c r="BO45" s="81">
        <v>0.33</v>
      </c>
      <c r="BP45" s="81">
        <v>0.33</v>
      </c>
      <c r="BQ45" s="81">
        <v>0.33</v>
      </c>
      <c r="BR45" s="81">
        <v>0.33</v>
      </c>
      <c r="BS45" s="81">
        <v>0.33</v>
      </c>
      <c r="BT45" s="81">
        <v>0.33</v>
      </c>
      <c r="BU45" s="81">
        <v>0.33</v>
      </c>
      <c r="BV45" s="81">
        <v>0.33</v>
      </c>
      <c r="BW45" s="81">
        <v>0.33</v>
      </c>
      <c r="BX45" s="81">
        <v>0.33</v>
      </c>
      <c r="BY45" s="81">
        <v>0.33</v>
      </c>
      <c r="BZ45" s="81">
        <v>0.33</v>
      </c>
      <c r="CA45" s="81">
        <v>0.33</v>
      </c>
      <c r="CB45" s="81">
        <v>0.33</v>
      </c>
      <c r="CC45" s="81">
        <v>0.33</v>
      </c>
      <c r="CD45" s="81">
        <v>0.33</v>
      </c>
      <c r="CE45" s="81">
        <v>0.33</v>
      </c>
      <c r="CF45" s="81">
        <v>0.33</v>
      </c>
      <c r="CG45" s="81">
        <v>0.33</v>
      </c>
      <c r="CH45" s="81">
        <v>0.33</v>
      </c>
      <c r="CI45" s="81">
        <v>0.33</v>
      </c>
      <c r="CJ45" s="81">
        <v>0.33</v>
      </c>
      <c r="CK45" s="81">
        <v>0.33</v>
      </c>
      <c r="CL45" s="81">
        <v>0.33</v>
      </c>
      <c r="CM45" s="81">
        <v>0.33</v>
      </c>
      <c r="CN45" s="81">
        <v>0.33</v>
      </c>
      <c r="CO45" s="81">
        <v>0.33</v>
      </c>
      <c r="CP45" s="81">
        <v>0.33</v>
      </c>
      <c r="CQ45" s="81">
        <v>0.31</v>
      </c>
      <c r="CR45" s="81">
        <v>0.31</v>
      </c>
      <c r="CS45" s="81">
        <v>0.31</v>
      </c>
      <c r="CT45" s="81">
        <v>0.31</v>
      </c>
      <c r="CU45" s="81">
        <v>0.3</v>
      </c>
      <c r="CV45" s="81">
        <v>0.28000000000000003</v>
      </c>
      <c r="CW45" s="81">
        <v>0.27</v>
      </c>
      <c r="CX45" s="81">
        <v>0.26500000000000001</v>
      </c>
      <c r="CY45" s="81">
        <v>0.26500000000000001</v>
      </c>
      <c r="CZ45" s="81">
        <v>0.26500000000000001</v>
      </c>
      <c r="DA45" s="81">
        <v>0.26500000000000001</v>
      </c>
      <c r="DB45" s="81">
        <v>0.26500000000000001</v>
      </c>
      <c r="DC45" s="81">
        <v>0.26500000000000001</v>
      </c>
      <c r="DD45" s="81">
        <v>0.26500000000000001</v>
      </c>
      <c r="DE45" s="81">
        <v>0.26500000000000001</v>
      </c>
      <c r="DF45" s="81">
        <v>0.26500000000000001</v>
      </c>
      <c r="DG45" s="81">
        <v>0.26500000000000001</v>
      </c>
      <c r="DH45" s="81">
        <v>0.26500000000000001</v>
      </c>
      <c r="DI45" s="81">
        <v>0.26500000000000001</v>
      </c>
      <c r="DJ45" s="81">
        <v>0.26500000000000001</v>
      </c>
      <c r="DK45" s="81">
        <v>0.26500000000000001</v>
      </c>
      <c r="DL45" s="81">
        <v>0.26500000000000001</v>
      </c>
      <c r="DM45" s="81">
        <v>0.26500000000000001</v>
      </c>
      <c r="DN45" s="81">
        <v>0.26500000000000001</v>
      </c>
      <c r="DO45" s="81">
        <v>0.26500000000000001</v>
      </c>
      <c r="DP45" s="81">
        <v>0.26500000000000001</v>
      </c>
      <c r="DQ45" s="81">
        <v>0.26500000000000001</v>
      </c>
      <c r="DR45" s="81">
        <v>0.26500000000000001</v>
      </c>
      <c r="DS45" s="81">
        <v>0.26500000000000001</v>
      </c>
      <c r="DT45" s="81">
        <v>0.26500000000000001</v>
      </c>
      <c r="DU45" s="81">
        <v>0.26500000000000001</v>
      </c>
      <c r="DV45" s="81">
        <v>0.26500000000000001</v>
      </c>
      <c r="DW45" s="81">
        <v>0.26500000000000001</v>
      </c>
      <c r="DX45" s="81">
        <v>0.26500000000000001</v>
      </c>
      <c r="DY45" s="81">
        <v>0.26500000000000001</v>
      </c>
      <c r="DZ45" s="81">
        <v>0.26500000000000001</v>
      </c>
      <c r="EA45" s="81">
        <v>0.26500000000000001</v>
      </c>
      <c r="EB45" s="81">
        <v>0.26500000000000001</v>
      </c>
      <c r="EC45" s="81">
        <v>0.26500000000000001</v>
      </c>
      <c r="ED45" s="81">
        <v>0.26500000000000001</v>
      </c>
      <c r="EE45" s="81">
        <v>0.26500000000000001</v>
      </c>
      <c r="EF45" s="81">
        <v>0.26500000000000001</v>
      </c>
      <c r="EG45" s="81">
        <v>0.26500000000000001</v>
      </c>
      <c r="EH45" s="81">
        <v>0.26500000000000001</v>
      </c>
      <c r="EI45" s="81">
        <v>0.26500000000000001</v>
      </c>
      <c r="EJ45" s="81">
        <v>0.26500000000000001</v>
      </c>
      <c r="EK45" s="81">
        <v>0.26500000000000001</v>
      </c>
      <c r="EL45" s="81">
        <v>0.26500000000000001</v>
      </c>
      <c r="EM45" s="81">
        <v>0.26500000000000001</v>
      </c>
      <c r="EN45" s="81">
        <v>0.26500000000000001</v>
      </c>
      <c r="EO45" s="81">
        <v>0.26500000000000001</v>
      </c>
      <c r="EP45" s="81">
        <v>0.26500000000000001</v>
      </c>
      <c r="EQ45" s="81">
        <v>0.26500000000000001</v>
      </c>
      <c r="ER45" s="81">
        <v>0.26500000000000001</v>
      </c>
      <c r="ES45" s="81">
        <v>0.26500000000000001</v>
      </c>
      <c r="ET45" s="81">
        <v>0.26500000000000001</v>
      </c>
      <c r="EU45" s="83">
        <v>0.26500000000000001</v>
      </c>
      <c r="EV45" s="83">
        <v>0.26500000000000001</v>
      </c>
      <c r="EW45" s="83">
        <v>0.26500000000000001</v>
      </c>
      <c r="EX45" s="83">
        <v>0.26500000000000001</v>
      </c>
      <c r="EY45" s="83">
        <v>0.26500000000000001</v>
      </c>
      <c r="EZ45" s="83">
        <v>0.26500000000000001</v>
      </c>
      <c r="FA45" s="83">
        <v>0.26500000000000001</v>
      </c>
      <c r="FB45" s="83">
        <v>0.26500000000000001</v>
      </c>
      <c r="FC45" s="83">
        <v>0.26500000000000001</v>
      </c>
      <c r="FD45" s="83">
        <v>0.315</v>
      </c>
      <c r="FE45" s="83">
        <v>0.315</v>
      </c>
      <c r="FF45" s="83">
        <v>0.315</v>
      </c>
      <c r="FG45" s="83">
        <v>0.315</v>
      </c>
      <c r="FH45" s="83">
        <v>0.315</v>
      </c>
      <c r="FI45" s="83">
        <v>0.315</v>
      </c>
      <c r="FJ45" s="83">
        <v>0.315</v>
      </c>
      <c r="FK45" s="83">
        <v>0.315</v>
      </c>
      <c r="FL45" s="83">
        <v>0.315</v>
      </c>
      <c r="FM45" s="83">
        <v>0.315</v>
      </c>
      <c r="FN45" s="83">
        <v>0.315</v>
      </c>
      <c r="FO45" s="83">
        <v>0.315</v>
      </c>
      <c r="FP45" s="83">
        <v>0.315</v>
      </c>
      <c r="FQ45" s="83">
        <v>0.315</v>
      </c>
      <c r="FR45" s="83">
        <v>0.315</v>
      </c>
      <c r="FS45" s="83">
        <v>0.315</v>
      </c>
      <c r="FT45" s="83">
        <v>0.315</v>
      </c>
      <c r="FU45" s="83">
        <v>0.315</v>
      </c>
      <c r="FV45" s="83">
        <v>0.315</v>
      </c>
      <c r="FW45" s="83">
        <v>0.315</v>
      </c>
      <c r="FX45" s="83">
        <v>0.315</v>
      </c>
      <c r="FY45" s="83">
        <v>0.315</v>
      </c>
      <c r="FZ45" s="83">
        <v>0.315</v>
      </c>
      <c r="GA45" s="83">
        <v>0.315</v>
      </c>
      <c r="GB45" s="83">
        <v>0.315</v>
      </c>
      <c r="GC45" s="83">
        <v>0.315</v>
      </c>
      <c r="GD45" s="83">
        <v>0.315</v>
      </c>
      <c r="GE45" s="83">
        <v>0.315</v>
      </c>
      <c r="GF45" s="83">
        <v>0.315</v>
      </c>
      <c r="GG45" s="83">
        <v>0.315</v>
      </c>
      <c r="GH45" s="83">
        <v>0.315</v>
      </c>
      <c r="GI45" s="83">
        <v>0.315</v>
      </c>
      <c r="GJ45" s="83">
        <v>0.315</v>
      </c>
      <c r="GK45" s="83">
        <v>0.315</v>
      </c>
      <c r="GL45" s="81">
        <v>0.315</v>
      </c>
    </row>
    <row r="46" spans="1:194" s="81" customFormat="1">
      <c r="A46" s="84" t="s">
        <v>151</v>
      </c>
      <c r="B46" s="81" t="s">
        <v>152</v>
      </c>
      <c r="C46" s="83" t="s">
        <v>153</v>
      </c>
      <c r="D46" s="83" t="s">
        <v>154</v>
      </c>
      <c r="E46" s="83">
        <v>27.5</v>
      </c>
      <c r="F46" s="83">
        <v>26.5</v>
      </c>
      <c r="G46" s="83">
        <v>26.5</v>
      </c>
      <c r="H46" s="83">
        <v>26.5</v>
      </c>
      <c r="I46" s="83">
        <v>26.5</v>
      </c>
      <c r="J46" s="83">
        <v>26.5</v>
      </c>
      <c r="K46" s="83">
        <v>26.5</v>
      </c>
      <c r="L46" s="83">
        <v>26.5</v>
      </c>
      <c r="M46" s="83">
        <v>26.5</v>
      </c>
      <c r="N46" s="83">
        <v>27</v>
      </c>
      <c r="O46" s="83">
        <v>25</v>
      </c>
      <c r="P46" s="83">
        <v>25</v>
      </c>
      <c r="Q46" s="83">
        <v>25</v>
      </c>
      <c r="R46" s="83">
        <v>25</v>
      </c>
      <c r="S46" s="83">
        <v>25</v>
      </c>
      <c r="T46" s="83">
        <v>25</v>
      </c>
      <c r="U46" s="83">
        <v>25</v>
      </c>
      <c r="V46" s="83">
        <v>25</v>
      </c>
      <c r="W46" s="83">
        <v>25</v>
      </c>
      <c r="X46" s="83">
        <v>25</v>
      </c>
      <c r="Y46" s="83">
        <v>25</v>
      </c>
      <c r="Z46" s="83">
        <v>25</v>
      </c>
      <c r="AA46" s="82">
        <v>25</v>
      </c>
      <c r="AB46" s="82">
        <v>25</v>
      </c>
      <c r="AC46" s="82">
        <v>25</v>
      </c>
      <c r="AD46" s="81">
        <v>25</v>
      </c>
      <c r="AE46" s="81">
        <v>25</v>
      </c>
      <c r="AF46" s="81">
        <v>25</v>
      </c>
      <c r="AG46" s="81">
        <v>25</v>
      </c>
      <c r="AH46" s="81">
        <v>25.5</v>
      </c>
      <c r="AI46" s="81">
        <v>25.5</v>
      </c>
      <c r="AJ46" s="81">
        <v>25.5</v>
      </c>
      <c r="AK46" s="81">
        <v>25.5</v>
      </c>
      <c r="AL46" s="82">
        <v>28</v>
      </c>
      <c r="AM46" s="82">
        <v>28</v>
      </c>
      <c r="AN46" s="81">
        <v>28</v>
      </c>
      <c r="AO46" s="81">
        <v>28</v>
      </c>
      <c r="AP46" s="81">
        <v>28</v>
      </c>
      <c r="AQ46" s="81">
        <v>28</v>
      </c>
      <c r="AR46" s="81">
        <v>28</v>
      </c>
      <c r="AS46" s="81">
        <v>28</v>
      </c>
      <c r="AT46" s="81">
        <v>28</v>
      </c>
      <c r="AU46" s="81">
        <v>28</v>
      </c>
      <c r="AV46" s="81">
        <v>28</v>
      </c>
      <c r="AW46" s="81">
        <v>28</v>
      </c>
      <c r="AX46" s="81">
        <v>28</v>
      </c>
      <c r="AY46" s="81">
        <v>28</v>
      </c>
      <c r="AZ46" s="82">
        <v>28</v>
      </c>
      <c r="BA46" s="81">
        <v>28</v>
      </c>
      <c r="BB46" s="82">
        <v>28</v>
      </c>
      <c r="BC46" s="81">
        <v>28</v>
      </c>
      <c r="BD46" s="81">
        <v>28</v>
      </c>
      <c r="BE46" s="81">
        <v>28</v>
      </c>
      <c r="BF46" s="81">
        <v>28</v>
      </c>
      <c r="BG46" s="82">
        <v>28</v>
      </c>
      <c r="BH46" s="81">
        <v>28</v>
      </c>
      <c r="BI46" s="81">
        <v>28</v>
      </c>
      <c r="BJ46" s="81">
        <v>28</v>
      </c>
      <c r="BK46" s="81">
        <v>25.5</v>
      </c>
      <c r="BL46" s="81">
        <v>25.5</v>
      </c>
      <c r="BM46" s="81">
        <v>25.5</v>
      </c>
      <c r="BN46" s="81">
        <v>25.5</v>
      </c>
      <c r="BO46" s="81">
        <v>25.5</v>
      </c>
      <c r="BP46" s="81">
        <v>26</v>
      </c>
      <c r="BQ46" s="81">
        <v>26</v>
      </c>
      <c r="BR46" s="81">
        <v>26</v>
      </c>
      <c r="BS46" s="81">
        <v>26</v>
      </c>
      <c r="BT46" s="81">
        <v>26</v>
      </c>
      <c r="BU46" s="81">
        <v>26</v>
      </c>
      <c r="BV46" s="81">
        <v>26</v>
      </c>
      <c r="BW46" s="81">
        <v>26</v>
      </c>
      <c r="BX46" s="81">
        <v>26</v>
      </c>
      <c r="BY46" s="81">
        <v>26</v>
      </c>
      <c r="BZ46" s="81">
        <v>26</v>
      </c>
      <c r="CA46" s="81">
        <v>26</v>
      </c>
      <c r="CB46" s="81">
        <v>26</v>
      </c>
      <c r="CC46" s="81">
        <v>26</v>
      </c>
      <c r="CD46" s="81">
        <v>25.5</v>
      </c>
      <c r="CE46" s="81">
        <v>25.5</v>
      </c>
      <c r="CF46" s="81">
        <v>25.5</v>
      </c>
      <c r="CG46" s="81">
        <v>25.5</v>
      </c>
      <c r="CH46" s="81">
        <v>25.5</v>
      </c>
      <c r="CI46" s="81">
        <v>25.5</v>
      </c>
      <c r="CJ46" s="81">
        <v>24</v>
      </c>
      <c r="CK46" s="81">
        <v>24</v>
      </c>
      <c r="CL46" s="81">
        <v>24</v>
      </c>
      <c r="CM46" s="81">
        <v>23</v>
      </c>
      <c r="CN46" s="81">
        <v>22</v>
      </c>
      <c r="CO46" s="81">
        <v>22</v>
      </c>
      <c r="CP46" s="81">
        <v>22</v>
      </c>
      <c r="CQ46" s="81">
        <v>22</v>
      </c>
      <c r="CR46" s="81">
        <v>22</v>
      </c>
      <c r="CS46" s="81">
        <v>22</v>
      </c>
      <c r="CT46" s="81">
        <v>22</v>
      </c>
      <c r="CU46" s="81">
        <v>22</v>
      </c>
      <c r="CV46" s="81">
        <v>22</v>
      </c>
      <c r="CW46" s="81">
        <v>22</v>
      </c>
      <c r="CX46" s="81">
        <v>21.5</v>
      </c>
      <c r="CY46" s="81">
        <v>21.5</v>
      </c>
      <c r="CZ46" s="81">
        <v>19.5</v>
      </c>
      <c r="DA46" s="81">
        <v>19.5</v>
      </c>
      <c r="DB46" s="81">
        <v>19.5</v>
      </c>
      <c r="DC46" s="81">
        <v>19.5</v>
      </c>
      <c r="DD46" s="81">
        <v>19.5</v>
      </c>
      <c r="DE46" s="81">
        <v>19.5</v>
      </c>
      <c r="DF46" s="81">
        <v>19.5</v>
      </c>
      <c r="DG46" s="81">
        <v>19.5</v>
      </c>
      <c r="DH46" s="81">
        <v>19.5</v>
      </c>
      <c r="DI46" s="81">
        <v>20</v>
      </c>
      <c r="DJ46" s="81">
        <v>20</v>
      </c>
      <c r="DK46" s="81">
        <v>20</v>
      </c>
      <c r="DL46" s="81">
        <v>23</v>
      </c>
      <c r="DM46" s="81">
        <v>23</v>
      </c>
      <c r="DN46" s="81">
        <v>23.5</v>
      </c>
      <c r="DO46" s="81">
        <v>23.5</v>
      </c>
      <c r="DP46" s="81">
        <v>23.5</v>
      </c>
      <c r="DQ46" s="81">
        <v>23.5</v>
      </c>
      <c r="DR46" s="81">
        <v>23.5</v>
      </c>
      <c r="DS46" s="81">
        <v>23.5</v>
      </c>
      <c r="DT46" s="81">
        <v>23</v>
      </c>
      <c r="DU46" s="81">
        <v>23</v>
      </c>
      <c r="DV46" s="81">
        <v>22.5</v>
      </c>
      <c r="DW46" s="81">
        <v>22.5</v>
      </c>
      <c r="DX46" s="81">
        <v>22.5</v>
      </c>
      <c r="DY46" s="81">
        <v>22.5</v>
      </c>
      <c r="DZ46" s="81">
        <v>22.5</v>
      </c>
      <c r="EA46" s="81">
        <v>22.5</v>
      </c>
      <c r="EB46" s="81">
        <v>20</v>
      </c>
      <c r="EC46" s="81">
        <v>20</v>
      </c>
      <c r="ED46" s="81">
        <v>20</v>
      </c>
      <c r="EE46" s="81">
        <v>20</v>
      </c>
      <c r="EF46" s="81">
        <v>20</v>
      </c>
      <c r="EG46" s="81">
        <v>20</v>
      </c>
      <c r="EH46" s="81">
        <v>20</v>
      </c>
      <c r="EI46" s="81">
        <v>20</v>
      </c>
      <c r="EJ46" s="81">
        <v>20</v>
      </c>
      <c r="EK46" s="81">
        <v>20</v>
      </c>
      <c r="EL46" s="81">
        <v>20</v>
      </c>
      <c r="EM46" s="81">
        <v>20</v>
      </c>
      <c r="EN46" s="81">
        <v>20</v>
      </c>
      <c r="EO46" s="81">
        <v>20</v>
      </c>
      <c r="EP46" s="81">
        <v>20</v>
      </c>
      <c r="EQ46" s="81">
        <v>20</v>
      </c>
      <c r="ER46" s="81">
        <v>20</v>
      </c>
      <c r="ES46" s="81">
        <v>20</v>
      </c>
      <c r="ET46" s="83">
        <v>20</v>
      </c>
      <c r="EU46" s="83">
        <v>20</v>
      </c>
      <c r="EV46" s="83">
        <v>20</v>
      </c>
      <c r="EW46" s="83">
        <v>20</v>
      </c>
      <c r="EX46" s="83">
        <v>20</v>
      </c>
      <c r="EY46" s="83">
        <v>20</v>
      </c>
      <c r="EZ46" s="83">
        <v>20</v>
      </c>
      <c r="FA46" s="83">
        <v>20</v>
      </c>
      <c r="FB46" s="83">
        <v>20</v>
      </c>
      <c r="FC46" s="83">
        <v>20</v>
      </c>
      <c r="FD46" s="83">
        <v>20</v>
      </c>
      <c r="FE46" s="83">
        <v>20</v>
      </c>
      <c r="FF46" s="83">
        <v>20</v>
      </c>
      <c r="FG46" s="83">
        <v>20</v>
      </c>
      <c r="FH46" s="83">
        <v>20</v>
      </c>
      <c r="FI46" s="83">
        <v>20</v>
      </c>
      <c r="FJ46" s="83">
        <v>20</v>
      </c>
      <c r="FK46" s="83">
        <v>20</v>
      </c>
      <c r="FL46" s="83">
        <v>19.5</v>
      </c>
      <c r="FM46" s="83">
        <v>19.5</v>
      </c>
      <c r="FN46" s="83">
        <v>19.5</v>
      </c>
      <c r="FO46" s="83">
        <v>19.5</v>
      </c>
      <c r="FP46" s="83">
        <v>19.5</v>
      </c>
      <c r="FQ46" s="83">
        <v>18.5</v>
      </c>
      <c r="FR46" s="83">
        <v>18.5</v>
      </c>
      <c r="FS46" s="83">
        <v>18.5</v>
      </c>
      <c r="FT46" s="83">
        <v>18.5</v>
      </c>
      <c r="FU46" s="83">
        <v>18.5</v>
      </c>
      <c r="FV46" s="83">
        <v>18.5</v>
      </c>
      <c r="FW46" s="83">
        <v>18.5</v>
      </c>
      <c r="FX46" s="83">
        <v>18.5</v>
      </c>
      <c r="FY46" s="83">
        <v>18.5</v>
      </c>
      <c r="FZ46" s="83">
        <v>18.5</v>
      </c>
      <c r="GA46" s="83">
        <v>18.5</v>
      </c>
      <c r="GB46" s="83">
        <v>18.5</v>
      </c>
      <c r="GC46" s="83">
        <v>18.5</v>
      </c>
      <c r="GD46" s="83">
        <v>18.5</v>
      </c>
      <c r="GE46" s="83">
        <v>18.5</v>
      </c>
      <c r="GF46" s="83">
        <v>18.5</v>
      </c>
      <c r="GG46" s="83">
        <v>18.5</v>
      </c>
      <c r="GH46" s="83">
        <v>18.5</v>
      </c>
      <c r="GI46" s="83">
        <v>18.5</v>
      </c>
      <c r="GJ46" s="83">
        <v>18.5</v>
      </c>
      <c r="GK46" s="83">
        <v>18.5</v>
      </c>
      <c r="GL46" s="81">
        <v>18.5</v>
      </c>
    </row>
    <row r="47" spans="1:194" s="81" customFormat="1">
      <c r="A47" s="84" t="s">
        <v>155</v>
      </c>
      <c r="B47" s="81" t="s">
        <v>152</v>
      </c>
      <c r="C47" s="83" t="s">
        <v>156</v>
      </c>
      <c r="D47" s="83" t="s">
        <v>154</v>
      </c>
      <c r="E47" s="83">
        <v>21</v>
      </c>
      <c r="F47" s="83">
        <v>20</v>
      </c>
      <c r="G47" s="83">
        <v>20</v>
      </c>
      <c r="H47" s="83">
        <v>20</v>
      </c>
      <c r="I47" s="83">
        <v>20</v>
      </c>
      <c r="J47" s="83">
        <v>20</v>
      </c>
      <c r="K47" s="83">
        <v>20</v>
      </c>
      <c r="L47" s="83">
        <v>20</v>
      </c>
      <c r="M47" s="83">
        <v>20</v>
      </c>
      <c r="N47" s="83">
        <v>20</v>
      </c>
      <c r="O47" s="83">
        <v>18.5</v>
      </c>
      <c r="P47" s="83">
        <v>18.5</v>
      </c>
      <c r="Q47" s="83">
        <v>18.5</v>
      </c>
      <c r="R47" s="83">
        <v>18.5</v>
      </c>
      <c r="S47" s="83">
        <v>18.5</v>
      </c>
      <c r="T47" s="83">
        <v>18.5</v>
      </c>
      <c r="U47" s="83">
        <v>18.5</v>
      </c>
      <c r="V47" s="83">
        <v>18.5</v>
      </c>
      <c r="W47" s="83">
        <v>18.5</v>
      </c>
      <c r="X47" s="83">
        <v>18.5</v>
      </c>
      <c r="Y47" s="83">
        <v>18.5</v>
      </c>
      <c r="Z47" s="83">
        <v>18.5</v>
      </c>
      <c r="AA47" s="82">
        <v>18.5</v>
      </c>
      <c r="AB47" s="82">
        <v>18.5</v>
      </c>
      <c r="AC47" s="82">
        <v>18.5</v>
      </c>
      <c r="AD47" s="81">
        <v>18.5</v>
      </c>
      <c r="AE47" s="81">
        <v>18.5</v>
      </c>
      <c r="AF47" s="81">
        <v>18.5</v>
      </c>
      <c r="AG47" s="81">
        <v>18.5</v>
      </c>
      <c r="AH47" s="81">
        <v>18.5</v>
      </c>
      <c r="AI47" s="81">
        <v>18.5</v>
      </c>
      <c r="AJ47" s="81">
        <v>18.5</v>
      </c>
      <c r="AK47" s="81">
        <v>18.5</v>
      </c>
      <c r="AL47" s="82">
        <v>20</v>
      </c>
      <c r="AM47" s="82">
        <v>20</v>
      </c>
      <c r="AN47" s="81">
        <v>20</v>
      </c>
      <c r="AO47" s="81">
        <v>20</v>
      </c>
      <c r="AP47" s="81">
        <v>20</v>
      </c>
      <c r="AQ47" s="81">
        <v>20</v>
      </c>
      <c r="AR47" s="81">
        <v>20</v>
      </c>
      <c r="AS47" s="81">
        <v>20</v>
      </c>
      <c r="AT47" s="81">
        <v>20</v>
      </c>
      <c r="AU47" s="81">
        <v>20</v>
      </c>
      <c r="AV47" s="81">
        <v>20</v>
      </c>
      <c r="AW47" s="81">
        <v>20</v>
      </c>
      <c r="AX47" s="81">
        <v>20</v>
      </c>
      <c r="AY47" s="81">
        <v>20</v>
      </c>
      <c r="AZ47" s="82">
        <v>20</v>
      </c>
      <c r="BA47" s="81">
        <v>20</v>
      </c>
      <c r="BB47" s="82">
        <v>20</v>
      </c>
      <c r="BC47" s="81">
        <v>20</v>
      </c>
      <c r="BD47" s="81">
        <v>20</v>
      </c>
      <c r="BE47" s="81">
        <v>20</v>
      </c>
      <c r="BF47" s="81">
        <v>20</v>
      </c>
      <c r="BG47" s="82">
        <v>20</v>
      </c>
      <c r="BH47" s="81">
        <v>20</v>
      </c>
      <c r="BI47" s="81">
        <v>20</v>
      </c>
      <c r="BJ47" s="81">
        <v>20</v>
      </c>
      <c r="BK47" s="81">
        <v>16.5</v>
      </c>
      <c r="BL47" s="81">
        <v>16.5</v>
      </c>
      <c r="BM47" s="81">
        <v>16.5</v>
      </c>
      <c r="BN47" s="81">
        <v>16.5</v>
      </c>
      <c r="BO47" s="81">
        <v>16.5</v>
      </c>
      <c r="BP47" s="81">
        <v>16.5</v>
      </c>
      <c r="BQ47" s="81">
        <v>16.5</v>
      </c>
      <c r="BR47" s="81">
        <v>16.5</v>
      </c>
      <c r="BS47" s="81">
        <v>16.5</v>
      </c>
      <c r="BT47" s="81">
        <v>16.5</v>
      </c>
      <c r="BU47" s="81">
        <v>16.5</v>
      </c>
      <c r="BV47" s="81">
        <v>16.5</v>
      </c>
      <c r="BW47" s="81">
        <v>16.5</v>
      </c>
      <c r="BX47" s="81">
        <v>16.5</v>
      </c>
      <c r="BY47" s="81">
        <v>16.5</v>
      </c>
      <c r="BZ47" s="81">
        <v>16.5</v>
      </c>
      <c r="CA47" s="81">
        <v>16.5</v>
      </c>
      <c r="CB47" s="81">
        <v>16.5</v>
      </c>
      <c r="CC47" s="81">
        <v>16.5</v>
      </c>
      <c r="CD47" s="81">
        <v>15.8</v>
      </c>
      <c r="CE47" s="81">
        <v>15.8</v>
      </c>
      <c r="CF47" s="81">
        <v>15.8</v>
      </c>
      <c r="CG47" s="81">
        <v>15.8</v>
      </c>
      <c r="CH47" s="81">
        <v>15.8</v>
      </c>
      <c r="CI47" s="81">
        <v>15.8</v>
      </c>
      <c r="CJ47" s="81">
        <v>15</v>
      </c>
      <c r="CK47" s="81">
        <v>15</v>
      </c>
      <c r="CL47" s="81">
        <v>15</v>
      </c>
      <c r="CM47" s="81">
        <v>14</v>
      </c>
      <c r="CN47" s="81">
        <v>13</v>
      </c>
      <c r="CO47" s="81">
        <v>13</v>
      </c>
      <c r="CP47" s="81">
        <v>13</v>
      </c>
      <c r="CQ47" s="81">
        <v>13</v>
      </c>
      <c r="CR47" s="81">
        <v>13</v>
      </c>
      <c r="CS47" s="81">
        <v>13</v>
      </c>
      <c r="CT47" s="81">
        <v>13</v>
      </c>
      <c r="CU47" s="81">
        <v>13</v>
      </c>
      <c r="CV47" s="81">
        <v>13</v>
      </c>
      <c r="CW47" s="81">
        <v>13</v>
      </c>
      <c r="CX47" s="81">
        <v>13</v>
      </c>
      <c r="CY47" s="81">
        <v>13</v>
      </c>
      <c r="CZ47" s="81">
        <v>12</v>
      </c>
      <c r="DA47" s="81">
        <v>12</v>
      </c>
      <c r="DB47" s="81">
        <v>12</v>
      </c>
      <c r="DC47" s="81">
        <v>12</v>
      </c>
      <c r="DD47" s="81">
        <v>12</v>
      </c>
      <c r="DE47" s="81">
        <v>12</v>
      </c>
      <c r="DF47" s="81">
        <v>12</v>
      </c>
      <c r="DG47" s="81">
        <v>12</v>
      </c>
      <c r="DH47" s="81">
        <v>12</v>
      </c>
      <c r="DI47" s="81">
        <v>13</v>
      </c>
      <c r="DJ47" s="81">
        <v>13</v>
      </c>
      <c r="DK47" s="81">
        <v>13</v>
      </c>
      <c r="DL47" s="81">
        <v>13.5</v>
      </c>
      <c r="DM47" s="81">
        <v>13.5</v>
      </c>
      <c r="DN47" s="81">
        <v>14</v>
      </c>
      <c r="DO47" s="81">
        <v>14.5</v>
      </c>
      <c r="DP47" s="81">
        <v>14.5</v>
      </c>
      <c r="DQ47" s="81">
        <v>14.5</v>
      </c>
      <c r="DR47" s="81">
        <v>14.5</v>
      </c>
      <c r="DS47" s="81">
        <v>14.5</v>
      </c>
      <c r="DT47" s="81">
        <v>14.2</v>
      </c>
      <c r="DU47" s="81">
        <v>14.2</v>
      </c>
      <c r="DV47" s="81">
        <v>14</v>
      </c>
      <c r="DW47" s="81">
        <v>14</v>
      </c>
      <c r="DX47" s="81">
        <v>14</v>
      </c>
      <c r="DY47" s="81">
        <v>14</v>
      </c>
      <c r="DZ47" s="81">
        <v>14</v>
      </c>
      <c r="EA47" s="81">
        <v>14</v>
      </c>
      <c r="EB47" s="81">
        <v>12</v>
      </c>
      <c r="EC47" s="81">
        <v>12</v>
      </c>
      <c r="ED47" s="81">
        <v>12</v>
      </c>
      <c r="EE47" s="81">
        <v>12</v>
      </c>
      <c r="EF47" s="81">
        <v>12</v>
      </c>
      <c r="EG47" s="81">
        <v>12</v>
      </c>
      <c r="EH47" s="81">
        <v>12</v>
      </c>
      <c r="EI47" s="81">
        <v>12</v>
      </c>
      <c r="EJ47" s="81">
        <v>12</v>
      </c>
      <c r="EK47" s="81">
        <v>14</v>
      </c>
      <c r="EL47" s="81">
        <v>14</v>
      </c>
      <c r="EM47" s="81">
        <v>14</v>
      </c>
      <c r="EN47" s="81">
        <v>14</v>
      </c>
      <c r="EO47" s="81">
        <v>14</v>
      </c>
      <c r="EP47" s="81">
        <v>14</v>
      </c>
      <c r="EQ47" s="81">
        <v>14</v>
      </c>
      <c r="ER47" s="81">
        <v>14</v>
      </c>
      <c r="ES47" s="81">
        <v>14</v>
      </c>
      <c r="ET47" s="83">
        <v>14</v>
      </c>
      <c r="EU47" s="83">
        <v>14</v>
      </c>
      <c r="EV47" s="83">
        <v>14</v>
      </c>
      <c r="EW47" s="83">
        <v>14</v>
      </c>
      <c r="EX47" s="83">
        <v>13.5</v>
      </c>
      <c r="EY47" s="83">
        <v>13.5</v>
      </c>
      <c r="EZ47" s="83">
        <v>13.5</v>
      </c>
      <c r="FA47" s="83">
        <v>13.5</v>
      </c>
      <c r="FB47" s="83">
        <v>13.5</v>
      </c>
      <c r="FC47" s="83">
        <v>13.5</v>
      </c>
      <c r="FD47" s="83">
        <v>13.5</v>
      </c>
      <c r="FE47" s="83">
        <v>13.5</v>
      </c>
      <c r="FF47" s="83">
        <v>13.5</v>
      </c>
      <c r="FG47" s="83">
        <v>13.5</v>
      </c>
      <c r="FH47" s="83">
        <v>13.5</v>
      </c>
      <c r="FI47" s="83">
        <v>13.5</v>
      </c>
      <c r="FJ47" s="83">
        <v>13.5</v>
      </c>
      <c r="FK47" s="83">
        <v>13.5</v>
      </c>
      <c r="FL47" s="83">
        <v>12.8</v>
      </c>
      <c r="FM47" s="83">
        <v>12.8</v>
      </c>
      <c r="FN47" s="83">
        <v>12.8</v>
      </c>
      <c r="FO47" s="83">
        <v>12.8</v>
      </c>
      <c r="FP47" s="83">
        <v>12.8</v>
      </c>
      <c r="FQ47" s="83">
        <v>11.5</v>
      </c>
      <c r="FR47" s="83">
        <v>11.5</v>
      </c>
      <c r="FS47" s="83">
        <v>11.5</v>
      </c>
      <c r="FT47" s="83">
        <v>11.5</v>
      </c>
      <c r="FU47" s="83">
        <v>11.5</v>
      </c>
      <c r="FV47" s="83">
        <v>11.5</v>
      </c>
      <c r="FW47" s="83">
        <v>11.5</v>
      </c>
      <c r="FX47" s="83">
        <v>11.5</v>
      </c>
      <c r="FY47" s="83">
        <v>11.5</v>
      </c>
      <c r="FZ47" s="83">
        <v>11.5</v>
      </c>
      <c r="GA47" s="83">
        <v>11.5</v>
      </c>
      <c r="GB47" s="83">
        <v>11.5</v>
      </c>
      <c r="GC47" s="83">
        <v>11.5</v>
      </c>
      <c r="GD47" s="83">
        <v>11.5</v>
      </c>
      <c r="GE47" s="83">
        <v>11.5</v>
      </c>
      <c r="GF47" s="83">
        <v>11.5</v>
      </c>
      <c r="GG47" s="83">
        <v>11.5</v>
      </c>
      <c r="GH47" s="83">
        <v>11.5</v>
      </c>
      <c r="GI47" s="83">
        <v>11.5</v>
      </c>
      <c r="GJ47" s="83">
        <v>11.5</v>
      </c>
      <c r="GK47" s="83">
        <v>11.5</v>
      </c>
      <c r="GL47" s="81">
        <v>11.5</v>
      </c>
    </row>
    <row r="48" spans="1:194" s="81" customFormat="1">
      <c r="A48" s="84" t="s">
        <v>157</v>
      </c>
      <c r="B48" s="81" t="s">
        <v>158</v>
      </c>
      <c r="C48" s="83" t="s">
        <v>159</v>
      </c>
      <c r="D48" s="83" t="s">
        <v>47</v>
      </c>
      <c r="E48" s="83" t="s">
        <v>39</v>
      </c>
      <c r="F48" s="83" t="s">
        <v>39</v>
      </c>
      <c r="G48" s="83" t="s">
        <v>39</v>
      </c>
      <c r="H48" s="83" t="s">
        <v>39</v>
      </c>
      <c r="I48" s="82">
        <v>6.52</v>
      </c>
      <c r="J48" s="82">
        <v>6.52</v>
      </c>
      <c r="K48" s="82">
        <v>6.52</v>
      </c>
      <c r="L48" s="82">
        <v>6.52</v>
      </c>
      <c r="M48" s="82">
        <v>6.52</v>
      </c>
      <c r="N48" s="82">
        <v>6.52</v>
      </c>
      <c r="O48" s="82">
        <v>6.52</v>
      </c>
      <c r="P48" s="82">
        <v>6.52</v>
      </c>
      <c r="Q48" s="82">
        <v>6.52</v>
      </c>
      <c r="R48" s="82">
        <v>6.52</v>
      </c>
      <c r="S48" s="82">
        <v>6.52</v>
      </c>
      <c r="T48" s="82">
        <v>6.52</v>
      </c>
      <c r="U48" s="82">
        <v>5.95</v>
      </c>
      <c r="V48" s="82">
        <v>5.8</v>
      </c>
      <c r="W48" s="82">
        <v>5</v>
      </c>
      <c r="X48" s="82">
        <v>4.9000000000000004</v>
      </c>
      <c r="Y48" s="82">
        <v>4.5</v>
      </c>
      <c r="Z48" s="82">
        <v>4.1500000000000004</v>
      </c>
      <c r="AA48" s="82">
        <v>3.5</v>
      </c>
      <c r="AB48" s="82">
        <v>3.5</v>
      </c>
      <c r="AC48" s="82">
        <v>3.5</v>
      </c>
      <c r="AD48" s="82">
        <v>3.5</v>
      </c>
      <c r="AE48" s="82">
        <v>2.9</v>
      </c>
      <c r="AF48" s="82">
        <v>2.9</v>
      </c>
      <c r="AG48" s="82">
        <v>2.9</v>
      </c>
      <c r="AH48" s="82">
        <v>3.01</v>
      </c>
      <c r="AI48" s="82">
        <v>3.01</v>
      </c>
      <c r="AJ48" s="82">
        <v>3.2</v>
      </c>
      <c r="AK48" s="82">
        <v>3.26</v>
      </c>
      <c r="AL48" s="82">
        <v>3.26</v>
      </c>
      <c r="AM48" s="82">
        <v>3.26</v>
      </c>
      <c r="AN48" s="92">
        <v>3.26</v>
      </c>
      <c r="AO48" s="92">
        <v>3.26</v>
      </c>
      <c r="AP48" s="92">
        <v>3.2</v>
      </c>
      <c r="AQ48" s="82">
        <v>3.05</v>
      </c>
      <c r="AR48" s="82">
        <v>2.9</v>
      </c>
      <c r="AS48" s="82">
        <v>2.7</v>
      </c>
      <c r="AT48" s="82">
        <v>2.5499999999999998</v>
      </c>
      <c r="AU48" s="82">
        <v>2.5499999999999998</v>
      </c>
      <c r="AV48" s="82">
        <v>2.5499999999999998</v>
      </c>
      <c r="AW48" s="82">
        <v>2.5499999999999998</v>
      </c>
      <c r="AX48" s="82">
        <v>2.5499999999999998</v>
      </c>
      <c r="AY48" s="82">
        <v>2.5499999999999998</v>
      </c>
      <c r="AZ48" s="82">
        <v>2.5499999999999998</v>
      </c>
      <c r="BA48" s="82">
        <v>2.4</v>
      </c>
      <c r="BB48" s="82">
        <v>2.2999999999999998</v>
      </c>
      <c r="BC48" s="82">
        <v>2.2999999999999998</v>
      </c>
      <c r="BD48" s="82">
        <v>2.2999999999999998</v>
      </c>
      <c r="BE48" s="82">
        <v>2.2999999999999998</v>
      </c>
      <c r="BF48" s="82">
        <v>2.2000000000000002</v>
      </c>
      <c r="BG48" s="82">
        <v>2.15</v>
      </c>
      <c r="BH48" s="82">
        <v>2.15</v>
      </c>
      <c r="BI48" s="82">
        <v>2.15</v>
      </c>
      <c r="BJ48" s="82">
        <v>2.15</v>
      </c>
      <c r="BK48" s="82">
        <v>2.08</v>
      </c>
      <c r="BL48" s="82">
        <v>1.98</v>
      </c>
      <c r="BM48" s="82">
        <v>1.85</v>
      </c>
      <c r="BN48" s="82">
        <v>1.7</v>
      </c>
      <c r="BO48" s="82">
        <v>1.6</v>
      </c>
      <c r="BP48" s="82">
        <v>1.55</v>
      </c>
      <c r="BQ48" s="82">
        <v>1.55</v>
      </c>
      <c r="BR48" s="82">
        <v>1.53</v>
      </c>
      <c r="BS48" s="82">
        <v>1.48</v>
      </c>
      <c r="BT48" s="82">
        <v>1.25</v>
      </c>
      <c r="BU48" s="82">
        <v>1.1499999999999999</v>
      </c>
      <c r="BV48" s="82">
        <v>1.1499999999999999</v>
      </c>
      <c r="BW48" s="82">
        <v>1.1499999999999999</v>
      </c>
      <c r="BX48" s="82">
        <v>1.1499999999999999</v>
      </c>
      <c r="BY48" s="82">
        <v>1.1499999999999999</v>
      </c>
      <c r="BZ48" s="82">
        <v>1.1499999999999999</v>
      </c>
      <c r="CA48" s="82">
        <v>1.1499999999999999</v>
      </c>
      <c r="CB48" s="82">
        <v>1.1499999999999999</v>
      </c>
      <c r="CC48" s="82">
        <v>1.1499999999999999</v>
      </c>
      <c r="CD48" s="82">
        <v>1.1499999999999999</v>
      </c>
      <c r="CE48" s="82">
        <v>1.1499999999999999</v>
      </c>
      <c r="CF48" s="82">
        <v>1.1499999999999999</v>
      </c>
      <c r="CG48" s="82">
        <v>1.1499999999999999</v>
      </c>
      <c r="CH48" s="82">
        <v>1.1499999999999999</v>
      </c>
      <c r="CI48" s="82">
        <v>1.1499999999999999</v>
      </c>
      <c r="CJ48" s="82">
        <v>1.1499999999999999</v>
      </c>
      <c r="CK48" s="82">
        <v>1.08</v>
      </c>
      <c r="CL48" s="82">
        <v>1.08</v>
      </c>
      <c r="CM48" s="81">
        <v>1.08</v>
      </c>
      <c r="CN48" s="81">
        <v>1.1200000000000001</v>
      </c>
      <c r="CO48" s="81">
        <v>1.1200000000000001</v>
      </c>
      <c r="CP48" s="81">
        <v>1.06</v>
      </c>
      <c r="CQ48" s="81">
        <v>1.06</v>
      </c>
      <c r="CR48" s="81">
        <v>1.06</v>
      </c>
      <c r="CS48" s="81">
        <v>1.03</v>
      </c>
      <c r="CT48" s="81">
        <v>1.02</v>
      </c>
      <c r="CU48" s="81">
        <v>1.02</v>
      </c>
      <c r="CV48" s="81">
        <v>1.02</v>
      </c>
      <c r="CW48" s="81">
        <v>1.02</v>
      </c>
      <c r="CX48" s="81">
        <v>1.02</v>
      </c>
      <c r="CY48" s="81">
        <v>1.05</v>
      </c>
      <c r="CZ48" s="81">
        <v>1.08</v>
      </c>
      <c r="DA48" s="81">
        <v>1.08</v>
      </c>
      <c r="DB48" s="81">
        <v>1.18</v>
      </c>
      <c r="DC48" s="81">
        <v>1.18</v>
      </c>
      <c r="DD48" s="81">
        <v>1.18</v>
      </c>
      <c r="DE48" s="81">
        <v>1.18</v>
      </c>
      <c r="DF48" s="81">
        <v>1.18</v>
      </c>
      <c r="DG48" s="81">
        <v>1.18</v>
      </c>
      <c r="DH48" s="81">
        <v>1.18</v>
      </c>
      <c r="DI48" s="81">
        <v>1.18</v>
      </c>
      <c r="DJ48" s="81">
        <v>1.2</v>
      </c>
      <c r="DK48" s="81">
        <v>1.2</v>
      </c>
      <c r="DL48" s="81">
        <v>1.23</v>
      </c>
      <c r="DM48" s="81">
        <v>1.23</v>
      </c>
      <c r="DN48" s="81">
        <v>1.28</v>
      </c>
      <c r="DO48" s="81">
        <v>1.28</v>
      </c>
      <c r="DP48" s="81">
        <v>1.28</v>
      </c>
      <c r="DQ48" s="81">
        <v>1.1499999999999999</v>
      </c>
      <c r="DR48" s="81">
        <v>1.1499999999999999</v>
      </c>
      <c r="DS48" s="81">
        <v>1.02</v>
      </c>
      <c r="DT48" s="81">
        <v>0.98</v>
      </c>
      <c r="DU48" s="81">
        <v>0.98</v>
      </c>
      <c r="DV48" s="81">
        <v>0.98</v>
      </c>
      <c r="DW48" s="81">
        <v>0.98</v>
      </c>
      <c r="DX48" s="81">
        <v>0.98</v>
      </c>
      <c r="DY48" s="81">
        <v>0.98</v>
      </c>
      <c r="DZ48" s="81">
        <v>0.98</v>
      </c>
      <c r="EA48" s="81">
        <v>0.9</v>
      </c>
      <c r="EB48" s="81">
        <v>0.86</v>
      </c>
      <c r="EC48" s="81">
        <v>0.86</v>
      </c>
      <c r="ED48" s="81">
        <v>0.95</v>
      </c>
      <c r="EE48" s="81">
        <v>1.05</v>
      </c>
      <c r="EF48" s="81">
        <v>1.1000000000000001</v>
      </c>
      <c r="EG48" s="81">
        <v>1.2</v>
      </c>
      <c r="EH48" s="81">
        <v>1.2</v>
      </c>
      <c r="EI48" s="81">
        <v>1.2</v>
      </c>
      <c r="EJ48" s="81">
        <v>1.2</v>
      </c>
      <c r="EK48" s="81">
        <v>1.25</v>
      </c>
      <c r="EL48" s="81">
        <v>1.25</v>
      </c>
      <c r="EM48" s="81">
        <v>1.3</v>
      </c>
      <c r="EN48" s="81">
        <v>1.35</v>
      </c>
      <c r="EO48" s="81">
        <v>1.35</v>
      </c>
      <c r="EP48" s="81">
        <v>1.35</v>
      </c>
      <c r="EQ48" s="81">
        <v>1.35</v>
      </c>
      <c r="ER48" s="81">
        <v>1.35</v>
      </c>
      <c r="ES48" s="81">
        <v>1.35</v>
      </c>
      <c r="ET48" s="83">
        <v>1.3</v>
      </c>
      <c r="EU48" s="83">
        <v>1.3</v>
      </c>
      <c r="EV48" s="83">
        <v>1.3</v>
      </c>
      <c r="EW48" s="83">
        <v>1.2</v>
      </c>
      <c r="EX48" s="83">
        <v>1.18</v>
      </c>
      <c r="EY48" s="83">
        <v>1.18</v>
      </c>
      <c r="EZ48" s="83">
        <v>1.18</v>
      </c>
      <c r="FA48" s="83">
        <v>1.24</v>
      </c>
      <c r="FB48" s="83">
        <v>1.24</v>
      </c>
      <c r="FC48" s="83">
        <v>1.25</v>
      </c>
      <c r="FD48" s="83">
        <v>1.25</v>
      </c>
      <c r="FE48" s="83">
        <v>1.25</v>
      </c>
      <c r="FF48" s="83">
        <v>1.25</v>
      </c>
      <c r="FG48" s="83">
        <v>1.2</v>
      </c>
      <c r="FH48" s="83">
        <v>1.1200000000000001</v>
      </c>
      <c r="FI48" s="83">
        <v>1.1200000000000001</v>
      </c>
      <c r="FJ48" s="83">
        <v>1.05</v>
      </c>
      <c r="FK48" s="83">
        <v>1.05</v>
      </c>
      <c r="FL48" s="83">
        <v>1</v>
      </c>
      <c r="FM48" s="83">
        <v>0.98</v>
      </c>
      <c r="FN48" s="83">
        <v>0.96</v>
      </c>
      <c r="FO48" s="83">
        <v>0.92</v>
      </c>
      <c r="FP48" s="83">
        <v>0.9</v>
      </c>
      <c r="FQ48" s="83">
        <v>0.9</v>
      </c>
      <c r="FR48" s="83">
        <v>0.9</v>
      </c>
      <c r="FS48" s="83">
        <v>0.9</v>
      </c>
      <c r="FT48" s="83">
        <v>0.9</v>
      </c>
      <c r="FU48" s="83">
        <v>0.9</v>
      </c>
      <c r="FV48" s="83">
        <v>0.9</v>
      </c>
      <c r="FW48" s="83">
        <v>0.9</v>
      </c>
      <c r="FX48" s="83">
        <v>0.9</v>
      </c>
      <c r="FY48" s="83">
        <v>0.9</v>
      </c>
      <c r="FZ48" s="83">
        <v>0.9</v>
      </c>
      <c r="GA48" s="83">
        <v>0.9</v>
      </c>
      <c r="GB48" s="83">
        <v>0.9</v>
      </c>
      <c r="GC48" s="83">
        <v>0.87</v>
      </c>
      <c r="GD48" s="83">
        <v>0.87</v>
      </c>
      <c r="GE48" s="83">
        <v>0.8</v>
      </c>
      <c r="GF48" s="83">
        <v>0.8</v>
      </c>
      <c r="GG48" s="83">
        <v>0.8</v>
      </c>
      <c r="GH48" s="83">
        <v>0.9</v>
      </c>
      <c r="GI48" s="83">
        <v>1.1200000000000001</v>
      </c>
      <c r="GJ48" s="83">
        <v>1.1000000000000001</v>
      </c>
      <c r="GK48" s="83">
        <v>1.08</v>
      </c>
      <c r="GL48" s="81">
        <v>1.02</v>
      </c>
    </row>
    <row r="49" spans="1:194" s="81" customFormat="1">
      <c r="A49" s="84" t="s">
        <v>160</v>
      </c>
      <c r="B49" s="81" t="s">
        <v>161</v>
      </c>
      <c r="C49" s="83" t="s">
        <v>162</v>
      </c>
      <c r="D49" s="83" t="s">
        <v>47</v>
      </c>
      <c r="E49" s="83" t="s">
        <v>39</v>
      </c>
      <c r="F49" s="83" t="s">
        <v>39</v>
      </c>
      <c r="G49" s="83" t="s">
        <v>39</v>
      </c>
      <c r="H49" s="83" t="s">
        <v>39</v>
      </c>
      <c r="I49" s="82">
        <v>8.52</v>
      </c>
      <c r="J49" s="82">
        <v>8.52</v>
      </c>
      <c r="K49" s="82">
        <v>8.52</v>
      </c>
      <c r="L49" s="82">
        <v>8.52</v>
      </c>
      <c r="M49" s="82">
        <v>8.52</v>
      </c>
      <c r="N49" s="82">
        <v>8.52</v>
      </c>
      <c r="O49" s="82">
        <v>8.52</v>
      </c>
      <c r="P49" s="82">
        <v>8.52</v>
      </c>
      <c r="Q49" s="82">
        <v>8.1999999999999993</v>
      </c>
      <c r="R49" s="82">
        <v>8.1999999999999993</v>
      </c>
      <c r="S49" s="82">
        <v>8.1999999999999993</v>
      </c>
      <c r="T49" s="82">
        <v>8.1999999999999993</v>
      </c>
      <c r="U49" s="82">
        <v>7.74</v>
      </c>
      <c r="V49" s="82">
        <v>7.6</v>
      </c>
      <c r="W49" s="82">
        <v>6.8</v>
      </c>
      <c r="X49" s="82">
        <v>6.7</v>
      </c>
      <c r="Y49" s="82">
        <v>6.2</v>
      </c>
      <c r="Z49" s="82">
        <v>6.1</v>
      </c>
      <c r="AA49" s="82">
        <v>5</v>
      </c>
      <c r="AB49" s="82">
        <v>5</v>
      </c>
      <c r="AC49" s="82">
        <v>5</v>
      </c>
      <c r="AD49" s="82">
        <v>5</v>
      </c>
      <c r="AE49" s="82">
        <v>3.84</v>
      </c>
      <c r="AF49" s="82">
        <v>3.84</v>
      </c>
      <c r="AG49" s="82">
        <v>3.84</v>
      </c>
      <c r="AH49" s="82">
        <v>3.98</v>
      </c>
      <c r="AI49" s="82">
        <v>3.98</v>
      </c>
      <c r="AJ49" s="82">
        <v>4.25</v>
      </c>
      <c r="AK49" s="82">
        <v>4.32</v>
      </c>
      <c r="AL49" s="82">
        <v>4.32</v>
      </c>
      <c r="AM49" s="82">
        <v>4.32</v>
      </c>
      <c r="AN49" s="92">
        <v>4.32</v>
      </c>
      <c r="AO49" s="92">
        <v>4.32</v>
      </c>
      <c r="AP49" s="92">
        <v>4.2</v>
      </c>
      <c r="AQ49" s="82">
        <v>3.95</v>
      </c>
      <c r="AR49" s="82">
        <v>3.85</v>
      </c>
      <c r="AS49" s="82">
        <v>3.5</v>
      </c>
      <c r="AT49" s="82">
        <v>3.35</v>
      </c>
      <c r="AU49" s="82">
        <v>3.35</v>
      </c>
      <c r="AV49" s="82">
        <v>3.35</v>
      </c>
      <c r="AW49" s="82">
        <v>3.35</v>
      </c>
      <c r="AX49" s="82">
        <v>3.35</v>
      </c>
      <c r="AY49" s="82">
        <v>3.35</v>
      </c>
      <c r="AZ49" s="82">
        <v>3.35</v>
      </c>
      <c r="BA49" s="82">
        <v>3.25</v>
      </c>
      <c r="BB49" s="82">
        <v>3.23</v>
      </c>
      <c r="BC49" s="82">
        <v>3.23</v>
      </c>
      <c r="BD49" s="82">
        <v>3.23</v>
      </c>
      <c r="BE49" s="82">
        <v>3.1</v>
      </c>
      <c r="BF49" s="82">
        <v>3.1</v>
      </c>
      <c r="BG49" s="82">
        <v>3.08</v>
      </c>
      <c r="BH49" s="82">
        <v>3.08</v>
      </c>
      <c r="BI49" s="82">
        <v>3.08</v>
      </c>
      <c r="BJ49" s="82">
        <v>3.08</v>
      </c>
      <c r="BK49" s="82">
        <v>3.08</v>
      </c>
      <c r="BL49" s="82">
        <v>2.95</v>
      </c>
      <c r="BM49" s="82">
        <v>2.85</v>
      </c>
      <c r="BN49" s="82">
        <v>2.75</v>
      </c>
      <c r="BO49" s="82">
        <v>2.65</v>
      </c>
      <c r="BP49" s="82">
        <v>2.6</v>
      </c>
      <c r="BQ49" s="82">
        <v>2.6</v>
      </c>
      <c r="BR49" s="82">
        <v>2.2999999999999998</v>
      </c>
      <c r="BS49" s="82">
        <v>2.23</v>
      </c>
      <c r="BT49" s="82">
        <v>2.1</v>
      </c>
      <c r="BU49" s="82">
        <v>1.85</v>
      </c>
      <c r="BV49" s="82">
        <v>1.85</v>
      </c>
      <c r="BW49" s="82">
        <v>1.85</v>
      </c>
      <c r="BX49" s="82">
        <v>1.85</v>
      </c>
      <c r="BY49" s="82">
        <v>1.85</v>
      </c>
      <c r="BZ49" s="82">
        <v>1.85</v>
      </c>
      <c r="CA49" s="82">
        <v>1.85</v>
      </c>
      <c r="CB49" s="82">
        <v>1.85</v>
      </c>
      <c r="CC49" s="82">
        <v>1.85</v>
      </c>
      <c r="CD49" s="82">
        <v>1.85</v>
      </c>
      <c r="CE49" s="82">
        <v>1.85</v>
      </c>
      <c r="CF49" s="82">
        <v>1.75</v>
      </c>
      <c r="CG49" s="82">
        <v>1.7</v>
      </c>
      <c r="CH49" s="82">
        <v>1.7</v>
      </c>
      <c r="CI49" s="82">
        <v>1.6</v>
      </c>
      <c r="CJ49" s="82">
        <v>1.55</v>
      </c>
      <c r="CK49" s="82">
        <v>1.5</v>
      </c>
      <c r="CL49" s="82">
        <v>1.5</v>
      </c>
      <c r="CM49" s="81">
        <v>1.5</v>
      </c>
      <c r="CN49" s="81">
        <v>1.5</v>
      </c>
      <c r="CO49" s="81">
        <v>1.5</v>
      </c>
      <c r="CP49" s="81">
        <v>1.45</v>
      </c>
      <c r="CQ49" s="81">
        <v>1.45</v>
      </c>
      <c r="CR49" s="81">
        <v>1.45</v>
      </c>
      <c r="CS49" s="81">
        <v>1.45</v>
      </c>
      <c r="CT49" s="81">
        <v>1.45</v>
      </c>
      <c r="CU49" s="81">
        <v>1.45</v>
      </c>
      <c r="CV49" s="81">
        <v>1.45</v>
      </c>
      <c r="CW49" s="81">
        <v>1.45</v>
      </c>
      <c r="CX49" s="81">
        <v>1.45</v>
      </c>
      <c r="CY49" s="81">
        <v>1.45</v>
      </c>
      <c r="CZ49" s="81">
        <v>1.45</v>
      </c>
      <c r="DA49" s="81">
        <v>1.45</v>
      </c>
      <c r="DB49" s="81">
        <v>1.55</v>
      </c>
      <c r="DC49" s="81">
        <v>1.55</v>
      </c>
      <c r="DD49" s="81">
        <v>1.55</v>
      </c>
      <c r="DE49" s="81">
        <v>1.55</v>
      </c>
      <c r="DF49" s="81">
        <v>1.55</v>
      </c>
      <c r="DG49" s="81">
        <v>1.55</v>
      </c>
      <c r="DH49" s="81">
        <v>1.55</v>
      </c>
      <c r="DI49" s="81">
        <v>1.55</v>
      </c>
      <c r="DJ49" s="81">
        <v>1.55</v>
      </c>
      <c r="DK49" s="81">
        <v>1.55</v>
      </c>
      <c r="DL49" s="81">
        <v>1.55</v>
      </c>
      <c r="DM49" s="81">
        <v>1.55</v>
      </c>
      <c r="DN49" s="81">
        <v>1.58</v>
      </c>
      <c r="DO49" s="81">
        <v>1.58</v>
      </c>
      <c r="DP49" s="81">
        <v>1.55</v>
      </c>
      <c r="DQ49" s="81">
        <v>1.45</v>
      </c>
      <c r="DR49" s="81">
        <v>1.45</v>
      </c>
      <c r="DS49" s="81">
        <v>1.35</v>
      </c>
      <c r="DT49" s="81">
        <v>1.3</v>
      </c>
      <c r="DU49" s="81">
        <v>1.3</v>
      </c>
      <c r="DV49" s="81">
        <v>1.3</v>
      </c>
      <c r="DW49" s="81">
        <v>1.3</v>
      </c>
      <c r="DX49" s="81">
        <v>1.3</v>
      </c>
      <c r="DY49" s="81">
        <v>1.3</v>
      </c>
      <c r="DZ49" s="81">
        <v>1.3</v>
      </c>
      <c r="EA49" s="81">
        <v>1.25</v>
      </c>
      <c r="EB49" s="81">
        <v>1.23</v>
      </c>
      <c r="EC49" s="81">
        <v>1.23</v>
      </c>
      <c r="ED49" s="81">
        <v>1.3</v>
      </c>
      <c r="EE49" s="81">
        <v>1.4</v>
      </c>
      <c r="EF49" s="81">
        <v>1.45</v>
      </c>
      <c r="EG49" s="81">
        <v>1.55</v>
      </c>
      <c r="EH49" s="81">
        <v>1.55</v>
      </c>
      <c r="EI49" s="81">
        <v>1.55</v>
      </c>
      <c r="EJ49" s="81">
        <v>1.55</v>
      </c>
      <c r="EK49" s="81">
        <v>1.6</v>
      </c>
      <c r="EL49" s="81">
        <v>1.6</v>
      </c>
      <c r="EM49" s="81">
        <v>1.65</v>
      </c>
      <c r="EN49" s="81">
        <v>1.7</v>
      </c>
      <c r="EO49" s="81">
        <v>1.7</v>
      </c>
      <c r="EP49" s="81">
        <v>1.7</v>
      </c>
      <c r="EQ49" s="81">
        <v>1.7</v>
      </c>
      <c r="ER49" s="81">
        <v>1.7</v>
      </c>
      <c r="ES49" s="81">
        <v>1.7</v>
      </c>
      <c r="ET49" s="83">
        <v>1.65</v>
      </c>
      <c r="EU49" s="83">
        <v>1.65</v>
      </c>
      <c r="EV49" s="83">
        <v>1.65</v>
      </c>
      <c r="EW49" s="83">
        <v>1.55</v>
      </c>
      <c r="EX49" s="83">
        <v>1.53</v>
      </c>
      <c r="EY49" s="83">
        <v>1.5</v>
      </c>
      <c r="EZ49" s="83">
        <v>1.5</v>
      </c>
      <c r="FA49" s="83">
        <v>1.55</v>
      </c>
      <c r="FB49" s="83">
        <v>1.55</v>
      </c>
      <c r="FC49" s="83">
        <v>1.55</v>
      </c>
      <c r="FD49" s="83">
        <v>1.55</v>
      </c>
      <c r="FE49" s="83">
        <v>1.55</v>
      </c>
      <c r="FF49" s="83">
        <v>1.5</v>
      </c>
      <c r="FG49" s="83">
        <v>1.48</v>
      </c>
      <c r="FH49" s="83">
        <v>1.4</v>
      </c>
      <c r="FI49" s="83">
        <v>1.4</v>
      </c>
      <c r="FJ49" s="83">
        <v>1.35</v>
      </c>
      <c r="FK49" s="83">
        <v>1.35</v>
      </c>
      <c r="FL49" s="83">
        <v>1.3</v>
      </c>
      <c r="FM49" s="83">
        <v>1.3</v>
      </c>
      <c r="FN49" s="83">
        <v>1.28</v>
      </c>
      <c r="FO49" s="83">
        <v>1.23</v>
      </c>
      <c r="FP49" s="83">
        <v>1.1850000000000001</v>
      </c>
      <c r="FQ49" s="83">
        <v>1.1850000000000001</v>
      </c>
      <c r="FR49" s="83">
        <v>1.1850000000000001</v>
      </c>
      <c r="FS49" s="83">
        <v>1.19</v>
      </c>
      <c r="FT49" s="83">
        <v>1.19</v>
      </c>
      <c r="FU49" s="83">
        <v>1.19</v>
      </c>
      <c r="FV49" s="83">
        <v>1.19</v>
      </c>
      <c r="FW49" s="83">
        <v>1.19</v>
      </c>
      <c r="FX49" s="83">
        <v>1.19</v>
      </c>
      <c r="FY49" s="83">
        <v>1.19</v>
      </c>
      <c r="FZ49" s="83">
        <v>1.19</v>
      </c>
      <c r="GA49" s="83">
        <v>1.18</v>
      </c>
      <c r="GB49" s="83">
        <v>1.18</v>
      </c>
      <c r="GC49" s="83">
        <v>1.1599999999999999</v>
      </c>
      <c r="GD49" s="83">
        <v>1.1599999999999999</v>
      </c>
      <c r="GE49" s="83">
        <v>1.1000000000000001</v>
      </c>
      <c r="GF49" s="83">
        <v>1.1000000000000001</v>
      </c>
      <c r="GG49" s="83">
        <v>1.1000000000000001</v>
      </c>
      <c r="GH49" s="83">
        <v>1.2</v>
      </c>
      <c r="GI49" s="83">
        <v>1.25</v>
      </c>
      <c r="GJ49" s="83">
        <v>1.2</v>
      </c>
      <c r="GK49" s="83">
        <v>1.2</v>
      </c>
      <c r="GL49" s="81">
        <v>1.1499999999999999</v>
      </c>
    </row>
    <row r="50" spans="1:194">
      <c r="B50" s="81" t="s">
        <v>163</v>
      </c>
      <c r="C50" s="83" t="s">
        <v>164</v>
      </c>
      <c r="D50" s="93" t="s">
        <v>165</v>
      </c>
      <c r="AE50" s="83">
        <v>74.5</v>
      </c>
      <c r="AF50" s="81">
        <v>76</v>
      </c>
      <c r="AG50" s="81">
        <v>76.3</v>
      </c>
      <c r="AH50" s="81">
        <v>80</v>
      </c>
      <c r="AI50" s="81">
        <v>80.2</v>
      </c>
      <c r="AJ50" s="83">
        <v>84</v>
      </c>
      <c r="AK50" s="83">
        <v>86</v>
      </c>
      <c r="AL50" s="82">
        <v>90</v>
      </c>
      <c r="AM50" s="82">
        <v>92</v>
      </c>
      <c r="AN50" s="83">
        <v>92</v>
      </c>
      <c r="AO50" s="83">
        <v>92</v>
      </c>
      <c r="AP50" s="83">
        <v>92</v>
      </c>
      <c r="AQ50" s="83">
        <v>92</v>
      </c>
      <c r="AR50" s="83">
        <v>92</v>
      </c>
      <c r="AS50" s="83">
        <v>85</v>
      </c>
      <c r="AT50" s="83">
        <v>75</v>
      </c>
      <c r="AU50" s="83">
        <v>72</v>
      </c>
      <c r="AV50" s="83">
        <v>69</v>
      </c>
      <c r="AW50" s="83">
        <v>68.5</v>
      </c>
      <c r="AX50" s="83">
        <v>68</v>
      </c>
      <c r="AY50" s="83">
        <v>67</v>
      </c>
      <c r="AZ50" s="82">
        <v>67</v>
      </c>
      <c r="BA50" s="83">
        <v>67</v>
      </c>
      <c r="BB50" s="82">
        <v>67</v>
      </c>
      <c r="BC50" s="83">
        <v>67</v>
      </c>
      <c r="BD50" s="83">
        <v>67</v>
      </c>
      <c r="BE50" s="83">
        <v>69.5</v>
      </c>
      <c r="BF50" s="83">
        <v>69.5</v>
      </c>
      <c r="BG50" s="82">
        <v>69.5</v>
      </c>
      <c r="BH50" s="83">
        <v>69.5</v>
      </c>
      <c r="BI50" s="83">
        <v>69.5</v>
      </c>
      <c r="BJ50" s="83">
        <v>69.5</v>
      </c>
      <c r="BK50" s="83">
        <v>69.5</v>
      </c>
      <c r="BL50" s="83">
        <v>69.5</v>
      </c>
      <c r="BM50" s="83">
        <v>69.5</v>
      </c>
      <c r="BN50" s="83">
        <v>69.5</v>
      </c>
      <c r="BO50" s="83">
        <v>69.5</v>
      </c>
      <c r="BP50" s="83">
        <v>60</v>
      </c>
      <c r="BQ50" s="83">
        <v>57</v>
      </c>
      <c r="BR50" s="83">
        <v>48</v>
      </c>
      <c r="BS50" s="83">
        <v>42</v>
      </c>
      <c r="BT50" s="83">
        <v>41</v>
      </c>
      <c r="BU50" s="83">
        <v>41</v>
      </c>
      <c r="BV50" s="83">
        <v>39.5</v>
      </c>
      <c r="BW50" s="83">
        <v>39.5</v>
      </c>
      <c r="BX50" s="83">
        <v>39.5</v>
      </c>
      <c r="BY50" s="83">
        <v>37.5</v>
      </c>
      <c r="BZ50" s="83">
        <v>37.5</v>
      </c>
      <c r="CA50" s="83">
        <v>37.5</v>
      </c>
      <c r="CB50" s="83">
        <v>37.5</v>
      </c>
      <c r="CC50" s="83">
        <v>37.5</v>
      </c>
      <c r="CD50" s="83">
        <v>37.5</v>
      </c>
      <c r="CE50" s="83">
        <v>37.5</v>
      </c>
      <c r="CF50" s="83">
        <v>37.5</v>
      </c>
      <c r="CG50" s="81">
        <v>37.5</v>
      </c>
      <c r="CH50" s="81">
        <v>37.5</v>
      </c>
      <c r="CI50" s="81">
        <v>37.5</v>
      </c>
      <c r="CJ50" s="81">
        <v>38.5</v>
      </c>
      <c r="CK50" s="81">
        <v>38.5</v>
      </c>
      <c r="CL50" s="81">
        <v>38.5</v>
      </c>
      <c r="CM50" s="81">
        <v>38.5</v>
      </c>
      <c r="CN50" s="83">
        <v>40</v>
      </c>
      <c r="CO50" s="83">
        <v>40</v>
      </c>
      <c r="CP50" s="81">
        <v>40</v>
      </c>
      <c r="CQ50" s="81">
        <v>40</v>
      </c>
      <c r="CR50" s="83">
        <v>40</v>
      </c>
      <c r="CS50" s="83">
        <v>40</v>
      </c>
      <c r="CT50" s="81">
        <v>40</v>
      </c>
      <c r="CU50" s="81">
        <v>40</v>
      </c>
      <c r="CV50" s="81">
        <v>40</v>
      </c>
      <c r="CW50" s="81">
        <v>40</v>
      </c>
      <c r="CX50" s="81">
        <v>40</v>
      </c>
      <c r="CY50" s="81">
        <v>40.5</v>
      </c>
      <c r="CZ50" s="81">
        <v>40.5</v>
      </c>
      <c r="DA50" s="81">
        <v>40.5</v>
      </c>
      <c r="DB50" s="81">
        <v>42</v>
      </c>
      <c r="DC50" s="81">
        <v>42</v>
      </c>
      <c r="DD50" s="81">
        <v>42</v>
      </c>
      <c r="DE50" s="81">
        <v>42</v>
      </c>
      <c r="DF50" s="81">
        <v>42</v>
      </c>
      <c r="DG50" s="81">
        <v>42</v>
      </c>
      <c r="DH50" s="83">
        <v>42</v>
      </c>
      <c r="DI50" s="81">
        <v>42</v>
      </c>
      <c r="DJ50" s="81">
        <v>42</v>
      </c>
      <c r="DK50" s="81">
        <v>42</v>
      </c>
      <c r="DL50" s="81">
        <v>42</v>
      </c>
      <c r="DM50" s="81">
        <v>42</v>
      </c>
      <c r="DN50" s="81">
        <v>42</v>
      </c>
      <c r="DO50" s="81">
        <v>42</v>
      </c>
      <c r="DP50" s="81">
        <v>42</v>
      </c>
      <c r="DQ50" s="81">
        <v>39.5</v>
      </c>
      <c r="DR50" s="81">
        <v>39.5</v>
      </c>
      <c r="DS50" s="81">
        <v>39.5</v>
      </c>
      <c r="DT50" s="81">
        <v>39.5</v>
      </c>
      <c r="DU50" s="81">
        <v>39.5</v>
      </c>
      <c r="DV50" s="81">
        <v>38.5</v>
      </c>
      <c r="DW50" s="81">
        <v>36.5</v>
      </c>
      <c r="DX50" s="81">
        <v>36.5</v>
      </c>
      <c r="DY50" s="81">
        <v>36.5</v>
      </c>
      <c r="DZ50" s="81">
        <v>36.5</v>
      </c>
      <c r="EA50" s="81">
        <v>35.5</v>
      </c>
      <c r="EB50" s="81">
        <v>35.5</v>
      </c>
      <c r="EC50" s="81">
        <v>35.5</v>
      </c>
      <c r="ED50" s="81">
        <v>36</v>
      </c>
      <c r="EE50" s="81">
        <v>46</v>
      </c>
      <c r="EF50" s="81">
        <v>46</v>
      </c>
      <c r="EG50" s="81">
        <v>48</v>
      </c>
      <c r="EH50" s="81">
        <v>48</v>
      </c>
      <c r="EI50" s="81">
        <v>48</v>
      </c>
      <c r="EJ50" s="81">
        <v>48</v>
      </c>
      <c r="EK50" s="81">
        <v>50</v>
      </c>
      <c r="EL50" s="81">
        <v>50</v>
      </c>
      <c r="EM50" s="81">
        <v>51</v>
      </c>
      <c r="EN50" s="81">
        <v>51</v>
      </c>
      <c r="EO50" s="81">
        <v>51.5</v>
      </c>
      <c r="EP50" s="81">
        <v>52</v>
      </c>
      <c r="EQ50" s="81">
        <v>52.5</v>
      </c>
      <c r="ER50" s="81">
        <v>52.5</v>
      </c>
      <c r="ES50" s="81">
        <v>52.5</v>
      </c>
      <c r="ET50" s="83">
        <v>52.5</v>
      </c>
      <c r="EU50" s="83">
        <v>52.5</v>
      </c>
      <c r="EV50" s="83">
        <v>52.5</v>
      </c>
      <c r="EW50" s="83">
        <v>52.5</v>
      </c>
      <c r="EX50" s="83">
        <v>52.5</v>
      </c>
      <c r="EY50" s="83">
        <v>52.5</v>
      </c>
      <c r="EZ50" s="83">
        <v>52.5</v>
      </c>
      <c r="FA50" s="83">
        <v>52.5</v>
      </c>
      <c r="FB50" s="83">
        <v>52.5</v>
      </c>
      <c r="FC50" s="83">
        <v>52.5</v>
      </c>
      <c r="FD50" s="83">
        <v>52.5</v>
      </c>
      <c r="FE50" s="83">
        <v>52.5</v>
      </c>
      <c r="FF50" s="83">
        <v>52.5</v>
      </c>
      <c r="FG50" s="83">
        <v>52.5</v>
      </c>
      <c r="FH50" s="83">
        <v>52.5</v>
      </c>
      <c r="FI50" s="83">
        <v>52.5</v>
      </c>
      <c r="FJ50" s="83">
        <v>48</v>
      </c>
      <c r="FK50" s="83">
        <v>48</v>
      </c>
      <c r="FL50" s="83">
        <v>43.5</v>
      </c>
      <c r="FM50" s="83">
        <v>43.5</v>
      </c>
      <c r="FN50" s="83">
        <v>39</v>
      </c>
      <c r="FO50" s="83">
        <v>36</v>
      </c>
      <c r="FP50" s="83">
        <v>36</v>
      </c>
      <c r="FQ50" s="83">
        <v>36</v>
      </c>
      <c r="FR50" s="83">
        <v>36</v>
      </c>
      <c r="FS50" s="83">
        <v>36</v>
      </c>
      <c r="FT50" s="83">
        <v>36</v>
      </c>
      <c r="FU50" s="83">
        <v>35.5</v>
      </c>
      <c r="FV50" s="83">
        <v>35</v>
      </c>
      <c r="FW50" s="83">
        <v>35</v>
      </c>
      <c r="FX50" s="83">
        <v>34.5</v>
      </c>
      <c r="FY50" s="83">
        <v>34.5</v>
      </c>
      <c r="FZ50" s="83">
        <v>34</v>
      </c>
      <c r="GA50" s="83">
        <v>33.700000000000003</v>
      </c>
      <c r="GB50" s="83">
        <v>33.700000000000003</v>
      </c>
      <c r="GC50" s="83">
        <v>33.700000000000003</v>
      </c>
      <c r="GD50" s="83">
        <v>33.700000000000003</v>
      </c>
      <c r="GE50" s="83">
        <v>32.5</v>
      </c>
      <c r="GF50" s="83">
        <v>32.5</v>
      </c>
      <c r="GG50" s="83">
        <v>32.5</v>
      </c>
      <c r="GH50" s="83">
        <v>32.5</v>
      </c>
      <c r="GI50" s="83">
        <v>32.5</v>
      </c>
      <c r="GJ50" s="83">
        <v>32.5</v>
      </c>
      <c r="GK50" s="83">
        <v>43</v>
      </c>
      <c r="GL50" s="83">
        <v>43</v>
      </c>
    </row>
    <row r="51" spans="1:194">
      <c r="B51" s="81" t="s">
        <v>166</v>
      </c>
      <c r="C51" s="83" t="s">
        <v>166</v>
      </c>
      <c r="AM51" s="82">
        <v>75</v>
      </c>
      <c r="AN51" s="83">
        <v>75</v>
      </c>
      <c r="AO51" s="83">
        <v>80</v>
      </c>
      <c r="AP51" s="83">
        <v>80</v>
      </c>
      <c r="AQ51" s="83">
        <v>78</v>
      </c>
      <c r="AR51" s="83">
        <v>78</v>
      </c>
      <c r="AU51" s="83">
        <v>62</v>
      </c>
      <c r="AV51" s="83">
        <v>62</v>
      </c>
      <c r="AW51" s="83">
        <v>62</v>
      </c>
      <c r="AX51" s="83">
        <v>62</v>
      </c>
      <c r="AY51" s="83">
        <v>61</v>
      </c>
      <c r="AZ51" s="82">
        <v>61</v>
      </c>
      <c r="BA51" s="83">
        <v>61</v>
      </c>
      <c r="BB51" s="82">
        <v>61</v>
      </c>
      <c r="BC51" s="83">
        <v>61</v>
      </c>
      <c r="BD51" s="83">
        <v>61</v>
      </c>
      <c r="BE51" s="83">
        <v>61</v>
      </c>
      <c r="BF51" s="83">
        <v>61</v>
      </c>
      <c r="BG51" s="82">
        <v>61</v>
      </c>
      <c r="BH51" s="83">
        <v>61</v>
      </c>
      <c r="BI51" s="83">
        <v>61</v>
      </c>
      <c r="BJ51" s="83">
        <v>61</v>
      </c>
      <c r="BK51" s="83">
        <v>62.5</v>
      </c>
      <c r="BL51" s="83">
        <v>62.5</v>
      </c>
      <c r="BM51" s="83">
        <v>62.5</v>
      </c>
      <c r="BN51" s="83">
        <v>59</v>
      </c>
      <c r="BO51" s="83">
        <v>55</v>
      </c>
      <c r="BP51" s="83">
        <v>51</v>
      </c>
      <c r="BQ51" s="83">
        <v>51</v>
      </c>
      <c r="BR51" s="83">
        <v>44</v>
      </c>
      <c r="BS51" s="83">
        <v>40</v>
      </c>
      <c r="BT51" s="83">
        <v>39</v>
      </c>
      <c r="BU51" s="83">
        <v>39</v>
      </c>
      <c r="BV51" s="83">
        <v>38</v>
      </c>
      <c r="BW51" s="83">
        <v>38</v>
      </c>
      <c r="BX51" s="83">
        <v>38</v>
      </c>
      <c r="BY51" s="83">
        <v>36.5</v>
      </c>
      <c r="BZ51" s="83">
        <v>36.5</v>
      </c>
      <c r="CA51" s="83">
        <v>36.5</v>
      </c>
      <c r="CB51" s="83">
        <v>36.5</v>
      </c>
      <c r="CC51" s="83">
        <v>36.5</v>
      </c>
      <c r="CD51" s="83">
        <v>36.5</v>
      </c>
      <c r="CE51" s="83">
        <v>36.5</v>
      </c>
      <c r="CF51" s="83">
        <v>36.5</v>
      </c>
      <c r="CG51" s="81">
        <v>36.5</v>
      </c>
      <c r="CH51" s="81">
        <v>36.5</v>
      </c>
      <c r="CI51" s="81">
        <v>36.5</v>
      </c>
      <c r="CJ51" s="81">
        <v>37</v>
      </c>
      <c r="CK51" s="81">
        <v>37</v>
      </c>
      <c r="CL51" s="81">
        <v>37</v>
      </c>
      <c r="CM51" s="81">
        <v>37</v>
      </c>
      <c r="CN51" s="83">
        <v>37</v>
      </c>
      <c r="CO51" s="83">
        <v>37</v>
      </c>
      <c r="CP51" s="81">
        <v>37</v>
      </c>
      <c r="CQ51" s="81">
        <v>37</v>
      </c>
      <c r="CR51" s="83">
        <v>37</v>
      </c>
      <c r="CS51" s="83">
        <v>37</v>
      </c>
      <c r="CT51" s="81">
        <v>37</v>
      </c>
      <c r="CU51" s="81">
        <v>37</v>
      </c>
      <c r="CV51" s="81">
        <v>37</v>
      </c>
      <c r="CW51" s="81">
        <v>37</v>
      </c>
      <c r="CX51" s="81">
        <v>37</v>
      </c>
      <c r="CY51" s="81">
        <v>37</v>
      </c>
      <c r="CZ51" s="81">
        <v>37</v>
      </c>
      <c r="DA51" s="81">
        <v>37</v>
      </c>
      <c r="DB51" s="81">
        <v>39</v>
      </c>
      <c r="DC51" s="81">
        <v>39</v>
      </c>
      <c r="DD51" s="81">
        <v>39</v>
      </c>
      <c r="DE51" s="81">
        <v>39</v>
      </c>
      <c r="DF51" s="81">
        <v>39</v>
      </c>
      <c r="DG51" s="81">
        <v>39</v>
      </c>
      <c r="DH51" s="83">
        <v>39</v>
      </c>
      <c r="DI51" s="81">
        <v>39</v>
      </c>
      <c r="DJ51" s="81">
        <v>39</v>
      </c>
      <c r="DK51" s="81">
        <v>39</v>
      </c>
      <c r="DL51" s="81">
        <v>39</v>
      </c>
      <c r="DM51" s="81">
        <v>39</v>
      </c>
      <c r="DN51" s="81">
        <v>39</v>
      </c>
      <c r="DO51" s="81">
        <v>39</v>
      </c>
      <c r="DP51" s="81">
        <v>39</v>
      </c>
      <c r="DQ51" s="81">
        <v>37.5</v>
      </c>
      <c r="DR51" s="81">
        <v>37.5</v>
      </c>
      <c r="DS51" s="81">
        <v>36.5</v>
      </c>
      <c r="DT51" s="81">
        <v>35.5</v>
      </c>
      <c r="DU51" s="81">
        <v>35.5</v>
      </c>
      <c r="DV51" s="81">
        <v>35.5</v>
      </c>
      <c r="DW51" s="81">
        <v>35.5</v>
      </c>
      <c r="DX51" s="81">
        <v>35.5</v>
      </c>
      <c r="DY51" s="81">
        <v>35.5</v>
      </c>
      <c r="DZ51" s="81">
        <v>35.5</v>
      </c>
      <c r="EA51" s="81">
        <v>34</v>
      </c>
      <c r="EB51" s="81">
        <v>34</v>
      </c>
      <c r="EC51" s="81">
        <v>36</v>
      </c>
      <c r="ED51" s="81">
        <v>34</v>
      </c>
      <c r="EE51" s="81">
        <v>44</v>
      </c>
      <c r="EF51" s="81">
        <v>44</v>
      </c>
      <c r="EG51" s="81">
        <v>45</v>
      </c>
      <c r="EH51" s="81">
        <v>45</v>
      </c>
      <c r="EI51" s="81">
        <v>45</v>
      </c>
      <c r="EJ51" s="81">
        <v>45</v>
      </c>
      <c r="EK51" s="81">
        <v>47</v>
      </c>
      <c r="EL51" s="81">
        <v>47</v>
      </c>
      <c r="EM51" s="81">
        <v>49</v>
      </c>
      <c r="EN51" s="81">
        <v>49</v>
      </c>
      <c r="EO51" s="81">
        <v>50</v>
      </c>
      <c r="EP51" s="81">
        <v>50</v>
      </c>
      <c r="EQ51" s="81">
        <v>50</v>
      </c>
      <c r="ER51" s="81">
        <v>50</v>
      </c>
      <c r="ES51" s="81">
        <v>50</v>
      </c>
      <c r="ET51" s="83">
        <v>50</v>
      </c>
      <c r="EU51" s="83">
        <v>50</v>
      </c>
      <c r="EV51" s="83">
        <v>50</v>
      </c>
      <c r="EW51" s="83">
        <v>50</v>
      </c>
      <c r="EX51" s="83">
        <v>50</v>
      </c>
      <c r="EY51" s="83">
        <v>50</v>
      </c>
      <c r="EZ51" s="83">
        <v>50</v>
      </c>
      <c r="FA51" s="83">
        <v>50</v>
      </c>
      <c r="FB51" s="83">
        <v>50</v>
      </c>
      <c r="FC51" s="83">
        <v>50</v>
      </c>
      <c r="FD51" s="83">
        <v>50</v>
      </c>
      <c r="FE51" s="83">
        <v>50</v>
      </c>
      <c r="FF51" s="83">
        <v>50</v>
      </c>
      <c r="FG51" s="83">
        <v>50</v>
      </c>
      <c r="FH51" s="83">
        <v>50</v>
      </c>
      <c r="FI51" s="83">
        <v>50</v>
      </c>
      <c r="FJ51" s="83">
        <v>46</v>
      </c>
      <c r="FK51" s="83">
        <v>46</v>
      </c>
      <c r="FL51" s="83">
        <v>42.5</v>
      </c>
      <c r="FM51" s="83">
        <v>42.5</v>
      </c>
      <c r="FN51" s="83">
        <v>38</v>
      </c>
      <c r="FO51" s="83">
        <v>35</v>
      </c>
      <c r="FP51" s="83">
        <v>35</v>
      </c>
      <c r="FQ51" s="83">
        <v>35</v>
      </c>
      <c r="FR51" s="83">
        <v>35</v>
      </c>
      <c r="FS51" s="83">
        <v>35</v>
      </c>
      <c r="FT51" s="83">
        <v>35</v>
      </c>
      <c r="FU51" s="83">
        <v>35</v>
      </c>
      <c r="FV51" s="83">
        <v>33.5</v>
      </c>
      <c r="FW51" s="83">
        <v>33.5</v>
      </c>
      <c r="FX51" s="83">
        <v>33.5</v>
      </c>
      <c r="FY51" s="83">
        <v>33.5</v>
      </c>
      <c r="FZ51" s="83">
        <v>33</v>
      </c>
      <c r="GA51" s="83">
        <v>33</v>
      </c>
      <c r="GB51" s="83">
        <v>33</v>
      </c>
      <c r="GC51" s="83">
        <v>33</v>
      </c>
      <c r="GD51" s="83">
        <v>33</v>
      </c>
      <c r="GE51" s="83">
        <v>31.5</v>
      </c>
      <c r="GF51" s="83">
        <v>31.5</v>
      </c>
      <c r="GG51" s="83">
        <v>31.5</v>
      </c>
      <c r="GH51" s="83">
        <v>31.5</v>
      </c>
      <c r="GI51" s="83">
        <v>31.5</v>
      </c>
      <c r="GJ51" s="83">
        <v>31.5</v>
      </c>
      <c r="GK51" s="83">
        <v>41</v>
      </c>
      <c r="GL51" s="83">
        <v>41</v>
      </c>
    </row>
    <row r="52" spans="1:194" s="82" customFormat="1" ht="15" customHeight="1">
      <c r="A52" s="94" t="s">
        <v>167</v>
      </c>
      <c r="B52" s="88" t="s">
        <v>168</v>
      </c>
      <c r="C52" s="83" t="s">
        <v>169</v>
      </c>
      <c r="BF52" s="82">
        <v>0.96</v>
      </c>
      <c r="BG52" s="82">
        <v>0.96</v>
      </c>
      <c r="BH52" s="82">
        <v>0.96</v>
      </c>
      <c r="BI52" s="82">
        <v>0.96</v>
      </c>
      <c r="BJ52" s="82">
        <v>0.96</v>
      </c>
      <c r="BK52" s="82">
        <v>0.96</v>
      </c>
      <c r="BL52" s="82">
        <v>0.96</v>
      </c>
      <c r="BM52" s="82">
        <v>0.96</v>
      </c>
      <c r="BN52" s="82">
        <v>0.96</v>
      </c>
      <c r="BO52" s="82">
        <v>0.96</v>
      </c>
      <c r="BP52" s="82">
        <v>0.96</v>
      </c>
      <c r="BQ52" s="82">
        <v>0.96</v>
      </c>
      <c r="BR52" s="82">
        <v>0.94</v>
      </c>
      <c r="BS52" s="82">
        <v>0.93</v>
      </c>
      <c r="BT52" s="82">
        <v>0.91</v>
      </c>
      <c r="BU52" s="82">
        <v>0.89</v>
      </c>
      <c r="BV52" s="82">
        <v>0.87</v>
      </c>
      <c r="BW52" s="82">
        <v>0.87</v>
      </c>
      <c r="BX52" s="82">
        <v>0.87</v>
      </c>
      <c r="BY52" s="82">
        <v>0.84</v>
      </c>
      <c r="BZ52" s="82">
        <v>0.82</v>
      </c>
      <c r="CA52" s="82">
        <v>0.82</v>
      </c>
      <c r="CB52" s="82">
        <v>0.82</v>
      </c>
      <c r="CC52" s="82">
        <v>0.81</v>
      </c>
      <c r="CD52" s="82">
        <v>0.81</v>
      </c>
      <c r="CE52" s="82">
        <v>0.81</v>
      </c>
      <c r="CF52" s="82">
        <v>0.81</v>
      </c>
      <c r="CG52" s="81">
        <v>0.79</v>
      </c>
      <c r="CH52" s="81">
        <v>0.78500000000000003</v>
      </c>
      <c r="CI52" s="81">
        <v>0.78500000000000003</v>
      </c>
      <c r="CJ52" s="81">
        <v>0.76</v>
      </c>
      <c r="CK52" s="81">
        <v>0.76</v>
      </c>
      <c r="CL52" s="81">
        <v>0.76</v>
      </c>
      <c r="CM52" s="81">
        <v>0.76</v>
      </c>
      <c r="CN52" s="82">
        <v>0.75</v>
      </c>
      <c r="CO52" s="82">
        <v>0.75</v>
      </c>
      <c r="CP52" s="81">
        <v>0.73</v>
      </c>
      <c r="CQ52" s="81">
        <v>0.73</v>
      </c>
      <c r="CR52" s="82">
        <v>0.72499999999999998</v>
      </c>
      <c r="CS52" s="82">
        <v>0.72499999999999998</v>
      </c>
      <c r="CT52" s="81">
        <v>0.71</v>
      </c>
      <c r="CU52" s="81">
        <v>0.71</v>
      </c>
      <c r="CV52" s="81">
        <v>0.71</v>
      </c>
      <c r="CW52" s="81">
        <v>0.71</v>
      </c>
      <c r="CX52" s="81">
        <v>0.71</v>
      </c>
      <c r="CY52" s="81">
        <v>0.71</v>
      </c>
      <c r="CZ52" s="81">
        <v>0.71</v>
      </c>
      <c r="DA52" s="81">
        <v>0.71</v>
      </c>
      <c r="DB52" s="81">
        <v>0.71</v>
      </c>
      <c r="DC52" s="81">
        <v>0.71</v>
      </c>
      <c r="DD52" s="81">
        <v>0.69499999999999995</v>
      </c>
      <c r="DE52" s="81">
        <v>0.69499999999999995</v>
      </c>
      <c r="DF52" s="81">
        <v>0.69</v>
      </c>
      <c r="DG52" s="81">
        <v>0.69</v>
      </c>
      <c r="DH52" s="82">
        <v>0.69499999999999995</v>
      </c>
      <c r="DI52" s="81">
        <v>0.69499999999999995</v>
      </c>
      <c r="DJ52" s="81">
        <v>0.71</v>
      </c>
      <c r="DK52" s="81">
        <v>0.72499999999999998</v>
      </c>
      <c r="DL52" s="81">
        <v>0.75</v>
      </c>
      <c r="DM52" s="81">
        <v>0.75</v>
      </c>
      <c r="DN52" s="81">
        <v>0.75</v>
      </c>
      <c r="DO52" s="81">
        <v>0.75</v>
      </c>
      <c r="DP52" s="81">
        <v>0.72</v>
      </c>
      <c r="DQ52" s="81">
        <v>0.72</v>
      </c>
      <c r="DR52" s="81">
        <v>0.71</v>
      </c>
      <c r="DS52" s="81">
        <v>0.69499999999999995</v>
      </c>
      <c r="DT52" s="81">
        <v>0.67500000000000004</v>
      </c>
      <c r="DU52" s="81">
        <v>0.67500000000000004</v>
      </c>
      <c r="DV52" s="81">
        <v>0.67500000000000004</v>
      </c>
      <c r="DW52" s="81">
        <v>0.67</v>
      </c>
      <c r="DX52" s="81">
        <v>0.67</v>
      </c>
      <c r="DY52" s="81">
        <v>0.67</v>
      </c>
      <c r="DZ52" s="81">
        <v>0.67</v>
      </c>
      <c r="EA52" s="81">
        <v>0.67</v>
      </c>
      <c r="EB52" s="81">
        <v>0.67</v>
      </c>
      <c r="EC52" s="81">
        <v>0.67</v>
      </c>
      <c r="ED52" s="81">
        <v>0.67</v>
      </c>
      <c r="EE52" s="81">
        <v>0.67800000000000005</v>
      </c>
      <c r="EF52" s="81">
        <v>0.7</v>
      </c>
      <c r="EG52" s="81">
        <v>0.7</v>
      </c>
      <c r="EH52" s="81">
        <v>0.7</v>
      </c>
      <c r="EI52" s="81">
        <v>0.7</v>
      </c>
      <c r="EJ52" s="81">
        <v>0.7</v>
      </c>
      <c r="EK52" s="81">
        <v>0.7</v>
      </c>
      <c r="EL52" s="81">
        <v>0.7</v>
      </c>
      <c r="EM52" s="81">
        <v>0.7</v>
      </c>
      <c r="EN52" s="81">
        <v>0.7</v>
      </c>
      <c r="EO52" s="81">
        <v>0.7</v>
      </c>
      <c r="EP52" s="81">
        <v>0.7</v>
      </c>
      <c r="EQ52" s="81">
        <v>0.7</v>
      </c>
      <c r="ER52" s="81">
        <v>0.7</v>
      </c>
      <c r="ES52" s="81">
        <v>0.7</v>
      </c>
      <c r="ET52" s="83">
        <v>0.7</v>
      </c>
      <c r="EU52" s="83">
        <v>0.7</v>
      </c>
      <c r="EV52" s="83">
        <v>0.7</v>
      </c>
      <c r="EW52" s="83">
        <v>0.7</v>
      </c>
      <c r="EX52" s="83">
        <v>0.69</v>
      </c>
      <c r="EY52" s="83">
        <v>0.69</v>
      </c>
      <c r="EZ52" s="83">
        <v>0.69</v>
      </c>
      <c r="FA52" s="83">
        <v>0.69</v>
      </c>
      <c r="FB52" s="83">
        <v>0.69</v>
      </c>
      <c r="FC52" s="83">
        <v>0.69</v>
      </c>
      <c r="FD52" s="83">
        <v>0.73</v>
      </c>
      <c r="FE52" s="83">
        <v>0.79</v>
      </c>
      <c r="FF52" s="83">
        <v>0.8</v>
      </c>
      <c r="FG52" s="83">
        <v>0.8</v>
      </c>
      <c r="FH52" s="83">
        <v>0.8</v>
      </c>
      <c r="FI52" s="83">
        <v>0.86</v>
      </c>
      <c r="FJ52" s="83">
        <v>0.86</v>
      </c>
      <c r="FK52" s="83">
        <v>0.86</v>
      </c>
      <c r="FL52" s="83">
        <v>0.83</v>
      </c>
      <c r="FM52" s="83">
        <v>0.82</v>
      </c>
      <c r="FN52" s="83">
        <v>0.79</v>
      </c>
      <c r="FO52" s="83">
        <v>0.78</v>
      </c>
      <c r="FP52" s="83">
        <v>0.78</v>
      </c>
      <c r="FQ52" s="83">
        <v>0.76900000000000002</v>
      </c>
      <c r="FR52" s="83">
        <v>0.76900000000000002</v>
      </c>
      <c r="FS52" s="83">
        <v>0.76900000000000002</v>
      </c>
      <c r="FT52" s="83">
        <v>0.76</v>
      </c>
      <c r="FU52" s="83">
        <v>0.755</v>
      </c>
      <c r="FV52" s="83">
        <v>0.755</v>
      </c>
      <c r="FW52" s="83">
        <v>0.755</v>
      </c>
      <c r="FX52" s="83">
        <v>0.745</v>
      </c>
      <c r="FY52" s="83">
        <v>0.745</v>
      </c>
      <c r="FZ52" s="83">
        <v>0.73</v>
      </c>
      <c r="GA52" s="83">
        <v>0.72</v>
      </c>
      <c r="GB52" s="83">
        <v>0.70499999999999996</v>
      </c>
      <c r="GC52" s="83">
        <v>0.7</v>
      </c>
      <c r="GD52" s="83">
        <v>0.7</v>
      </c>
      <c r="GE52" s="83">
        <v>0.68500000000000005</v>
      </c>
      <c r="GF52" s="83">
        <v>0.68500000000000005</v>
      </c>
      <c r="GG52" s="83">
        <v>0.68500000000000005</v>
      </c>
      <c r="GH52" s="83">
        <v>0.69499999999999995</v>
      </c>
      <c r="GI52" s="83">
        <v>0.70499999999999996</v>
      </c>
      <c r="GJ52" s="83">
        <v>0.70499999999999996</v>
      </c>
      <c r="GK52" s="83">
        <v>0.70499999999999996</v>
      </c>
      <c r="GL52" s="82">
        <v>0.70499999999999996</v>
      </c>
    </row>
    <row r="53" spans="1:194" ht="17.25">
      <c r="A53" s="94">
        <v>21</v>
      </c>
      <c r="B53" s="88" t="s">
        <v>170</v>
      </c>
      <c r="C53" s="83" t="s">
        <v>171</v>
      </c>
      <c r="D53" s="82" t="s">
        <v>100</v>
      </c>
      <c r="BJ53" s="83">
        <v>1.1000000000000001</v>
      </c>
      <c r="BK53" s="83">
        <v>1.1000000000000001</v>
      </c>
      <c r="BL53" s="83">
        <v>1.1000000000000001</v>
      </c>
      <c r="BM53" s="83">
        <v>1.1000000000000001</v>
      </c>
      <c r="BN53" s="83">
        <v>1.05</v>
      </c>
      <c r="BO53" s="83">
        <v>1.05</v>
      </c>
      <c r="BP53" s="83">
        <v>1.05</v>
      </c>
      <c r="BQ53" s="83">
        <v>1.05</v>
      </c>
      <c r="BR53" s="83">
        <v>1.05</v>
      </c>
      <c r="BS53" s="83">
        <v>1.05</v>
      </c>
      <c r="BT53" s="83">
        <v>1.05</v>
      </c>
      <c r="BU53" s="83">
        <v>1.05</v>
      </c>
      <c r="BV53" s="83">
        <v>1.05</v>
      </c>
      <c r="BW53" s="83">
        <v>1.05</v>
      </c>
      <c r="BX53" s="83">
        <v>1.05</v>
      </c>
      <c r="BY53" s="83">
        <v>1.05</v>
      </c>
      <c r="BZ53" s="83">
        <v>0.95</v>
      </c>
      <c r="CA53" s="83">
        <v>0.9</v>
      </c>
      <c r="CB53" s="83">
        <v>0.86</v>
      </c>
      <c r="CC53" s="83">
        <v>0.85</v>
      </c>
      <c r="CD53" s="83">
        <v>0.85</v>
      </c>
      <c r="CE53" s="83">
        <v>0.84</v>
      </c>
      <c r="CF53" s="83">
        <v>0.84</v>
      </c>
      <c r="CG53" s="83">
        <v>0.84</v>
      </c>
      <c r="CH53" s="81">
        <v>0.83499999999999996</v>
      </c>
      <c r="CI53" s="81">
        <v>0.83499999999999996</v>
      </c>
      <c r="CJ53" s="81">
        <v>0.82</v>
      </c>
      <c r="CK53" s="81">
        <v>0.81</v>
      </c>
      <c r="CL53" s="81">
        <v>0.81</v>
      </c>
      <c r="CM53" s="81">
        <v>0.81</v>
      </c>
      <c r="CN53" s="83">
        <v>0.78</v>
      </c>
      <c r="CO53" s="83">
        <v>0.78</v>
      </c>
      <c r="CP53" s="81">
        <v>0.78</v>
      </c>
      <c r="CQ53" s="81">
        <v>0.78</v>
      </c>
      <c r="CR53" s="83">
        <v>0.78</v>
      </c>
      <c r="CS53" s="83">
        <v>0.78</v>
      </c>
      <c r="CT53" s="81">
        <v>0.78</v>
      </c>
      <c r="CU53" s="81">
        <v>0.78</v>
      </c>
      <c r="CV53" s="81">
        <v>0.78</v>
      </c>
      <c r="CW53" s="81">
        <v>0.78</v>
      </c>
      <c r="CX53" s="81">
        <v>0.75</v>
      </c>
      <c r="CY53" s="81">
        <v>0.75</v>
      </c>
      <c r="CZ53" s="81">
        <v>0.75</v>
      </c>
      <c r="DA53" s="81">
        <v>0.75</v>
      </c>
      <c r="DB53" s="81">
        <v>0.75</v>
      </c>
      <c r="DC53" s="81">
        <v>0.75</v>
      </c>
      <c r="DD53" s="81">
        <v>0.75</v>
      </c>
      <c r="DE53" s="81">
        <v>0.75</v>
      </c>
      <c r="DF53" s="81">
        <v>0.75</v>
      </c>
      <c r="DG53" s="81">
        <v>0.75</v>
      </c>
      <c r="DH53" s="83">
        <v>0.75</v>
      </c>
      <c r="DI53" s="81">
        <v>0.75</v>
      </c>
      <c r="DJ53" s="81">
        <v>0.75</v>
      </c>
      <c r="DK53" s="81">
        <v>0.75</v>
      </c>
      <c r="DL53" s="81">
        <v>0.79</v>
      </c>
      <c r="DM53" s="81">
        <v>0.79500000000000004</v>
      </c>
      <c r="DN53" s="81">
        <v>0.79500000000000004</v>
      </c>
      <c r="DO53" s="81">
        <v>0.79500000000000004</v>
      </c>
      <c r="DP53" s="81">
        <v>0.76</v>
      </c>
      <c r="DQ53" s="81">
        <v>0.76</v>
      </c>
      <c r="DR53" s="81">
        <v>0.76</v>
      </c>
      <c r="DS53" s="81">
        <v>0.76</v>
      </c>
      <c r="DT53" s="81">
        <v>0.76</v>
      </c>
      <c r="DU53" s="81">
        <v>0.755</v>
      </c>
      <c r="DV53" s="81">
        <v>0.755</v>
      </c>
      <c r="DW53" s="81">
        <v>0.755</v>
      </c>
      <c r="DX53" s="81">
        <v>0.755</v>
      </c>
      <c r="DY53" s="81">
        <v>0.755</v>
      </c>
      <c r="DZ53" s="81">
        <v>0.755</v>
      </c>
      <c r="EA53" s="81">
        <v>0.755</v>
      </c>
      <c r="EB53" s="81"/>
      <c r="EC53" s="81"/>
      <c r="ED53" s="81"/>
      <c r="EE53" s="81"/>
      <c r="EF53" s="81"/>
      <c r="EG53" s="81"/>
      <c r="EH53" s="81"/>
      <c r="EI53" s="81"/>
      <c r="EJ53" s="81"/>
      <c r="EK53" s="81"/>
      <c r="EL53" s="81"/>
      <c r="EM53" s="81"/>
      <c r="EN53" s="81"/>
      <c r="EO53" s="81"/>
      <c r="EQ53" s="81"/>
      <c r="ES53" s="81"/>
    </row>
    <row r="54" spans="1:194" ht="17.25">
      <c r="A54" s="95" t="s">
        <v>172</v>
      </c>
      <c r="B54" s="81" t="s">
        <v>173</v>
      </c>
      <c r="C54" s="82" t="s">
        <v>174</v>
      </c>
      <c r="CL54" s="81">
        <v>1.3</v>
      </c>
      <c r="CM54" s="81">
        <v>1.25</v>
      </c>
      <c r="CN54" s="83">
        <v>1.3</v>
      </c>
      <c r="CO54" s="83">
        <v>1.3</v>
      </c>
      <c r="CP54" s="81">
        <v>1.25</v>
      </c>
      <c r="CQ54" s="81">
        <v>1.25</v>
      </c>
      <c r="CR54" s="83">
        <v>1.25</v>
      </c>
      <c r="CS54" s="83">
        <v>1.2</v>
      </c>
      <c r="CT54" s="81">
        <v>1.2</v>
      </c>
      <c r="CU54" s="81">
        <v>1.2</v>
      </c>
      <c r="CV54" s="81">
        <v>1.2</v>
      </c>
      <c r="CW54" s="81">
        <v>1.2</v>
      </c>
      <c r="CX54" s="81">
        <v>1.2</v>
      </c>
      <c r="CY54" s="81">
        <v>1.1499999999999999</v>
      </c>
      <c r="CZ54" s="81">
        <v>1.2</v>
      </c>
      <c r="DA54" s="81">
        <v>1.25</v>
      </c>
      <c r="DB54" s="81">
        <v>1.33</v>
      </c>
      <c r="DC54" s="81">
        <v>1.33</v>
      </c>
      <c r="DD54" s="81">
        <v>1.33</v>
      </c>
      <c r="DE54" s="81">
        <v>1.33</v>
      </c>
      <c r="DF54" s="81">
        <v>1.33</v>
      </c>
      <c r="DG54" s="81">
        <v>1.3</v>
      </c>
      <c r="DH54" s="83">
        <v>1.3</v>
      </c>
      <c r="DI54" s="81">
        <v>1.35</v>
      </c>
      <c r="DJ54" s="81">
        <v>1.4</v>
      </c>
      <c r="DK54" s="81">
        <v>1.4</v>
      </c>
      <c r="DL54" s="81">
        <v>1.45</v>
      </c>
      <c r="DM54" s="81">
        <v>1.45</v>
      </c>
      <c r="DN54" s="81">
        <v>1.55</v>
      </c>
      <c r="DO54" s="81">
        <v>1.53</v>
      </c>
      <c r="DP54" s="81">
        <v>1.5</v>
      </c>
      <c r="DQ54" s="81">
        <v>1.3</v>
      </c>
      <c r="DR54" s="81">
        <v>1.3</v>
      </c>
      <c r="DS54" s="81">
        <v>1.1499999999999999</v>
      </c>
      <c r="DT54" s="81">
        <v>1.1000000000000001</v>
      </c>
      <c r="DU54" s="81">
        <v>1.1000000000000001</v>
      </c>
      <c r="DV54" s="81">
        <v>1.0900000000000001</v>
      </c>
      <c r="DW54" s="81">
        <v>1.08</v>
      </c>
      <c r="DX54" s="81">
        <v>1.08</v>
      </c>
      <c r="DY54" s="81">
        <v>1.08</v>
      </c>
      <c r="DZ54" s="81">
        <v>1.08</v>
      </c>
      <c r="EA54" s="81">
        <v>1.03</v>
      </c>
      <c r="EB54" s="81">
        <v>1.0249999999999999</v>
      </c>
      <c r="EC54" s="81">
        <v>1.0249999999999999</v>
      </c>
      <c r="ED54" s="81">
        <v>1.1000000000000001</v>
      </c>
      <c r="EE54" s="81">
        <v>1.2</v>
      </c>
      <c r="EF54" s="81">
        <v>1.25</v>
      </c>
      <c r="EG54" s="81">
        <v>1.35</v>
      </c>
      <c r="EH54" s="81">
        <v>1.35</v>
      </c>
      <c r="EI54" s="81">
        <v>1.35</v>
      </c>
      <c r="EJ54" s="81">
        <v>1.35</v>
      </c>
      <c r="EK54" s="81">
        <v>1.4</v>
      </c>
      <c r="EL54" s="81">
        <v>1.4</v>
      </c>
      <c r="EM54" s="81">
        <v>1.4</v>
      </c>
      <c r="EN54" s="81">
        <v>1.4</v>
      </c>
      <c r="EO54" s="81">
        <v>1.4</v>
      </c>
      <c r="EP54" s="81">
        <v>1.4</v>
      </c>
      <c r="EQ54" s="81">
        <v>1.4</v>
      </c>
      <c r="ER54" s="81">
        <v>1.4</v>
      </c>
      <c r="ES54" s="81">
        <v>1.4</v>
      </c>
      <c r="ET54" s="83">
        <v>1.33</v>
      </c>
      <c r="EU54" s="83">
        <v>1.3</v>
      </c>
      <c r="EV54" s="83">
        <v>1.3</v>
      </c>
      <c r="EW54" s="83">
        <v>1.25</v>
      </c>
      <c r="EX54" s="83">
        <v>1.23</v>
      </c>
      <c r="EY54" s="83">
        <v>1.2</v>
      </c>
      <c r="EZ54" s="83">
        <v>1.2</v>
      </c>
      <c r="FA54" s="83">
        <v>1.3</v>
      </c>
      <c r="FB54" s="83">
        <v>1.3</v>
      </c>
      <c r="FC54" s="83">
        <v>1.35</v>
      </c>
      <c r="FD54" s="83">
        <v>1.35</v>
      </c>
      <c r="FE54" s="83">
        <v>1.35</v>
      </c>
      <c r="FF54" s="83">
        <v>1.3</v>
      </c>
      <c r="FG54" s="83">
        <v>1.28</v>
      </c>
      <c r="FH54" s="83">
        <v>1.2</v>
      </c>
      <c r="FI54" s="83">
        <v>1.2</v>
      </c>
      <c r="FJ54" s="83">
        <v>1.17</v>
      </c>
      <c r="FK54" s="83">
        <v>1.1499999999999999</v>
      </c>
      <c r="FL54" s="83">
        <v>1.1000000000000001</v>
      </c>
      <c r="FM54" s="83">
        <v>1.1000000000000001</v>
      </c>
      <c r="FN54" s="83">
        <v>1.05</v>
      </c>
      <c r="FO54" s="83">
        <v>1.02</v>
      </c>
      <c r="FP54" s="83">
        <v>0.99</v>
      </c>
      <c r="FQ54" s="83">
        <v>0.99</v>
      </c>
      <c r="FR54" s="83">
        <v>0.99</v>
      </c>
      <c r="FS54" s="83">
        <v>0.99</v>
      </c>
      <c r="FT54" s="83">
        <v>0.99</v>
      </c>
      <c r="FU54" s="83">
        <v>0.99</v>
      </c>
      <c r="FV54" s="83">
        <v>0.99</v>
      </c>
      <c r="FW54" s="83">
        <v>0.99</v>
      </c>
      <c r="FX54" s="83">
        <v>0.98</v>
      </c>
      <c r="FY54" s="83">
        <v>0.98</v>
      </c>
      <c r="FZ54" s="83">
        <v>0.98</v>
      </c>
      <c r="GA54" s="83">
        <v>0.98</v>
      </c>
      <c r="GB54" s="83">
        <v>0.98</v>
      </c>
      <c r="GC54" s="83">
        <v>0.95</v>
      </c>
      <c r="GD54" s="83">
        <v>0.95</v>
      </c>
      <c r="GE54" s="83">
        <v>0.9</v>
      </c>
      <c r="GF54" s="83">
        <v>0.9</v>
      </c>
      <c r="GG54" s="83">
        <v>0.9</v>
      </c>
      <c r="GH54" s="83">
        <v>1</v>
      </c>
      <c r="GI54" s="83">
        <v>1.1499999999999999</v>
      </c>
      <c r="GJ54" s="83">
        <v>1.1000000000000001</v>
      </c>
      <c r="GK54" s="83">
        <v>1.08</v>
      </c>
      <c r="GL54" s="83">
        <v>1.05</v>
      </c>
    </row>
    <row r="55" spans="1:194" ht="17.25">
      <c r="A55" s="95" t="s">
        <v>97</v>
      </c>
      <c r="B55" s="81" t="s">
        <v>112</v>
      </c>
      <c r="C55" s="82" t="s">
        <v>175</v>
      </c>
      <c r="CL55" s="81">
        <v>0.28999999999999998</v>
      </c>
      <c r="CM55" s="81">
        <v>0.28000000000000003</v>
      </c>
      <c r="CN55" s="83">
        <v>0.28499999999999998</v>
      </c>
      <c r="CO55" s="83">
        <v>0.28499999999999998</v>
      </c>
      <c r="CP55" s="81">
        <v>0.28499999999999998</v>
      </c>
      <c r="CQ55" s="81">
        <v>0.28499999999999998</v>
      </c>
      <c r="CR55" s="83">
        <v>0.28499999999999998</v>
      </c>
      <c r="CS55" s="83">
        <v>0.28499999999999998</v>
      </c>
      <c r="CT55" s="81">
        <v>0.27500000000000002</v>
      </c>
      <c r="CU55" s="81">
        <v>0.27500000000000002</v>
      </c>
      <c r="CV55" s="81">
        <v>0.27500000000000002</v>
      </c>
      <c r="CW55" s="81">
        <v>0.27500000000000002</v>
      </c>
      <c r="CX55" s="81">
        <v>0.27500000000000002</v>
      </c>
      <c r="CY55" s="81">
        <v>0.27500000000000002</v>
      </c>
      <c r="CZ55" s="81">
        <v>0.28000000000000003</v>
      </c>
      <c r="DA55" s="81">
        <v>0.28499999999999998</v>
      </c>
      <c r="DB55" s="81">
        <v>0.28499999999999998</v>
      </c>
      <c r="DC55" s="81">
        <v>0.28499999999999998</v>
      </c>
      <c r="DD55" s="81">
        <v>0.28499999999999998</v>
      </c>
      <c r="DE55" s="81">
        <v>0.28499999999999998</v>
      </c>
      <c r="DF55" s="83">
        <v>0.28499999999999998</v>
      </c>
      <c r="DG55" s="83">
        <v>0.28499999999999998</v>
      </c>
      <c r="DH55" s="83">
        <v>0.28499999999999998</v>
      </c>
      <c r="DI55" s="83">
        <v>0.29799999999999999</v>
      </c>
      <c r="DJ55" s="83">
        <v>0.31</v>
      </c>
      <c r="DK55" s="83">
        <v>0.35</v>
      </c>
      <c r="DL55" s="81">
        <v>0.35</v>
      </c>
      <c r="DM55" s="81">
        <v>0.34</v>
      </c>
      <c r="DN55" s="81">
        <v>0.34</v>
      </c>
      <c r="DO55" s="81">
        <v>0.33</v>
      </c>
      <c r="DP55" s="81">
        <v>0.29499999999999998</v>
      </c>
      <c r="DQ55" s="81">
        <v>0.28000000000000003</v>
      </c>
      <c r="DR55" s="81">
        <v>0.28000000000000003</v>
      </c>
      <c r="DS55" s="81">
        <v>0.26800000000000002</v>
      </c>
      <c r="DT55" s="81">
        <v>0.26500000000000001</v>
      </c>
      <c r="DU55" s="81">
        <v>0.26500000000000001</v>
      </c>
      <c r="DV55" s="81">
        <v>0.26</v>
      </c>
      <c r="DW55" s="81">
        <v>0.26</v>
      </c>
      <c r="DX55" s="81">
        <v>0.26</v>
      </c>
      <c r="DY55" s="81">
        <v>0.26</v>
      </c>
      <c r="DZ55" s="81">
        <v>0.26</v>
      </c>
      <c r="EA55" s="81">
        <v>0.26</v>
      </c>
      <c r="EB55" s="81">
        <v>0.255</v>
      </c>
      <c r="EC55" s="81">
        <v>0.245</v>
      </c>
      <c r="ED55" s="81">
        <v>0.245</v>
      </c>
      <c r="EE55" s="81">
        <v>0.26200000000000001</v>
      </c>
      <c r="EF55" s="81">
        <v>0.27500000000000002</v>
      </c>
      <c r="EG55" s="81">
        <v>0.28999999999999998</v>
      </c>
      <c r="EH55" s="81">
        <v>0.28999999999999998</v>
      </c>
      <c r="EI55" s="81">
        <v>0.28999999999999998</v>
      </c>
      <c r="EJ55" s="81">
        <v>0.28999999999999998</v>
      </c>
      <c r="EK55" s="81">
        <v>0.29099999999999998</v>
      </c>
      <c r="EL55" s="81">
        <v>0.29099999999999998</v>
      </c>
      <c r="EM55" s="81">
        <v>0.28899999999999998</v>
      </c>
      <c r="EN55" s="81">
        <v>0.28999999999999998</v>
      </c>
      <c r="EO55" s="81">
        <v>0.28999999999999998</v>
      </c>
      <c r="EP55" s="81">
        <v>0.28999999999999998</v>
      </c>
      <c r="EQ55" s="81">
        <v>0.28999999999999998</v>
      </c>
      <c r="ER55" s="81">
        <v>0.28399999999999997</v>
      </c>
      <c r="ES55" s="81">
        <v>0.28399999999999997</v>
      </c>
      <c r="ET55" s="83">
        <v>0.28399999999999997</v>
      </c>
      <c r="EU55" s="83">
        <v>0.28399999999999997</v>
      </c>
      <c r="EV55" s="83">
        <v>0.28199999999999997</v>
      </c>
      <c r="EW55" s="83">
        <v>0.27800000000000002</v>
      </c>
      <c r="EX55" s="83">
        <v>0.27500000000000002</v>
      </c>
      <c r="EY55" s="83">
        <v>0.27300000000000002</v>
      </c>
      <c r="EZ55" s="83">
        <v>0.28999999999999998</v>
      </c>
      <c r="FA55" s="83">
        <v>0.31</v>
      </c>
      <c r="FB55" s="83">
        <v>0.31</v>
      </c>
      <c r="FC55" s="83">
        <v>0.37</v>
      </c>
      <c r="FD55" s="83">
        <v>0.38</v>
      </c>
      <c r="FE55" s="83">
        <v>0.41</v>
      </c>
      <c r="FF55" s="83">
        <v>0.435</v>
      </c>
      <c r="FG55" s="83">
        <v>0.435</v>
      </c>
      <c r="FH55" s="83">
        <v>0.435</v>
      </c>
      <c r="FI55" s="83">
        <v>0.435</v>
      </c>
      <c r="FJ55" s="83">
        <v>0.42</v>
      </c>
      <c r="FK55" s="83">
        <v>0.42</v>
      </c>
      <c r="FL55" s="83">
        <v>0.41</v>
      </c>
      <c r="FM55" s="83">
        <v>0.39</v>
      </c>
      <c r="FN55" s="83">
        <v>0.375</v>
      </c>
      <c r="FO55" s="83">
        <v>0.36</v>
      </c>
      <c r="FP55" s="83">
        <v>0.35499999999999998</v>
      </c>
      <c r="FQ55" s="83">
        <v>0.34</v>
      </c>
      <c r="FR55" s="83">
        <v>0.34</v>
      </c>
      <c r="FS55" s="83">
        <v>0.34</v>
      </c>
      <c r="FT55" s="83">
        <v>0.34</v>
      </c>
      <c r="FU55" s="83">
        <v>0.34</v>
      </c>
      <c r="FV55" s="83">
        <v>0.33</v>
      </c>
      <c r="FW55" s="83">
        <v>0.33</v>
      </c>
      <c r="FX55" s="83">
        <v>0.315</v>
      </c>
      <c r="FY55" s="83">
        <v>0.31</v>
      </c>
      <c r="FZ55" s="83">
        <v>0.28999999999999998</v>
      </c>
      <c r="GA55" s="83">
        <v>0.27</v>
      </c>
      <c r="GB55" s="83">
        <v>0.26800000000000002</v>
      </c>
      <c r="GC55" s="83">
        <v>0.26800000000000002</v>
      </c>
      <c r="GD55" s="83">
        <v>0.26800000000000002</v>
      </c>
      <c r="GE55" s="83">
        <v>0.26800000000000002</v>
      </c>
      <c r="GF55" s="83">
        <v>0.26800000000000002</v>
      </c>
      <c r="GG55" s="83">
        <v>0.28999999999999998</v>
      </c>
      <c r="GH55" s="83">
        <v>0.38</v>
      </c>
      <c r="GI55" s="83">
        <v>0.30499999999999999</v>
      </c>
      <c r="GJ55" s="83">
        <v>0.3</v>
      </c>
      <c r="GK55" s="83">
        <v>0.3</v>
      </c>
      <c r="GL55" s="83">
        <v>0.315</v>
      </c>
    </row>
    <row r="56" spans="1:194">
      <c r="B56" s="81" t="s">
        <v>139</v>
      </c>
      <c r="C56" s="83" t="s">
        <v>176</v>
      </c>
      <c r="CU56" s="81"/>
      <c r="CV56" s="81"/>
      <c r="CY56" s="81"/>
      <c r="CZ56" s="81"/>
      <c r="DA56" s="81"/>
      <c r="DB56" s="81">
        <v>0.68</v>
      </c>
      <c r="DC56" s="81">
        <v>0.64</v>
      </c>
      <c r="DD56" s="81">
        <v>0.62</v>
      </c>
      <c r="DE56" s="81">
        <v>0.62</v>
      </c>
      <c r="DF56" s="81">
        <v>0.67</v>
      </c>
      <c r="DG56" s="81">
        <v>0.67</v>
      </c>
      <c r="DH56" s="83">
        <v>0.67</v>
      </c>
      <c r="DI56" s="81">
        <v>0.69</v>
      </c>
      <c r="DJ56" s="81">
        <v>0.73499999999999999</v>
      </c>
      <c r="DK56" s="81">
        <v>0.75</v>
      </c>
      <c r="DL56" s="81">
        <v>0.75</v>
      </c>
      <c r="DM56" s="81">
        <v>0.75</v>
      </c>
      <c r="DN56" s="81">
        <v>0.76</v>
      </c>
      <c r="DO56" s="81">
        <v>0.755</v>
      </c>
      <c r="DP56" s="81">
        <v>0.74</v>
      </c>
      <c r="DQ56" s="81">
        <v>0.72</v>
      </c>
      <c r="DR56" s="81">
        <v>0.72</v>
      </c>
      <c r="DS56" s="81">
        <v>0.69499999999999995</v>
      </c>
      <c r="DT56" s="81">
        <v>0.68</v>
      </c>
      <c r="DU56" s="81">
        <v>0.68</v>
      </c>
      <c r="DV56" s="81">
        <v>0.68</v>
      </c>
      <c r="DW56" s="81">
        <v>0.68</v>
      </c>
      <c r="DX56" s="81">
        <v>0.68</v>
      </c>
      <c r="DY56" s="81">
        <v>0.68</v>
      </c>
      <c r="DZ56" s="81">
        <v>0.68</v>
      </c>
      <c r="EA56" s="81">
        <v>0.68</v>
      </c>
      <c r="EB56" s="81">
        <v>0.68</v>
      </c>
      <c r="EC56" s="81">
        <v>0.68</v>
      </c>
      <c r="ED56" s="81">
        <v>0.68</v>
      </c>
      <c r="EE56" s="81">
        <v>0.68500000000000005</v>
      </c>
      <c r="EF56" s="81">
        <v>0.70499999999999996</v>
      </c>
      <c r="EG56" s="81">
        <v>0.70499999999999996</v>
      </c>
      <c r="EH56" s="81">
        <v>0.72</v>
      </c>
      <c r="EI56" s="81">
        <v>0.71</v>
      </c>
      <c r="EJ56" s="81">
        <v>0.71</v>
      </c>
      <c r="EK56" s="81">
        <v>0.71</v>
      </c>
      <c r="EL56" s="81">
        <v>0.71</v>
      </c>
      <c r="EM56" s="81">
        <v>0.71</v>
      </c>
      <c r="EN56" s="81">
        <v>0.7</v>
      </c>
      <c r="EO56" s="81">
        <v>0.68</v>
      </c>
      <c r="EP56" s="81">
        <v>0.67800000000000005</v>
      </c>
      <c r="EQ56" s="81">
        <v>0.67800000000000005</v>
      </c>
      <c r="ER56" s="81">
        <v>0.66500000000000004</v>
      </c>
      <c r="ES56" s="81">
        <v>0.66500000000000004</v>
      </c>
      <c r="ET56" s="83">
        <v>0.66500000000000004</v>
      </c>
      <c r="EU56" s="83">
        <v>0.66</v>
      </c>
      <c r="EV56" s="83">
        <v>0.66</v>
      </c>
      <c r="EW56" s="83">
        <v>0.66</v>
      </c>
      <c r="EX56" s="83">
        <v>0.65500000000000003</v>
      </c>
      <c r="EY56" s="83">
        <v>0.65500000000000003</v>
      </c>
      <c r="EZ56" s="83">
        <v>0.65500000000000003</v>
      </c>
      <c r="FA56" s="83">
        <v>0.65500000000000003</v>
      </c>
      <c r="FB56" s="83">
        <v>0.65500000000000003</v>
      </c>
      <c r="FC56" s="83">
        <v>0.66</v>
      </c>
      <c r="FD56" s="83">
        <v>0.72</v>
      </c>
      <c r="FE56" s="83">
        <v>0.74</v>
      </c>
      <c r="FF56" s="83">
        <v>0.78</v>
      </c>
      <c r="FG56" s="83">
        <v>0.78</v>
      </c>
      <c r="FH56" s="83">
        <v>0.78</v>
      </c>
      <c r="FI56" s="83">
        <v>0.86</v>
      </c>
      <c r="FJ56" s="83">
        <v>0.86</v>
      </c>
      <c r="FK56" s="83">
        <v>0.84</v>
      </c>
      <c r="FL56" s="83">
        <v>0.79500000000000004</v>
      </c>
      <c r="FM56" s="83">
        <v>0.79</v>
      </c>
      <c r="FN56" s="83">
        <v>0.77</v>
      </c>
      <c r="FO56" s="83">
        <v>0.76</v>
      </c>
      <c r="FP56" s="83">
        <v>0.76</v>
      </c>
      <c r="FQ56" s="83">
        <v>0.75800000000000001</v>
      </c>
      <c r="FR56" s="83">
        <v>0.75800000000000001</v>
      </c>
      <c r="FS56" s="83">
        <v>0.755</v>
      </c>
      <c r="FT56" s="83">
        <v>0.75</v>
      </c>
      <c r="FU56" s="83">
        <v>0.75</v>
      </c>
      <c r="FV56" s="83">
        <v>0.745</v>
      </c>
      <c r="FW56" s="83">
        <v>0.745</v>
      </c>
      <c r="FX56" s="83">
        <v>0.73</v>
      </c>
      <c r="FY56" s="83">
        <v>0.73</v>
      </c>
      <c r="FZ56" s="83">
        <v>0.72</v>
      </c>
      <c r="GA56" s="83">
        <v>0.71499999999999997</v>
      </c>
      <c r="GB56" s="83">
        <v>0.71499999999999997</v>
      </c>
      <c r="GC56" s="83">
        <v>0.71499999999999997</v>
      </c>
      <c r="GD56" s="83">
        <v>0.71499999999999997</v>
      </c>
      <c r="GE56" s="83">
        <v>0.71499999999999997</v>
      </c>
      <c r="GF56" s="83">
        <v>0.69</v>
      </c>
      <c r="GG56" s="83">
        <v>0.69</v>
      </c>
      <c r="GH56" s="83">
        <v>0.69</v>
      </c>
      <c r="GI56" s="83">
        <v>0.69</v>
      </c>
      <c r="GJ56" s="83">
        <v>0.69</v>
      </c>
      <c r="GK56" s="83">
        <v>0.67</v>
      </c>
      <c r="GL56" s="83">
        <v>0.67</v>
      </c>
    </row>
    <row r="57" spans="1:194" ht="17.25">
      <c r="B57" s="81" t="s">
        <v>177</v>
      </c>
      <c r="C57" s="83" t="s">
        <v>178</v>
      </c>
      <c r="DB57" s="81"/>
      <c r="DF57" s="81"/>
      <c r="DG57" s="81"/>
      <c r="DI57" s="81"/>
      <c r="DJ57" s="81"/>
      <c r="DK57" s="81"/>
      <c r="DL57" s="81">
        <v>0.85</v>
      </c>
      <c r="DM57" s="81">
        <v>0.87</v>
      </c>
      <c r="DN57" s="81">
        <v>0.87</v>
      </c>
      <c r="DO57" s="81">
        <v>0.87</v>
      </c>
      <c r="DP57" s="81">
        <v>0.87</v>
      </c>
      <c r="DQ57" s="81">
        <v>0.83</v>
      </c>
      <c r="DR57" s="81">
        <v>0.83</v>
      </c>
      <c r="DS57" s="81">
        <v>0.83</v>
      </c>
      <c r="DT57" s="81">
        <v>0.83</v>
      </c>
      <c r="DU57" s="81">
        <v>0.78</v>
      </c>
      <c r="DV57" s="81">
        <v>0.78</v>
      </c>
      <c r="DW57" s="81">
        <v>0.78</v>
      </c>
      <c r="DX57" s="81">
        <v>0.78</v>
      </c>
      <c r="DY57" s="81">
        <v>0.78</v>
      </c>
      <c r="DZ57" s="81">
        <v>0.78</v>
      </c>
      <c r="EA57" s="81">
        <v>0.78</v>
      </c>
      <c r="EB57" s="81">
        <v>0.78</v>
      </c>
      <c r="EC57" s="81">
        <v>0.78</v>
      </c>
      <c r="ED57" s="81">
        <v>0.78</v>
      </c>
      <c r="EE57" s="81">
        <v>0.78</v>
      </c>
      <c r="EF57" s="81">
        <v>0.79</v>
      </c>
      <c r="EG57" s="81">
        <v>0.79</v>
      </c>
      <c r="EH57" s="81">
        <v>0.79</v>
      </c>
      <c r="EI57" s="81">
        <v>0.79</v>
      </c>
      <c r="EJ57" s="81">
        <v>0.79</v>
      </c>
      <c r="EK57" s="81">
        <v>0.79</v>
      </c>
      <c r="EL57" s="81">
        <v>0.79</v>
      </c>
      <c r="EM57" s="81">
        <v>0.79</v>
      </c>
      <c r="EN57" s="81">
        <v>0.79</v>
      </c>
      <c r="EO57" s="81">
        <v>0.79</v>
      </c>
      <c r="EP57" s="81">
        <v>0.79</v>
      </c>
      <c r="EQ57" s="81">
        <v>0.79</v>
      </c>
      <c r="ER57" s="81">
        <v>0.79</v>
      </c>
      <c r="ES57" s="81">
        <v>0.79</v>
      </c>
      <c r="ET57" s="83">
        <v>0.79</v>
      </c>
      <c r="EU57" s="83">
        <v>0.78</v>
      </c>
      <c r="EV57" s="83">
        <v>0.78</v>
      </c>
      <c r="EW57" s="83">
        <v>0.78</v>
      </c>
      <c r="EX57" s="83">
        <v>0.76</v>
      </c>
      <c r="EY57" s="83">
        <v>0.76</v>
      </c>
      <c r="EZ57" s="83">
        <v>0.76</v>
      </c>
      <c r="FA57" s="83">
        <v>0.76</v>
      </c>
      <c r="FB57" s="83">
        <v>0.76</v>
      </c>
      <c r="FC57" s="83">
        <v>0.76</v>
      </c>
      <c r="FD57" s="83">
        <v>0.83</v>
      </c>
      <c r="FE57" s="83">
        <v>0.83</v>
      </c>
      <c r="FF57" s="83">
        <v>0.83</v>
      </c>
      <c r="FG57" s="83">
        <v>0.83</v>
      </c>
      <c r="FH57" s="83">
        <v>0.83</v>
      </c>
      <c r="FI57" s="83">
        <v>0.9</v>
      </c>
      <c r="FJ57" s="83">
        <v>0.9</v>
      </c>
      <c r="FK57" s="83">
        <v>0.9</v>
      </c>
      <c r="FL57" s="83">
        <v>0.9</v>
      </c>
      <c r="FM57" s="83">
        <v>0.88</v>
      </c>
      <c r="FN57" s="83">
        <v>0.875</v>
      </c>
      <c r="FO57" s="83">
        <v>0.86</v>
      </c>
      <c r="FP57" s="83">
        <v>0.86</v>
      </c>
      <c r="FQ57" s="83">
        <v>0.84499999999999997</v>
      </c>
      <c r="FR57" s="83">
        <v>0.84499999999999997</v>
      </c>
      <c r="FS57" s="83">
        <v>0.84499999999999997</v>
      </c>
      <c r="FT57" s="83">
        <v>0.84</v>
      </c>
      <c r="FU57" s="83">
        <v>0.83</v>
      </c>
      <c r="FV57" s="83">
        <v>0.83</v>
      </c>
      <c r="FW57" s="83">
        <v>0.83</v>
      </c>
      <c r="FX57" s="83">
        <v>0.83</v>
      </c>
      <c r="FY57" s="83">
        <v>0.83</v>
      </c>
      <c r="FZ57" s="83">
        <v>0.83</v>
      </c>
      <c r="GA57" s="83">
        <v>0.83</v>
      </c>
      <c r="GB57" s="83">
        <v>0.83</v>
      </c>
      <c r="GC57" s="83">
        <v>0.83</v>
      </c>
      <c r="GD57" s="83">
        <v>0.83</v>
      </c>
      <c r="GE57" s="83">
        <v>0.83</v>
      </c>
      <c r="GF57" s="83">
        <v>0.83</v>
      </c>
      <c r="GG57" s="83">
        <v>0.83</v>
      </c>
      <c r="GH57" s="83">
        <v>0.83</v>
      </c>
      <c r="GI57" s="83">
        <v>0.83</v>
      </c>
      <c r="GJ57" s="83">
        <v>0.83</v>
      </c>
      <c r="GK57" s="83">
        <v>0.83</v>
      </c>
      <c r="GL57" s="83">
        <v>0.81</v>
      </c>
    </row>
    <row r="58" spans="1:194" ht="17.25">
      <c r="B58" s="81" t="s">
        <v>179</v>
      </c>
      <c r="C58" s="83" t="s">
        <v>180</v>
      </c>
      <c r="DF58" s="81"/>
      <c r="DG58" s="81"/>
      <c r="DI58" s="81"/>
      <c r="DL58" s="81">
        <v>0.8</v>
      </c>
      <c r="DM58" s="81">
        <v>0.80500000000000005</v>
      </c>
      <c r="DN58" s="81">
        <v>0.80500000000000005</v>
      </c>
      <c r="DO58" s="81">
        <v>0.80500000000000005</v>
      </c>
      <c r="DP58" s="81">
        <v>0.80500000000000005</v>
      </c>
      <c r="DQ58" s="81">
        <v>0.8</v>
      </c>
      <c r="DR58" s="81">
        <v>0.8</v>
      </c>
      <c r="DS58" s="81">
        <v>0.8</v>
      </c>
      <c r="DT58" s="81">
        <v>0.8</v>
      </c>
      <c r="DU58" s="81">
        <v>0.76</v>
      </c>
      <c r="DV58" s="81">
        <v>0.76</v>
      </c>
      <c r="DW58" s="81">
        <v>0.76</v>
      </c>
      <c r="DX58" s="81">
        <v>0.76</v>
      </c>
      <c r="DY58" s="81">
        <v>0.76</v>
      </c>
      <c r="DZ58" s="81">
        <v>0.76</v>
      </c>
      <c r="EA58" s="81">
        <v>0.76</v>
      </c>
      <c r="EB58" s="81">
        <v>0.76</v>
      </c>
      <c r="EC58" s="81">
        <v>0.76</v>
      </c>
      <c r="ED58" s="81">
        <v>0.76</v>
      </c>
      <c r="EE58" s="81">
        <v>0.76</v>
      </c>
      <c r="EF58" s="81">
        <v>0.76</v>
      </c>
      <c r="EG58" s="81">
        <v>0.76</v>
      </c>
      <c r="EH58" s="81">
        <v>0.76</v>
      </c>
      <c r="EI58" s="81">
        <v>0.76</v>
      </c>
      <c r="EJ58" s="81">
        <v>0.76</v>
      </c>
      <c r="EK58" s="81">
        <v>0.76</v>
      </c>
      <c r="EL58" s="81">
        <v>0.76</v>
      </c>
      <c r="EM58" s="81">
        <v>0.76</v>
      </c>
      <c r="EN58" s="81">
        <v>0.76</v>
      </c>
      <c r="EO58" s="81">
        <v>0.76</v>
      </c>
      <c r="EP58" s="81">
        <v>0.76</v>
      </c>
      <c r="EQ58" s="81">
        <v>0.76</v>
      </c>
      <c r="ER58" s="81">
        <v>0.76</v>
      </c>
      <c r="ES58" s="81">
        <v>0.76</v>
      </c>
      <c r="ET58" s="83">
        <v>0.76</v>
      </c>
      <c r="EU58" s="83">
        <v>0.76</v>
      </c>
      <c r="EV58" s="83">
        <v>0.76</v>
      </c>
      <c r="EW58" s="83">
        <v>0.76</v>
      </c>
      <c r="EX58" s="83">
        <v>0.76</v>
      </c>
      <c r="EY58" s="83">
        <v>0.75</v>
      </c>
      <c r="EZ58" s="83">
        <v>0.75</v>
      </c>
      <c r="FA58" s="83">
        <v>0.75</v>
      </c>
      <c r="FB58" s="83">
        <v>0.75</v>
      </c>
      <c r="FC58" s="83">
        <v>0.75</v>
      </c>
      <c r="FD58" s="83">
        <v>0.75</v>
      </c>
      <c r="FE58" s="83">
        <v>0.75</v>
      </c>
      <c r="FF58" s="83">
        <v>0.82</v>
      </c>
      <c r="FG58" s="83">
        <v>0.82</v>
      </c>
      <c r="FH58" s="83">
        <v>0.82</v>
      </c>
      <c r="FI58" s="83">
        <v>0.82</v>
      </c>
      <c r="FJ58" s="83">
        <v>0.82</v>
      </c>
      <c r="FK58" s="83">
        <v>0.82</v>
      </c>
      <c r="FL58" s="83">
        <v>0.82</v>
      </c>
      <c r="FM58" s="83">
        <v>0.82</v>
      </c>
      <c r="FN58" s="83">
        <v>0.82</v>
      </c>
      <c r="FO58" s="83">
        <v>0.82</v>
      </c>
      <c r="FP58" s="83">
        <v>0.82</v>
      </c>
      <c r="FQ58" s="83">
        <v>0.79</v>
      </c>
      <c r="FR58" s="83">
        <v>0.79</v>
      </c>
      <c r="FS58" s="83">
        <v>0.79</v>
      </c>
      <c r="FT58" s="83">
        <v>0.79</v>
      </c>
      <c r="FU58" s="83">
        <v>0.79</v>
      </c>
      <c r="FV58" s="83">
        <v>0.79</v>
      </c>
      <c r="FW58" s="83">
        <v>0.79</v>
      </c>
      <c r="FX58" s="83">
        <v>0.79</v>
      </c>
      <c r="FY58" s="83">
        <v>0.79</v>
      </c>
      <c r="FZ58" s="83">
        <v>0.79</v>
      </c>
      <c r="GA58" s="83">
        <v>0.79</v>
      </c>
      <c r="GB58" s="83">
        <v>0.79</v>
      </c>
      <c r="GC58" s="83">
        <v>0.79</v>
      </c>
      <c r="GD58" s="83">
        <v>0.79</v>
      </c>
      <c r="GE58" s="83">
        <v>0.79</v>
      </c>
      <c r="GF58" s="83">
        <v>0.79</v>
      </c>
      <c r="GG58" s="83">
        <v>0.79</v>
      </c>
      <c r="GH58" s="83">
        <v>0.79</v>
      </c>
      <c r="GI58" s="83">
        <v>0.79</v>
      </c>
      <c r="GJ58" s="83">
        <v>0.79</v>
      </c>
      <c r="GK58" s="83">
        <v>0.79</v>
      </c>
      <c r="GL58" s="83">
        <v>0.78</v>
      </c>
    </row>
    <row r="59" spans="1:194">
      <c r="B59" s="81" t="s">
        <v>181</v>
      </c>
      <c r="C59" s="83" t="s">
        <v>142</v>
      </c>
      <c r="DF59" s="81"/>
      <c r="DG59" s="81"/>
      <c r="DI59" s="81"/>
      <c r="DN59" s="81"/>
      <c r="DO59" s="81"/>
      <c r="DP59" s="81"/>
      <c r="DU59" s="81"/>
      <c r="DX59" s="83">
        <v>0.68</v>
      </c>
      <c r="DY59" s="83">
        <v>0.69</v>
      </c>
      <c r="DZ59" s="83">
        <v>0.69</v>
      </c>
      <c r="EA59" s="81">
        <v>0.69</v>
      </c>
      <c r="EB59" s="81">
        <v>0.69</v>
      </c>
      <c r="EC59" s="81">
        <v>0.69</v>
      </c>
      <c r="ED59" s="81">
        <v>0.69</v>
      </c>
      <c r="EE59" s="81">
        <v>0.69499999999999995</v>
      </c>
      <c r="EF59" s="81">
        <v>0.7</v>
      </c>
      <c r="EG59" s="81">
        <v>0.7</v>
      </c>
      <c r="EH59" s="81">
        <v>0.7</v>
      </c>
      <c r="EI59" s="81">
        <v>0.69499999999999995</v>
      </c>
      <c r="EJ59" s="81">
        <v>0.69499999999999995</v>
      </c>
      <c r="EK59" s="81">
        <v>0.69499999999999995</v>
      </c>
      <c r="EL59" s="81">
        <v>0.69499999999999995</v>
      </c>
      <c r="EM59" s="81">
        <v>0.69499999999999995</v>
      </c>
      <c r="EN59" s="81">
        <v>0.69</v>
      </c>
      <c r="EO59" s="81">
        <v>0.68500000000000005</v>
      </c>
      <c r="EP59" s="81">
        <v>0.68500000000000005</v>
      </c>
      <c r="EQ59" s="81">
        <v>0.68500000000000005</v>
      </c>
      <c r="ER59" s="81">
        <v>0.68500000000000005</v>
      </c>
      <c r="ES59" s="81">
        <v>0.68500000000000005</v>
      </c>
      <c r="ET59" s="83">
        <v>0.68500000000000005</v>
      </c>
      <c r="EU59" s="83">
        <v>0.68500000000000005</v>
      </c>
      <c r="EV59" s="83">
        <v>0.68500000000000005</v>
      </c>
      <c r="EW59" s="83">
        <v>0.68500000000000005</v>
      </c>
      <c r="EX59" s="83">
        <v>0.68500000000000005</v>
      </c>
      <c r="EY59" s="83">
        <v>0.68500000000000005</v>
      </c>
      <c r="EZ59" s="83">
        <v>0.68500000000000005</v>
      </c>
      <c r="FA59" s="83">
        <v>0.68500000000000005</v>
      </c>
      <c r="FB59" s="83">
        <v>0.68500000000000005</v>
      </c>
      <c r="FC59" s="83">
        <v>0.68500000000000005</v>
      </c>
      <c r="FD59" s="83">
        <v>0.75</v>
      </c>
      <c r="FE59" s="83">
        <v>0.76</v>
      </c>
      <c r="FF59" s="83">
        <v>0.8</v>
      </c>
      <c r="FG59" s="83">
        <v>0.8</v>
      </c>
      <c r="FH59" s="83">
        <v>0.8</v>
      </c>
      <c r="FI59" s="83">
        <v>0.875</v>
      </c>
      <c r="FJ59" s="83">
        <v>0.875</v>
      </c>
      <c r="FK59" s="83">
        <v>0.85</v>
      </c>
      <c r="FL59" s="83">
        <v>0.80500000000000005</v>
      </c>
      <c r="FM59" s="83">
        <v>0.80500000000000005</v>
      </c>
      <c r="FN59" s="83">
        <v>0.78</v>
      </c>
      <c r="FO59" s="83">
        <v>0.77500000000000002</v>
      </c>
      <c r="FP59" s="83">
        <v>0.77500000000000002</v>
      </c>
      <c r="FQ59" s="83">
        <v>0.77</v>
      </c>
      <c r="FR59" s="83">
        <v>0.77</v>
      </c>
      <c r="FS59" s="83">
        <v>0.77</v>
      </c>
      <c r="FT59" s="83">
        <v>0.76500000000000001</v>
      </c>
      <c r="FU59" s="83">
        <v>0.76500000000000001</v>
      </c>
      <c r="FV59" s="83">
        <v>0.75</v>
      </c>
      <c r="FW59" s="83">
        <v>0.75</v>
      </c>
      <c r="FX59" s="83">
        <v>0.75</v>
      </c>
      <c r="FY59" s="83">
        <v>0.75</v>
      </c>
      <c r="FZ59" s="83">
        <v>0.73</v>
      </c>
      <c r="GA59" s="83">
        <v>0.72499999999999998</v>
      </c>
      <c r="GB59" s="83">
        <v>0.72499999999999998</v>
      </c>
      <c r="GC59" s="83">
        <v>0.72499999999999998</v>
      </c>
      <c r="GD59" s="83">
        <v>0.72</v>
      </c>
      <c r="GE59" s="83">
        <v>0.72499999999999998</v>
      </c>
      <c r="GF59" s="83">
        <v>0.72499999999999998</v>
      </c>
      <c r="GG59" s="83">
        <v>0.72499999999999998</v>
      </c>
      <c r="GH59" s="83">
        <v>0.72499999999999998</v>
      </c>
      <c r="GI59" s="83">
        <v>0.72499999999999998</v>
      </c>
      <c r="GJ59" s="83">
        <v>0.72499999999999998</v>
      </c>
      <c r="GK59" s="83">
        <v>0.72499999999999998</v>
      </c>
      <c r="GL59" s="83">
        <v>0.72499999999999998</v>
      </c>
    </row>
    <row r="60" spans="1:194">
      <c r="B60" s="81" t="s">
        <v>182</v>
      </c>
      <c r="C60" s="83" t="s">
        <v>183</v>
      </c>
      <c r="D60" s="88" t="s">
        <v>100</v>
      </c>
      <c r="DI60" s="81"/>
      <c r="EA60" s="81">
        <v>0.78</v>
      </c>
      <c r="EB60" s="81">
        <v>0.78</v>
      </c>
      <c r="EC60" s="81">
        <v>0.78</v>
      </c>
      <c r="ED60" s="81">
        <v>0.78</v>
      </c>
      <c r="EE60" s="81">
        <v>0.78</v>
      </c>
      <c r="EF60" s="81">
        <v>0.78500000000000003</v>
      </c>
      <c r="EG60" s="81">
        <v>0.78500000000000003</v>
      </c>
      <c r="EH60" s="81">
        <v>0.79</v>
      </c>
      <c r="EI60" s="81">
        <v>0.79</v>
      </c>
      <c r="EJ60" s="81">
        <v>0.79</v>
      </c>
      <c r="EK60" s="81">
        <v>0.79</v>
      </c>
      <c r="EL60" s="81">
        <v>0.79</v>
      </c>
      <c r="EM60" s="81">
        <v>0.79</v>
      </c>
      <c r="EN60" s="81">
        <v>0.79</v>
      </c>
      <c r="EO60" s="81">
        <v>0.79</v>
      </c>
      <c r="EP60" s="81">
        <v>0.79</v>
      </c>
      <c r="EQ60" s="81">
        <v>0.79</v>
      </c>
      <c r="ER60" s="81">
        <v>0.79</v>
      </c>
      <c r="ES60" s="81">
        <v>0.79</v>
      </c>
      <c r="ET60" s="83">
        <v>0.79</v>
      </c>
      <c r="EU60" s="83">
        <v>0.78500000000000003</v>
      </c>
      <c r="EV60" s="83">
        <v>0.78500000000000003</v>
      </c>
      <c r="EW60" s="83">
        <v>0.78500000000000003</v>
      </c>
      <c r="EX60" s="83">
        <v>0.78</v>
      </c>
      <c r="EY60" s="83">
        <v>0.78</v>
      </c>
      <c r="EZ60" s="83">
        <v>0.78</v>
      </c>
      <c r="FA60" s="83">
        <v>0.78</v>
      </c>
      <c r="FB60" s="83">
        <v>0.78</v>
      </c>
      <c r="FC60" s="83">
        <v>0.78</v>
      </c>
      <c r="FD60" s="83">
        <v>0.83</v>
      </c>
      <c r="FE60" s="83">
        <v>0.83</v>
      </c>
      <c r="FF60" s="83">
        <v>0.83</v>
      </c>
      <c r="FG60" s="83">
        <v>0.83</v>
      </c>
      <c r="FH60" s="83">
        <v>0.83</v>
      </c>
      <c r="FI60" s="83">
        <v>0.9</v>
      </c>
      <c r="FJ60" s="83">
        <v>0.9</v>
      </c>
      <c r="FK60" s="83">
        <v>0.9</v>
      </c>
      <c r="FL60" s="83">
        <v>0.9</v>
      </c>
      <c r="FM60" s="83">
        <v>0.88</v>
      </c>
      <c r="FN60" s="83">
        <v>0.87</v>
      </c>
      <c r="FO60" s="83">
        <v>0.86</v>
      </c>
      <c r="FP60" s="83">
        <v>0.86</v>
      </c>
      <c r="FQ60" s="83">
        <v>0.84499999999999997</v>
      </c>
      <c r="FR60" s="83">
        <v>0.84499999999999997</v>
      </c>
      <c r="FS60" s="83">
        <v>0.84499999999999997</v>
      </c>
      <c r="FT60" s="83">
        <v>0.84499999999999997</v>
      </c>
      <c r="FU60" s="83">
        <v>0.84499999999999997</v>
      </c>
      <c r="FV60" s="83">
        <v>0.84499999999999997</v>
      </c>
      <c r="FW60" s="83">
        <v>0.84499999999999997</v>
      </c>
      <c r="FX60" s="83">
        <v>0.83</v>
      </c>
      <c r="FY60" s="83">
        <v>0.83</v>
      </c>
      <c r="FZ60" s="83">
        <v>0.83</v>
      </c>
      <c r="GA60" s="83">
        <v>0.83</v>
      </c>
      <c r="GB60" s="83">
        <v>0.83</v>
      </c>
      <c r="GC60" s="83">
        <v>0.83</v>
      </c>
      <c r="GD60" s="83">
        <v>0.83</v>
      </c>
      <c r="GE60" s="83">
        <v>0.83</v>
      </c>
      <c r="GF60" s="83">
        <v>0.83</v>
      </c>
      <c r="GG60" s="83">
        <v>0.83</v>
      </c>
      <c r="GH60" s="83">
        <v>0.83</v>
      </c>
      <c r="GI60" s="83">
        <v>0.83</v>
      </c>
      <c r="GJ60" s="83">
        <v>0.83</v>
      </c>
      <c r="GK60" s="83">
        <v>0.83</v>
      </c>
      <c r="GL60" s="83">
        <v>0.83</v>
      </c>
    </row>
    <row r="61" spans="1:194">
      <c r="B61" s="81" t="s">
        <v>168</v>
      </c>
      <c r="C61" s="83" t="s">
        <v>184</v>
      </c>
      <c r="ED61" s="81"/>
      <c r="EH61" s="81"/>
      <c r="EI61" s="81"/>
      <c r="EO61" s="81">
        <v>0.7</v>
      </c>
      <c r="EP61" s="81">
        <v>0.68799999999999994</v>
      </c>
      <c r="EQ61" s="81">
        <v>0.7</v>
      </c>
      <c r="ER61" s="81">
        <v>0.7</v>
      </c>
      <c r="ES61" s="81">
        <v>0.7</v>
      </c>
      <c r="ET61" s="83">
        <v>0.7</v>
      </c>
      <c r="EU61" s="83">
        <v>0.7</v>
      </c>
      <c r="EV61" s="83">
        <v>0.7</v>
      </c>
      <c r="EW61" s="83">
        <v>0.7</v>
      </c>
      <c r="EX61" s="83">
        <v>0.69</v>
      </c>
      <c r="EY61" s="83">
        <v>0.69</v>
      </c>
      <c r="EZ61" s="83">
        <v>0.69</v>
      </c>
      <c r="FA61" s="83">
        <v>0.69</v>
      </c>
      <c r="FB61" s="83">
        <v>0.69</v>
      </c>
      <c r="FC61" s="83">
        <v>0.69</v>
      </c>
      <c r="FD61" s="83">
        <v>0.70799999999999996</v>
      </c>
      <c r="FE61" s="83">
        <v>0.79</v>
      </c>
      <c r="FF61" s="83">
        <v>0.82</v>
      </c>
      <c r="FG61" s="83">
        <v>0.82</v>
      </c>
      <c r="FH61" s="83">
        <v>0.82</v>
      </c>
      <c r="FI61" s="83">
        <v>0.86</v>
      </c>
      <c r="FJ61" s="83">
        <v>0.86</v>
      </c>
      <c r="FK61" s="83">
        <v>0.86</v>
      </c>
      <c r="FL61" s="83">
        <v>0.84</v>
      </c>
      <c r="FM61" s="83">
        <v>0.82</v>
      </c>
      <c r="FN61" s="83">
        <v>0.79200000000000004</v>
      </c>
      <c r="FO61" s="83">
        <v>0.78</v>
      </c>
      <c r="FP61" s="83">
        <v>0.78</v>
      </c>
      <c r="FQ61" s="83">
        <v>0.77200000000000002</v>
      </c>
      <c r="FR61" s="83">
        <v>0.77200000000000002</v>
      </c>
      <c r="FS61" s="83">
        <v>0.77200000000000002</v>
      </c>
      <c r="FT61" s="83">
        <v>0.76500000000000001</v>
      </c>
      <c r="FU61" s="83">
        <v>0.76</v>
      </c>
      <c r="FV61" s="83">
        <v>0.76</v>
      </c>
      <c r="FW61" s="83">
        <v>0.76</v>
      </c>
      <c r="FX61" s="83">
        <v>0.745</v>
      </c>
      <c r="FY61" s="83">
        <v>0.745</v>
      </c>
      <c r="FZ61" s="83">
        <v>0.74</v>
      </c>
      <c r="GA61" s="83">
        <v>0.73499999999999999</v>
      </c>
      <c r="GB61" s="83">
        <v>0.73499999999999999</v>
      </c>
      <c r="GC61" s="83">
        <v>0.73</v>
      </c>
      <c r="GD61" s="83">
        <v>0.73</v>
      </c>
      <c r="GE61" s="83">
        <v>0.72</v>
      </c>
      <c r="GF61" s="83">
        <v>0.72</v>
      </c>
      <c r="GG61" s="83">
        <v>0.72</v>
      </c>
      <c r="GH61" s="83">
        <v>0.72</v>
      </c>
      <c r="GI61" s="83">
        <v>0.73</v>
      </c>
    </row>
    <row r="62" spans="1:194">
      <c r="B62" s="81" t="s">
        <v>185</v>
      </c>
      <c r="C62" s="83" t="s">
        <v>186</v>
      </c>
      <c r="ED62" s="81"/>
      <c r="ER62" s="83">
        <v>0.68500000000000005</v>
      </c>
      <c r="ES62" s="83">
        <v>0.68</v>
      </c>
      <c r="ET62" s="83">
        <v>0.67</v>
      </c>
      <c r="EU62" s="83">
        <v>0.67</v>
      </c>
      <c r="EV62" s="83">
        <v>0.67</v>
      </c>
      <c r="EW62" s="83">
        <v>0.67</v>
      </c>
      <c r="EX62" s="83">
        <v>0.66</v>
      </c>
      <c r="EY62" s="83">
        <v>0.66</v>
      </c>
      <c r="EZ62" s="83">
        <v>0.66</v>
      </c>
      <c r="FA62" s="83">
        <v>0.66</v>
      </c>
      <c r="FB62" s="83">
        <v>0.66</v>
      </c>
      <c r="FC62" s="83">
        <v>0.68</v>
      </c>
      <c r="FD62" s="83">
        <v>0.73</v>
      </c>
      <c r="FE62" s="83">
        <v>0.79</v>
      </c>
      <c r="FF62" s="83">
        <v>0.82</v>
      </c>
      <c r="FG62" s="83">
        <v>0.82</v>
      </c>
      <c r="FH62" s="83">
        <v>0.82</v>
      </c>
      <c r="FI62" s="83">
        <v>0.86</v>
      </c>
      <c r="FJ62" s="83">
        <v>0.86</v>
      </c>
      <c r="FK62" s="83">
        <v>0.86</v>
      </c>
      <c r="FL62" s="83">
        <v>0.83</v>
      </c>
      <c r="FM62" s="83">
        <v>0.83</v>
      </c>
      <c r="FN62" s="83">
        <v>0.79500000000000004</v>
      </c>
      <c r="FO62" s="83">
        <v>0.78500000000000003</v>
      </c>
      <c r="FP62" s="83">
        <v>0.78500000000000003</v>
      </c>
      <c r="FQ62" s="83">
        <v>0.77500000000000002</v>
      </c>
      <c r="FR62" s="83">
        <v>0.77500000000000002</v>
      </c>
      <c r="FS62" s="83">
        <v>0.77500000000000002</v>
      </c>
      <c r="FT62" s="83">
        <v>0.77200000000000002</v>
      </c>
      <c r="FU62" s="83">
        <v>0.755</v>
      </c>
      <c r="FV62" s="83">
        <v>0.755</v>
      </c>
      <c r="FW62" s="83">
        <v>0.755</v>
      </c>
      <c r="FX62" s="83">
        <v>0.745</v>
      </c>
      <c r="FY62" s="83">
        <v>0.745</v>
      </c>
      <c r="FZ62" s="83">
        <v>0.74</v>
      </c>
      <c r="GA62" s="83">
        <v>0.73</v>
      </c>
      <c r="GB62" s="83">
        <v>0.73</v>
      </c>
      <c r="GC62" s="83">
        <v>0.70499999999999996</v>
      </c>
      <c r="GD62" s="83">
        <v>0.70499999999999996</v>
      </c>
      <c r="GE62" s="83">
        <v>0.69</v>
      </c>
      <c r="GF62" s="83">
        <v>0.69</v>
      </c>
      <c r="GG62" s="83">
        <v>0.69</v>
      </c>
      <c r="GH62" s="83">
        <v>0.69</v>
      </c>
      <c r="GI62" s="83">
        <v>0.7</v>
      </c>
      <c r="GJ62" s="83">
        <v>0.70499999999999996</v>
      </c>
      <c r="GK62" s="83">
        <v>0.7</v>
      </c>
      <c r="GL62" s="83">
        <v>0.7</v>
      </c>
    </row>
    <row r="63" spans="1:194">
      <c r="B63" s="81" t="s">
        <v>187</v>
      </c>
      <c r="C63" s="83" t="s">
        <v>188</v>
      </c>
      <c r="ED63" s="81"/>
      <c r="GJ63" s="83">
        <v>0.755</v>
      </c>
      <c r="GK63" s="83">
        <v>0.755</v>
      </c>
    </row>
    <row r="64" spans="1:194">
      <c r="B64" s="81" t="s">
        <v>187</v>
      </c>
      <c r="C64" s="83" t="s">
        <v>189</v>
      </c>
      <c r="ED64" s="81"/>
      <c r="GJ64" s="83">
        <v>0.78500000000000003</v>
      </c>
      <c r="GK64" s="83">
        <v>0.78500000000000003</v>
      </c>
    </row>
  </sheetData>
  <pageMargins left="0.75" right="0.75" top="1" bottom="1" header="0.5" footer="0.5"/>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2:GX46"/>
  <sheetViews>
    <sheetView zoomScale="80" zoomScaleNormal="80" workbookViewId="0">
      <pane xSplit="1" topLeftCell="FT1" activePane="topRight" state="frozen"/>
      <selection pane="topRight" activeCell="A30" sqref="A30:XFD31"/>
    </sheetView>
  </sheetViews>
  <sheetFormatPr defaultColWidth="11" defaultRowHeight="14.25" customHeight="1"/>
  <cols>
    <col min="1" max="1" width="68.75" customWidth="1"/>
    <col min="2" max="50" width="10.125" customWidth="1"/>
    <col min="51" max="127" width="13.875"/>
    <col min="128" max="189" width="13.875" style="40"/>
    <col min="190" max="190" width="11" style="40"/>
    <col min="191" max="191" width="13.875" style="40"/>
    <col min="192" max="192" width="12.75"/>
  </cols>
  <sheetData>
    <row r="2" spans="1:206" ht="15.75">
      <c r="A2" s="41"/>
      <c r="B2" s="41"/>
      <c r="C2" s="41"/>
      <c r="D2" s="41"/>
      <c r="E2" s="41"/>
      <c r="F2" s="41"/>
      <c r="G2" s="41"/>
      <c r="H2" s="41"/>
      <c r="I2" s="41"/>
      <c r="J2" s="41"/>
      <c r="K2" s="41"/>
      <c r="L2" s="41"/>
      <c r="M2" s="41"/>
      <c r="N2" s="41"/>
      <c r="O2" s="41"/>
      <c r="P2" s="41"/>
      <c r="Q2" s="41"/>
      <c r="R2" s="41"/>
      <c r="S2" s="41"/>
      <c r="T2" s="41"/>
      <c r="U2" s="41"/>
      <c r="V2" s="41"/>
      <c r="W2" s="41"/>
      <c r="X2" s="41"/>
      <c r="Y2" s="41"/>
      <c r="Z2" s="41"/>
      <c r="AA2" s="41"/>
      <c r="AB2" s="41"/>
      <c r="AC2" s="41"/>
      <c r="AD2" s="41"/>
      <c r="AE2" s="41"/>
      <c r="AF2" s="41"/>
      <c r="AG2" s="41"/>
      <c r="AH2" s="41"/>
      <c r="AI2" s="41"/>
      <c r="AJ2" s="41"/>
      <c r="AK2" s="41"/>
      <c r="AL2" s="41"/>
      <c r="AM2" s="41"/>
      <c r="AN2" s="41"/>
      <c r="AO2" s="41"/>
      <c r="AP2" s="41"/>
      <c r="AQ2" s="41"/>
      <c r="AR2" s="41"/>
      <c r="AS2" s="41"/>
      <c r="AT2" s="41"/>
      <c r="AU2" s="41"/>
      <c r="AV2" s="41"/>
      <c r="AW2" s="41"/>
      <c r="AX2" s="41"/>
      <c r="AY2" s="42"/>
      <c r="AZ2" s="42"/>
      <c r="BA2" s="42"/>
      <c r="BB2" s="42"/>
      <c r="BC2" s="42"/>
      <c r="BD2" s="42"/>
      <c r="BE2" s="42"/>
      <c r="BF2" s="42"/>
      <c r="BG2" s="42"/>
      <c r="BH2" s="42"/>
      <c r="BI2" s="42"/>
      <c r="BJ2" s="42"/>
      <c r="BK2" s="42"/>
      <c r="BL2" s="42"/>
      <c r="BM2" s="42"/>
      <c r="BN2" s="42"/>
      <c r="BO2" s="42"/>
      <c r="BP2" s="42"/>
      <c r="BQ2" s="42"/>
      <c r="BR2" s="42"/>
      <c r="BS2" s="42"/>
      <c r="BT2" s="42"/>
      <c r="BU2" s="42"/>
      <c r="BV2" s="42"/>
      <c r="BW2" s="42"/>
      <c r="BX2" s="42"/>
      <c r="BY2" s="42"/>
      <c r="BZ2" s="42"/>
      <c r="CA2" s="42"/>
      <c r="CB2" s="42"/>
      <c r="CC2" s="42"/>
      <c r="CD2" s="42"/>
      <c r="CE2" s="42"/>
      <c r="CF2" s="42"/>
      <c r="CG2" s="42"/>
      <c r="CH2" s="42"/>
      <c r="CI2" s="42"/>
      <c r="CJ2" s="42"/>
      <c r="CK2" s="42"/>
      <c r="CL2" s="42"/>
      <c r="CM2" s="42"/>
      <c r="CN2" s="42"/>
      <c r="CO2" s="42"/>
      <c r="CP2" s="42"/>
      <c r="CQ2" s="42"/>
      <c r="CR2" s="42"/>
      <c r="CS2" s="42"/>
      <c r="CT2" s="42"/>
      <c r="CU2" s="42"/>
      <c r="CV2" s="42"/>
      <c r="CW2" s="42"/>
      <c r="CX2" s="42"/>
      <c r="CY2" s="42"/>
      <c r="CZ2" s="42"/>
      <c r="DA2" s="42"/>
      <c r="DB2" s="42"/>
      <c r="DC2" s="42"/>
      <c r="DD2" s="42"/>
      <c r="DE2" s="42"/>
      <c r="DF2" s="42"/>
      <c r="DG2" s="42"/>
      <c r="DH2" s="42"/>
      <c r="DI2" s="42"/>
      <c r="DJ2" s="42"/>
      <c r="DK2" s="42"/>
      <c r="DL2" s="42"/>
      <c r="DM2" s="42"/>
      <c r="DN2" s="42"/>
      <c r="DO2" s="42"/>
      <c r="DP2" s="42"/>
      <c r="DQ2" s="42"/>
      <c r="DR2" s="42"/>
      <c r="DS2" s="42"/>
      <c r="DT2" s="42"/>
      <c r="DU2" s="42"/>
      <c r="DV2" s="42"/>
      <c r="DW2" s="42"/>
      <c r="DX2" s="43"/>
      <c r="DY2" s="43"/>
      <c r="DZ2" s="43"/>
      <c r="EA2" s="43"/>
      <c r="EB2" s="43"/>
      <c r="EC2" s="43"/>
      <c r="ED2" s="43"/>
      <c r="EE2" s="43"/>
      <c r="EF2" s="43"/>
      <c r="EG2" s="43"/>
      <c r="EH2" s="43"/>
      <c r="EI2" s="43"/>
      <c r="EJ2" s="43"/>
      <c r="EK2" s="43"/>
      <c r="EL2" s="43"/>
      <c r="EM2" s="43"/>
      <c r="EN2" s="43"/>
      <c r="EO2" s="43"/>
      <c r="EP2" s="43"/>
      <c r="EQ2" s="43"/>
      <c r="ER2" s="43"/>
      <c r="ES2" s="43"/>
      <c r="ET2" s="43"/>
      <c r="EU2" s="43"/>
      <c r="EV2" s="43"/>
      <c r="EW2" s="43"/>
      <c r="EX2" s="43"/>
      <c r="EY2" s="43"/>
      <c r="EZ2" s="43"/>
      <c r="FA2" s="43"/>
      <c r="FB2" s="43"/>
      <c r="FC2" s="43"/>
      <c r="FD2" s="43"/>
      <c r="FE2" s="43"/>
      <c r="FF2" s="43"/>
      <c r="FG2" s="43"/>
      <c r="FH2" s="43"/>
      <c r="FI2" s="43"/>
      <c r="FJ2" s="43"/>
      <c r="FK2" s="43"/>
      <c r="FL2" s="43"/>
      <c r="FM2" s="43"/>
      <c r="FN2" s="43"/>
      <c r="FO2" s="43"/>
      <c r="FP2" s="43"/>
      <c r="FQ2" s="43"/>
      <c r="FR2" s="43"/>
      <c r="FS2" s="43"/>
      <c r="FT2" s="43"/>
      <c r="FU2" s="43"/>
      <c r="FV2" s="43"/>
      <c r="FW2" s="43"/>
      <c r="FX2" s="43"/>
      <c r="FY2" s="43"/>
      <c r="FZ2" s="43"/>
      <c r="GA2" s="43"/>
      <c r="GB2" s="43"/>
      <c r="GC2" s="43"/>
      <c r="GD2" s="43"/>
      <c r="GE2" s="43"/>
      <c r="GF2" s="43"/>
      <c r="GG2" s="43"/>
      <c r="GH2" s="43"/>
      <c r="GI2" s="43"/>
    </row>
    <row r="3" spans="1:206" ht="15.75">
      <c r="A3" s="44" t="s">
        <v>190</v>
      </c>
      <c r="B3" s="45">
        <v>2023</v>
      </c>
      <c r="C3" s="45">
        <v>2023</v>
      </c>
      <c r="D3" s="45">
        <v>2023</v>
      </c>
      <c r="E3" s="45">
        <v>2023</v>
      </c>
      <c r="F3" s="45">
        <v>2023</v>
      </c>
      <c r="G3" s="45">
        <v>2023</v>
      </c>
      <c r="H3" s="45">
        <v>2023</v>
      </c>
      <c r="I3" s="45">
        <v>2023</v>
      </c>
      <c r="J3" s="45">
        <v>2023</v>
      </c>
      <c r="K3" s="45">
        <v>2023</v>
      </c>
      <c r="L3" s="45">
        <v>2023</v>
      </c>
      <c r="M3" s="45">
        <v>2023</v>
      </c>
      <c r="N3" s="45">
        <v>2023</v>
      </c>
      <c r="O3" s="45">
        <v>2023</v>
      </c>
      <c r="P3" s="45">
        <v>2023</v>
      </c>
      <c r="Q3" s="45">
        <v>2023</v>
      </c>
      <c r="R3" s="45">
        <v>2023</v>
      </c>
      <c r="S3" s="45">
        <v>2023</v>
      </c>
      <c r="T3" s="45">
        <v>2023</v>
      </c>
      <c r="U3" s="45">
        <v>2023</v>
      </c>
      <c r="V3" s="45">
        <v>2023</v>
      </c>
      <c r="W3" s="45">
        <v>2023</v>
      </c>
      <c r="X3" s="45">
        <v>2023</v>
      </c>
      <c r="Y3" s="45">
        <v>2023</v>
      </c>
      <c r="Z3" s="45">
        <v>2023</v>
      </c>
      <c r="AA3" s="45">
        <v>2023</v>
      </c>
      <c r="AB3" s="45">
        <v>2023</v>
      </c>
      <c r="AC3" s="45">
        <v>2023</v>
      </c>
      <c r="AD3" s="45">
        <v>2023</v>
      </c>
      <c r="AE3" s="45">
        <v>2023</v>
      </c>
      <c r="AF3" s="45">
        <v>2023</v>
      </c>
      <c r="AG3" s="45">
        <v>2023</v>
      </c>
      <c r="AH3" s="45">
        <v>2023</v>
      </c>
      <c r="AI3" s="45">
        <v>2023</v>
      </c>
      <c r="AJ3" s="45">
        <v>2023</v>
      </c>
      <c r="AK3" s="45">
        <v>2023</v>
      </c>
      <c r="AL3" s="45">
        <v>2023</v>
      </c>
      <c r="AM3" s="45">
        <v>2023</v>
      </c>
      <c r="AN3" s="45">
        <v>2023</v>
      </c>
      <c r="AO3" s="45">
        <v>2023</v>
      </c>
      <c r="AP3" s="45">
        <v>2023</v>
      </c>
      <c r="AQ3" s="45">
        <v>2023</v>
      </c>
      <c r="AR3" s="45">
        <v>2023</v>
      </c>
      <c r="AS3" s="45">
        <v>2023</v>
      </c>
      <c r="AT3" s="45">
        <v>2023</v>
      </c>
      <c r="AU3" s="45">
        <v>2023</v>
      </c>
      <c r="AV3" s="45">
        <v>2023</v>
      </c>
      <c r="AW3" s="45">
        <v>2023</v>
      </c>
      <c r="AX3" s="45">
        <v>2023</v>
      </c>
      <c r="AY3" s="45">
        <v>2023</v>
      </c>
      <c r="AZ3" s="45">
        <v>2023</v>
      </c>
      <c r="BA3" s="45">
        <v>2024</v>
      </c>
      <c r="BB3" s="45">
        <v>2024</v>
      </c>
      <c r="BC3" s="45">
        <v>2024</v>
      </c>
      <c r="BD3" s="45">
        <v>2024</v>
      </c>
      <c r="BE3" s="45">
        <v>2024</v>
      </c>
      <c r="BF3" s="45">
        <v>2024</v>
      </c>
      <c r="BG3" s="45">
        <v>2024</v>
      </c>
      <c r="BH3" s="45">
        <v>2024</v>
      </c>
      <c r="BI3" s="45">
        <v>2024</v>
      </c>
      <c r="BJ3" s="45">
        <v>2024</v>
      </c>
      <c r="BK3" s="45">
        <v>2024</v>
      </c>
      <c r="BL3" s="45">
        <v>2024</v>
      </c>
      <c r="BM3" s="45">
        <v>2024</v>
      </c>
      <c r="BN3" s="45">
        <v>2024</v>
      </c>
      <c r="BO3" s="45">
        <v>2024</v>
      </c>
      <c r="BP3" s="45">
        <v>2024</v>
      </c>
      <c r="BQ3" s="45">
        <v>2024</v>
      </c>
      <c r="BR3" s="45">
        <v>2024</v>
      </c>
      <c r="BS3" s="45">
        <v>2024</v>
      </c>
      <c r="BT3" s="45">
        <v>2024</v>
      </c>
      <c r="BU3" s="45">
        <v>2024</v>
      </c>
      <c r="BV3" s="45">
        <v>2024</v>
      </c>
      <c r="BW3" s="45">
        <v>2024</v>
      </c>
      <c r="BX3" s="45">
        <v>2024</v>
      </c>
      <c r="BY3" s="45">
        <v>2024</v>
      </c>
      <c r="BZ3" s="45">
        <v>2024</v>
      </c>
      <c r="CA3" s="45">
        <v>2024</v>
      </c>
      <c r="CB3" s="45">
        <v>2024</v>
      </c>
      <c r="CC3" s="45">
        <v>2024</v>
      </c>
      <c r="CD3" s="45">
        <v>2024</v>
      </c>
      <c r="CE3" s="45">
        <v>2024</v>
      </c>
      <c r="CF3" s="45">
        <v>2024</v>
      </c>
      <c r="CG3" s="45">
        <v>2024</v>
      </c>
      <c r="CH3" s="45">
        <v>2024</v>
      </c>
      <c r="CI3" s="45">
        <v>2024</v>
      </c>
      <c r="CJ3" s="45">
        <v>2024</v>
      </c>
      <c r="CK3" s="45">
        <v>2024</v>
      </c>
      <c r="CL3" s="45">
        <v>2024</v>
      </c>
      <c r="CM3" s="45">
        <v>2024</v>
      </c>
      <c r="CN3" s="45">
        <v>2024</v>
      </c>
      <c r="CO3" s="45">
        <v>2024</v>
      </c>
      <c r="CP3" s="45">
        <v>2024</v>
      </c>
      <c r="CQ3" s="46">
        <v>2024</v>
      </c>
      <c r="CR3" s="45">
        <v>2024</v>
      </c>
      <c r="CS3" s="45">
        <v>2024</v>
      </c>
      <c r="CT3" s="45">
        <v>2024</v>
      </c>
      <c r="CU3" s="45">
        <v>2024</v>
      </c>
      <c r="CV3" s="45">
        <v>2024</v>
      </c>
      <c r="CW3" s="45">
        <v>2024</v>
      </c>
      <c r="CX3" s="45">
        <v>2025</v>
      </c>
      <c r="CY3" s="45">
        <v>2025</v>
      </c>
      <c r="CZ3" s="45">
        <v>2025</v>
      </c>
      <c r="DA3" s="45">
        <v>2025</v>
      </c>
      <c r="DB3" s="45">
        <v>2025</v>
      </c>
      <c r="DC3" s="45">
        <v>2025</v>
      </c>
      <c r="DD3" s="45">
        <v>2025</v>
      </c>
      <c r="DE3" s="45">
        <v>2025</v>
      </c>
      <c r="DF3" s="45">
        <v>2025</v>
      </c>
      <c r="DG3" s="45">
        <v>2025</v>
      </c>
      <c r="DH3" s="45">
        <v>2025</v>
      </c>
      <c r="DI3" s="45">
        <v>2025</v>
      </c>
      <c r="DJ3" s="45">
        <v>2025</v>
      </c>
      <c r="DK3" s="45">
        <v>2025</v>
      </c>
      <c r="DL3" s="45">
        <v>2025</v>
      </c>
      <c r="DM3" s="45">
        <v>2025</v>
      </c>
      <c r="DN3" s="45">
        <v>2025</v>
      </c>
      <c r="DO3" s="45">
        <v>2025</v>
      </c>
      <c r="DP3" s="45">
        <v>2025</v>
      </c>
      <c r="DQ3" s="45">
        <v>2025</v>
      </c>
      <c r="DR3" s="45">
        <v>2025</v>
      </c>
      <c r="DS3" s="45">
        <v>2025</v>
      </c>
      <c r="DT3" s="45">
        <v>2025</v>
      </c>
      <c r="DU3" s="45">
        <v>2025</v>
      </c>
      <c r="DV3" s="45">
        <v>2025</v>
      </c>
      <c r="DW3" s="45">
        <v>2025</v>
      </c>
      <c r="DX3" s="47">
        <v>2025</v>
      </c>
      <c r="DY3" s="48">
        <v>2025</v>
      </c>
      <c r="DZ3" s="47">
        <v>2025</v>
      </c>
      <c r="EA3" s="47">
        <v>2025</v>
      </c>
      <c r="EB3" s="47">
        <v>2025</v>
      </c>
      <c r="EC3" s="47">
        <v>2025</v>
      </c>
      <c r="ED3" s="47">
        <v>2025</v>
      </c>
      <c r="EE3" s="47">
        <v>2025</v>
      </c>
      <c r="EF3" s="47">
        <v>2025</v>
      </c>
      <c r="EG3" s="47">
        <v>2025</v>
      </c>
      <c r="EH3" s="47">
        <v>2025</v>
      </c>
      <c r="EI3" s="47">
        <v>2025</v>
      </c>
      <c r="EJ3" s="47">
        <v>2025</v>
      </c>
      <c r="EK3" s="47">
        <v>2025</v>
      </c>
      <c r="EL3" s="47">
        <v>2025</v>
      </c>
      <c r="EM3" s="47">
        <v>2025</v>
      </c>
      <c r="EN3" s="47">
        <v>2025</v>
      </c>
      <c r="EO3" s="47">
        <v>2025</v>
      </c>
      <c r="EP3" s="47">
        <v>2025</v>
      </c>
      <c r="EQ3" s="48">
        <v>2025</v>
      </c>
      <c r="ER3" s="47">
        <v>2025</v>
      </c>
      <c r="ES3" s="47">
        <v>2025</v>
      </c>
      <c r="ET3" s="47">
        <v>2025</v>
      </c>
      <c r="EU3" s="47">
        <v>2025</v>
      </c>
      <c r="EV3" s="47">
        <v>2025</v>
      </c>
      <c r="EW3" s="47">
        <v>2026</v>
      </c>
      <c r="EX3" s="47">
        <v>2026</v>
      </c>
      <c r="EY3" s="47">
        <v>2026</v>
      </c>
      <c r="EZ3" s="47">
        <v>2026</v>
      </c>
      <c r="FA3" s="47">
        <v>2026</v>
      </c>
      <c r="FB3" s="47">
        <v>2026</v>
      </c>
      <c r="FC3" s="47">
        <v>2026</v>
      </c>
      <c r="FD3" s="47">
        <v>2026</v>
      </c>
      <c r="FE3" s="47">
        <v>2026</v>
      </c>
      <c r="FF3" s="48">
        <v>2026</v>
      </c>
      <c r="FG3" s="47">
        <v>2026</v>
      </c>
      <c r="FH3" s="47">
        <v>2026</v>
      </c>
      <c r="FI3" s="47">
        <v>2026</v>
      </c>
      <c r="FJ3" s="47">
        <v>2026</v>
      </c>
      <c r="FK3" s="47">
        <v>2026</v>
      </c>
      <c r="FL3" s="47">
        <v>2026</v>
      </c>
      <c r="FM3" s="49">
        <v>2026</v>
      </c>
      <c r="FN3" s="47">
        <v>2026</v>
      </c>
      <c r="FO3" s="50">
        <v>2026</v>
      </c>
      <c r="FP3" s="47">
        <v>2026</v>
      </c>
      <c r="FQ3" s="47">
        <v>2026</v>
      </c>
      <c r="FR3" s="47">
        <v>2026</v>
      </c>
      <c r="FS3" s="47">
        <v>2026</v>
      </c>
      <c r="FT3" s="47">
        <v>2026</v>
      </c>
      <c r="FU3" s="47">
        <v>2026</v>
      </c>
      <c r="FV3" s="47">
        <v>2026</v>
      </c>
      <c r="FW3" s="47">
        <v>2026</v>
      </c>
      <c r="FX3" s="47">
        <v>2026</v>
      </c>
      <c r="FY3" s="47">
        <v>2026</v>
      </c>
      <c r="FZ3" s="47">
        <v>2026</v>
      </c>
      <c r="GA3" s="47">
        <v>2026</v>
      </c>
      <c r="GB3" s="47">
        <v>2026</v>
      </c>
      <c r="GC3" s="47">
        <v>2026</v>
      </c>
      <c r="GD3" s="47">
        <v>2026</v>
      </c>
      <c r="GE3" s="51">
        <v>2026</v>
      </c>
      <c r="GF3" s="51">
        <v>2026</v>
      </c>
      <c r="GG3" s="51">
        <v>2026</v>
      </c>
      <c r="GH3" s="51">
        <v>2026</v>
      </c>
      <c r="GI3" s="51">
        <v>2026</v>
      </c>
      <c r="GJ3" s="37"/>
      <c r="GK3" s="37"/>
      <c r="GL3" s="37"/>
      <c r="GM3" s="37"/>
      <c r="GN3" s="37"/>
      <c r="GO3" s="37"/>
      <c r="GP3" s="37"/>
      <c r="GQ3" s="37"/>
      <c r="GR3" s="37"/>
      <c r="GS3" s="37"/>
      <c r="GT3" s="37"/>
      <c r="GU3" s="37"/>
      <c r="GV3" s="37"/>
      <c r="GW3" s="37"/>
      <c r="GX3" s="37"/>
    </row>
    <row r="4" spans="1:206" ht="15.75">
      <c r="A4" s="44" t="s">
        <v>191</v>
      </c>
      <c r="B4" s="45">
        <v>1</v>
      </c>
      <c r="C4" s="45">
        <v>2</v>
      </c>
      <c r="D4" s="45">
        <v>3</v>
      </c>
      <c r="E4" s="45">
        <v>5</v>
      </c>
      <c r="F4" s="45">
        <v>6</v>
      </c>
      <c r="G4" s="45">
        <v>7</v>
      </c>
      <c r="H4" s="45">
        <v>8</v>
      </c>
      <c r="I4" s="45">
        <v>9</v>
      </c>
      <c r="J4" s="45">
        <v>10</v>
      </c>
      <c r="K4" s="45">
        <v>11</v>
      </c>
      <c r="L4" s="45">
        <v>12</v>
      </c>
      <c r="M4" s="45">
        <v>13</v>
      </c>
      <c r="N4" s="45">
        <v>14</v>
      </c>
      <c r="O4" s="45">
        <v>15</v>
      </c>
      <c r="P4" s="45">
        <v>16</v>
      </c>
      <c r="Q4" s="45">
        <v>17</v>
      </c>
      <c r="R4" s="45">
        <v>18</v>
      </c>
      <c r="S4" s="45">
        <v>19</v>
      </c>
      <c r="T4" s="45">
        <v>20</v>
      </c>
      <c r="U4" s="45">
        <v>21</v>
      </c>
      <c r="V4" s="45">
        <v>22</v>
      </c>
      <c r="W4" s="45">
        <v>23</v>
      </c>
      <c r="X4" s="45">
        <v>24</v>
      </c>
      <c r="Y4" s="45">
        <v>25</v>
      </c>
      <c r="Z4" s="45">
        <v>26</v>
      </c>
      <c r="AA4" s="45">
        <v>27</v>
      </c>
      <c r="AB4" s="45">
        <v>28</v>
      </c>
      <c r="AC4" s="45">
        <v>29</v>
      </c>
      <c r="AD4" s="45">
        <v>30</v>
      </c>
      <c r="AE4" s="45">
        <v>31</v>
      </c>
      <c r="AF4" s="45">
        <v>32</v>
      </c>
      <c r="AG4" s="45">
        <v>33</v>
      </c>
      <c r="AH4" s="45">
        <v>34</v>
      </c>
      <c r="AI4" s="45">
        <v>35</v>
      </c>
      <c r="AJ4" s="45">
        <v>36</v>
      </c>
      <c r="AK4" s="45">
        <v>37</v>
      </c>
      <c r="AL4" s="45">
        <v>38</v>
      </c>
      <c r="AM4" s="45">
        <v>39</v>
      </c>
      <c r="AN4" s="45">
        <v>40</v>
      </c>
      <c r="AO4" s="45">
        <v>41</v>
      </c>
      <c r="AP4" s="45">
        <v>42</v>
      </c>
      <c r="AQ4" s="45">
        <v>43</v>
      </c>
      <c r="AR4" s="45">
        <v>44</v>
      </c>
      <c r="AS4" s="45">
        <v>45</v>
      </c>
      <c r="AT4" s="45">
        <v>46</v>
      </c>
      <c r="AU4" s="45">
        <v>47</v>
      </c>
      <c r="AV4" s="45">
        <v>48</v>
      </c>
      <c r="AW4" s="45">
        <v>49</v>
      </c>
      <c r="AX4" s="45">
        <v>50</v>
      </c>
      <c r="AY4" s="52">
        <v>51</v>
      </c>
      <c r="AZ4" s="52">
        <v>52</v>
      </c>
      <c r="BA4" s="52">
        <v>1</v>
      </c>
      <c r="BB4" s="52">
        <v>2</v>
      </c>
      <c r="BC4" s="52">
        <v>3</v>
      </c>
      <c r="BD4" s="52">
        <v>4</v>
      </c>
      <c r="BE4" s="52">
        <v>5</v>
      </c>
      <c r="BF4" s="52">
        <v>6</v>
      </c>
      <c r="BG4" s="52">
        <v>8</v>
      </c>
      <c r="BH4" s="52">
        <v>9</v>
      </c>
      <c r="BI4" s="52">
        <v>10</v>
      </c>
      <c r="BJ4" s="52">
        <v>11</v>
      </c>
      <c r="BK4" s="52">
        <v>12</v>
      </c>
      <c r="BL4" s="52">
        <v>13</v>
      </c>
      <c r="BM4" s="52">
        <v>14</v>
      </c>
      <c r="BN4" s="52">
        <v>15</v>
      </c>
      <c r="BO4" s="52">
        <v>16</v>
      </c>
      <c r="BP4" s="52">
        <v>17</v>
      </c>
      <c r="BQ4" s="52">
        <v>19</v>
      </c>
      <c r="BR4" s="52">
        <v>20</v>
      </c>
      <c r="BS4" s="52">
        <v>21</v>
      </c>
      <c r="BT4" s="52">
        <v>22</v>
      </c>
      <c r="BU4" s="52">
        <v>23</v>
      </c>
      <c r="BV4" s="52">
        <v>24</v>
      </c>
      <c r="BW4" s="52">
        <v>25</v>
      </c>
      <c r="BX4" s="52">
        <v>26</v>
      </c>
      <c r="BY4" s="52">
        <v>27</v>
      </c>
      <c r="BZ4" s="52">
        <v>28</v>
      </c>
      <c r="CA4" s="52">
        <v>29</v>
      </c>
      <c r="CB4" s="52">
        <v>30</v>
      </c>
      <c r="CC4" s="52">
        <v>31</v>
      </c>
      <c r="CD4" s="52">
        <v>32</v>
      </c>
      <c r="CE4" s="52">
        <v>33</v>
      </c>
      <c r="CF4" s="52">
        <v>34</v>
      </c>
      <c r="CG4" s="52">
        <v>35</v>
      </c>
      <c r="CH4" s="52">
        <v>36</v>
      </c>
      <c r="CI4" s="52">
        <v>37</v>
      </c>
      <c r="CJ4" s="52">
        <v>38</v>
      </c>
      <c r="CK4" s="52">
        <v>39</v>
      </c>
      <c r="CL4" s="52">
        <v>41</v>
      </c>
      <c r="CM4" s="52">
        <v>42</v>
      </c>
      <c r="CN4" s="52">
        <v>43</v>
      </c>
      <c r="CO4" s="52">
        <v>44</v>
      </c>
      <c r="CP4" s="52">
        <v>45</v>
      </c>
      <c r="CQ4" s="52">
        <v>46</v>
      </c>
      <c r="CR4" s="52">
        <v>47</v>
      </c>
      <c r="CS4" s="52">
        <v>48</v>
      </c>
      <c r="CT4" s="52">
        <v>49</v>
      </c>
      <c r="CU4" s="52">
        <v>50</v>
      </c>
      <c r="CV4" s="52">
        <v>51</v>
      </c>
      <c r="CW4" s="52">
        <v>52</v>
      </c>
      <c r="CX4" s="52">
        <v>1</v>
      </c>
      <c r="CY4" s="52">
        <v>2</v>
      </c>
      <c r="CZ4" s="52">
        <v>3</v>
      </c>
      <c r="DA4" s="52">
        <v>4</v>
      </c>
      <c r="DB4" s="52">
        <v>6</v>
      </c>
      <c r="DC4" s="52">
        <v>7</v>
      </c>
      <c r="DD4" s="52">
        <v>8</v>
      </c>
      <c r="DE4" s="52">
        <v>9</v>
      </c>
      <c r="DF4" s="52">
        <v>10</v>
      </c>
      <c r="DG4" s="52">
        <v>11</v>
      </c>
      <c r="DH4" s="52">
        <v>12</v>
      </c>
      <c r="DI4" s="52">
        <v>13</v>
      </c>
      <c r="DJ4" s="52">
        <v>14</v>
      </c>
      <c r="DK4" s="52">
        <v>15</v>
      </c>
      <c r="DL4" s="52">
        <v>16</v>
      </c>
      <c r="DM4" s="52">
        <v>17</v>
      </c>
      <c r="DN4" s="52">
        <v>18</v>
      </c>
      <c r="DO4" s="52">
        <v>19</v>
      </c>
      <c r="DP4" s="52">
        <v>20</v>
      </c>
      <c r="DQ4" s="52">
        <v>21</v>
      </c>
      <c r="DR4" s="52">
        <v>22</v>
      </c>
      <c r="DS4" s="52">
        <v>23</v>
      </c>
      <c r="DT4" s="52">
        <v>24</v>
      </c>
      <c r="DU4" s="52">
        <v>25</v>
      </c>
      <c r="DV4" s="52">
        <v>26</v>
      </c>
      <c r="DW4" s="52">
        <v>27</v>
      </c>
      <c r="DX4" s="49">
        <v>28</v>
      </c>
      <c r="DY4" s="53">
        <v>29</v>
      </c>
      <c r="DZ4" s="49">
        <v>30</v>
      </c>
      <c r="EA4" s="49">
        <v>31</v>
      </c>
      <c r="EB4" s="49">
        <v>32</v>
      </c>
      <c r="EC4" s="49">
        <v>33</v>
      </c>
      <c r="ED4" s="49">
        <v>34</v>
      </c>
      <c r="EE4" s="49">
        <v>35</v>
      </c>
      <c r="EF4" s="49">
        <v>36</v>
      </c>
      <c r="EG4" s="49">
        <v>37</v>
      </c>
      <c r="EH4" s="49">
        <v>38</v>
      </c>
      <c r="EI4" s="49">
        <v>39</v>
      </c>
      <c r="EJ4" s="49">
        <v>41</v>
      </c>
      <c r="EK4" s="49">
        <v>42</v>
      </c>
      <c r="EL4" s="49">
        <v>43</v>
      </c>
      <c r="EM4" s="49">
        <v>44</v>
      </c>
      <c r="EN4" s="49">
        <v>45</v>
      </c>
      <c r="EO4" s="49">
        <v>46</v>
      </c>
      <c r="EP4" s="49">
        <v>47</v>
      </c>
      <c r="EQ4" s="53">
        <v>48</v>
      </c>
      <c r="ER4" s="49">
        <v>49</v>
      </c>
      <c r="ES4" s="49">
        <v>50</v>
      </c>
      <c r="ET4" s="49">
        <v>51</v>
      </c>
      <c r="EU4" s="49">
        <v>52</v>
      </c>
      <c r="EV4" s="49" t="s">
        <v>192</v>
      </c>
      <c r="EW4" s="49">
        <v>1</v>
      </c>
      <c r="EX4" s="49">
        <v>2</v>
      </c>
      <c r="EY4" s="49">
        <v>3</v>
      </c>
      <c r="EZ4" s="49">
        <v>4</v>
      </c>
      <c r="FA4" s="49">
        <v>5</v>
      </c>
      <c r="FB4" s="49">
        <v>6</v>
      </c>
      <c r="FC4" s="49">
        <v>8</v>
      </c>
      <c r="FD4" s="49">
        <v>9</v>
      </c>
      <c r="FE4" s="49">
        <v>10</v>
      </c>
      <c r="FF4" s="53">
        <v>11</v>
      </c>
      <c r="FG4" s="49">
        <v>12</v>
      </c>
      <c r="FH4" s="49">
        <v>13</v>
      </c>
      <c r="FI4" s="49">
        <v>14</v>
      </c>
      <c r="FJ4" s="49">
        <v>15</v>
      </c>
      <c r="FK4" s="49">
        <v>16</v>
      </c>
      <c r="FL4" s="49">
        <v>17</v>
      </c>
      <c r="FM4" s="49">
        <v>18</v>
      </c>
      <c r="FN4" s="49">
        <v>19</v>
      </c>
      <c r="FO4" s="54">
        <v>20</v>
      </c>
      <c r="FP4" s="49">
        <v>21</v>
      </c>
      <c r="FQ4" s="49">
        <v>22</v>
      </c>
      <c r="FR4" s="49">
        <v>23</v>
      </c>
      <c r="FS4" s="49">
        <v>24</v>
      </c>
      <c r="FT4" s="49">
        <v>25</v>
      </c>
      <c r="FU4" s="49">
        <v>26</v>
      </c>
      <c r="FV4" s="49">
        <v>27</v>
      </c>
      <c r="FW4" s="49">
        <v>28</v>
      </c>
      <c r="FX4" s="49">
        <v>29</v>
      </c>
      <c r="FY4" s="49">
        <v>30</v>
      </c>
      <c r="FZ4" s="49">
        <v>31</v>
      </c>
      <c r="GA4" s="49">
        <v>32</v>
      </c>
      <c r="GB4" s="49">
        <v>33</v>
      </c>
      <c r="GC4" s="49">
        <v>34</v>
      </c>
      <c r="GD4" s="49">
        <v>35</v>
      </c>
      <c r="GE4" s="55">
        <v>36</v>
      </c>
      <c r="GF4" s="55">
        <v>37</v>
      </c>
      <c r="GG4" s="55" t="s">
        <v>193</v>
      </c>
      <c r="GH4" s="55" t="s">
        <v>194</v>
      </c>
      <c r="GI4" s="55" t="s">
        <v>195</v>
      </c>
      <c r="GJ4" s="37"/>
      <c r="GK4" s="37"/>
      <c r="GL4" s="37"/>
      <c r="GM4" s="37"/>
      <c r="GN4" s="37"/>
      <c r="GO4" s="37"/>
      <c r="GP4" s="37"/>
      <c r="GQ4" s="37"/>
      <c r="GR4" s="37"/>
      <c r="GS4" s="37"/>
      <c r="GT4" s="37"/>
      <c r="GU4" s="37"/>
      <c r="GV4" s="37"/>
      <c r="GW4" s="37"/>
      <c r="GX4" s="37"/>
    </row>
    <row r="5" spans="1:206" ht="15.75">
      <c r="A5" s="44" t="s">
        <v>196</v>
      </c>
      <c r="B5" s="45"/>
      <c r="C5" s="45"/>
      <c r="D5" s="45"/>
      <c r="E5" s="45"/>
      <c r="F5" s="45"/>
      <c r="G5" s="45"/>
      <c r="H5" s="45"/>
      <c r="I5" s="45"/>
      <c r="J5" s="45"/>
      <c r="K5" s="45"/>
      <c r="L5" s="45"/>
      <c r="M5" s="45"/>
      <c r="N5" s="45"/>
      <c r="O5" s="45"/>
      <c r="P5" s="45"/>
      <c r="Q5" s="45"/>
      <c r="R5" s="45"/>
      <c r="S5" s="45"/>
      <c r="T5" s="45"/>
      <c r="U5" s="45"/>
      <c r="V5" s="45"/>
      <c r="W5" s="45"/>
      <c r="X5" s="45"/>
      <c r="Y5" s="45"/>
      <c r="Z5" s="45"/>
      <c r="AA5" s="45"/>
      <c r="AB5" s="45"/>
      <c r="AC5" s="45"/>
      <c r="AD5" s="45"/>
      <c r="AE5" s="45"/>
      <c r="AF5" s="45"/>
      <c r="AG5" s="45"/>
      <c r="AH5" s="45"/>
      <c r="AI5" s="45"/>
      <c r="AJ5" s="45"/>
      <c r="AK5" s="45"/>
      <c r="AL5" s="45"/>
      <c r="AM5" s="45"/>
      <c r="AN5" s="45"/>
      <c r="AO5" s="45"/>
      <c r="AP5" s="45"/>
      <c r="AQ5" s="45"/>
      <c r="AR5" s="45"/>
      <c r="AS5" s="45"/>
      <c r="AT5" s="45"/>
      <c r="AU5" s="45"/>
      <c r="AV5" s="45"/>
      <c r="AW5" s="45"/>
      <c r="AX5" s="45"/>
      <c r="AY5" s="52"/>
      <c r="AZ5" s="52"/>
      <c r="BA5" s="52"/>
      <c r="BB5" s="52"/>
      <c r="BC5" s="52"/>
      <c r="BD5" s="52"/>
      <c r="BE5" s="52"/>
      <c r="BF5" s="52"/>
      <c r="BG5" s="52"/>
      <c r="BH5" s="52"/>
      <c r="BI5" s="52"/>
      <c r="BJ5" s="52"/>
      <c r="BK5" s="52"/>
      <c r="BL5" s="52"/>
      <c r="BM5" s="52"/>
      <c r="BN5" s="52"/>
      <c r="BO5" s="52"/>
      <c r="BP5" s="52"/>
      <c r="BQ5" s="52"/>
      <c r="BR5" s="52"/>
      <c r="BS5" s="52"/>
      <c r="BT5" s="52"/>
      <c r="BU5" s="52"/>
      <c r="BV5" s="52"/>
      <c r="BW5" s="52"/>
      <c r="BX5" s="52"/>
      <c r="BY5" s="52"/>
      <c r="BZ5" s="52"/>
      <c r="CA5" s="52"/>
      <c r="CB5" s="52"/>
      <c r="CC5" s="52"/>
      <c r="CD5" s="52"/>
      <c r="CE5" s="52"/>
      <c r="CF5" s="52"/>
      <c r="CG5" s="52"/>
      <c r="CH5" s="52"/>
      <c r="CI5" s="52"/>
      <c r="CJ5" s="52"/>
      <c r="CK5" s="52"/>
      <c r="CL5" s="52"/>
      <c r="CM5" s="52"/>
      <c r="CN5" s="52"/>
      <c r="CO5" s="52"/>
      <c r="CP5" s="52"/>
      <c r="CQ5" s="56"/>
      <c r="CR5" s="52"/>
      <c r="CS5" s="52"/>
      <c r="CT5" s="52"/>
      <c r="CU5" s="52"/>
      <c r="CV5" s="52"/>
      <c r="CW5" s="52"/>
      <c r="CX5" s="52"/>
      <c r="CY5" s="52"/>
      <c r="CZ5" s="52"/>
      <c r="DA5" s="52"/>
      <c r="DB5" s="52"/>
      <c r="DC5" s="52"/>
      <c r="DD5" s="52"/>
      <c r="DE5" s="52"/>
      <c r="DF5" s="52"/>
      <c r="DG5" s="52"/>
      <c r="DH5" s="52"/>
      <c r="DI5" s="52"/>
      <c r="DJ5" s="52"/>
      <c r="DK5" s="52"/>
      <c r="DL5" s="52"/>
      <c r="DM5" s="52"/>
      <c r="DN5" s="52"/>
      <c r="DO5" s="52"/>
      <c r="DP5" s="52"/>
      <c r="DQ5" s="52"/>
      <c r="DR5" s="52"/>
      <c r="DS5" s="52"/>
      <c r="DT5" s="52"/>
      <c r="DU5" s="52"/>
      <c r="DV5" s="52"/>
      <c r="DW5" s="52"/>
      <c r="DX5" s="49"/>
      <c r="DY5" s="53"/>
      <c r="DZ5" s="49"/>
      <c r="EA5" s="49"/>
      <c r="EB5" s="49"/>
      <c r="EC5" s="49"/>
      <c r="ED5" s="49"/>
      <c r="EE5" s="49"/>
      <c r="EF5" s="49"/>
      <c r="EG5" s="49"/>
      <c r="EH5" s="49"/>
      <c r="EI5" s="49"/>
      <c r="EJ5" s="49"/>
      <c r="EK5" s="49"/>
      <c r="EL5" s="49"/>
      <c r="EM5" s="49"/>
      <c r="EN5" s="49"/>
      <c r="EO5" s="49"/>
      <c r="EP5" s="49"/>
      <c r="EQ5" s="53"/>
      <c r="ER5" s="49"/>
      <c r="ES5" s="49"/>
      <c r="ET5" s="49"/>
      <c r="EU5" s="49"/>
      <c r="EV5" s="49"/>
      <c r="EW5" s="49"/>
      <c r="EX5" s="49"/>
      <c r="EY5" s="49"/>
      <c r="EZ5" s="49"/>
      <c r="FA5" s="49"/>
      <c r="FB5" s="49"/>
      <c r="FC5" s="49"/>
      <c r="FD5" s="49"/>
      <c r="FE5" s="49"/>
      <c r="FF5" s="53"/>
      <c r="FG5" s="49"/>
      <c r="FH5" s="49"/>
      <c r="FI5" s="49"/>
      <c r="FJ5" s="49"/>
      <c r="FK5" s="49"/>
      <c r="FL5" s="49"/>
      <c r="FM5" s="49"/>
      <c r="FN5" s="49"/>
      <c r="FO5" s="54"/>
      <c r="FP5" s="49"/>
      <c r="FQ5" s="49"/>
      <c r="FR5" s="49"/>
      <c r="FS5" s="49"/>
      <c r="FT5" s="49"/>
      <c r="FU5" s="49"/>
      <c r="FV5" s="49"/>
      <c r="FW5" s="49"/>
      <c r="FX5" s="49"/>
      <c r="FY5" s="49"/>
      <c r="FZ5" s="49"/>
      <c r="GA5" s="49"/>
      <c r="GB5" s="49"/>
      <c r="GC5" s="49"/>
      <c r="GD5" s="49"/>
      <c r="GE5" s="55"/>
      <c r="GF5" s="55"/>
      <c r="GG5" s="55"/>
      <c r="GH5" s="55"/>
      <c r="GI5" s="55"/>
    </row>
    <row r="6" spans="1:206" ht="15.75">
      <c r="A6" s="20" t="s">
        <v>197</v>
      </c>
      <c r="B6" s="52"/>
      <c r="C6" s="52"/>
      <c r="D6" s="52"/>
      <c r="E6" s="52"/>
      <c r="F6" s="52"/>
      <c r="G6" s="52"/>
      <c r="H6" s="52"/>
      <c r="I6" s="52"/>
      <c r="J6" s="52"/>
      <c r="K6" s="52"/>
      <c r="L6" s="52"/>
      <c r="M6" s="52"/>
      <c r="N6" s="52"/>
      <c r="O6" s="52"/>
      <c r="P6" s="52"/>
      <c r="Q6" s="52"/>
      <c r="R6" s="52"/>
      <c r="S6" s="52"/>
      <c r="T6" s="52"/>
      <c r="U6" s="52"/>
      <c r="V6" s="52"/>
      <c r="W6" s="52"/>
      <c r="X6" s="52"/>
      <c r="Y6" s="52"/>
      <c r="Z6" s="52"/>
      <c r="AA6" s="52"/>
      <c r="AB6" s="52">
        <v>74.5</v>
      </c>
      <c r="AC6" s="52">
        <v>76</v>
      </c>
      <c r="AD6" s="52">
        <v>76.3</v>
      </c>
      <c r="AE6" s="52">
        <v>80</v>
      </c>
      <c r="AF6" s="52">
        <v>80.2</v>
      </c>
      <c r="AG6" s="52">
        <v>84</v>
      </c>
      <c r="AH6" s="52">
        <v>86</v>
      </c>
      <c r="AI6" s="52">
        <v>90</v>
      </c>
      <c r="AJ6" s="52">
        <v>92</v>
      </c>
      <c r="AK6" s="52">
        <v>92</v>
      </c>
      <c r="AL6" s="52">
        <v>92</v>
      </c>
      <c r="AM6" s="52">
        <v>92</v>
      </c>
      <c r="AN6" s="52">
        <v>92</v>
      </c>
      <c r="AO6" s="52">
        <v>92</v>
      </c>
      <c r="AP6" s="52">
        <v>85</v>
      </c>
      <c r="AQ6" s="52">
        <v>75</v>
      </c>
      <c r="AR6" s="52">
        <v>72</v>
      </c>
      <c r="AS6" s="52">
        <v>69</v>
      </c>
      <c r="AT6" s="52">
        <v>68.5</v>
      </c>
      <c r="AU6" s="52">
        <v>68</v>
      </c>
      <c r="AV6" s="52">
        <v>67</v>
      </c>
      <c r="AW6" s="52">
        <v>67</v>
      </c>
      <c r="AX6" s="52">
        <v>67</v>
      </c>
      <c r="AY6" s="57">
        <f>Sheet2!BB50</f>
        <v>67</v>
      </c>
      <c r="AZ6" s="58">
        <f>Sheet2!BC50</f>
        <v>67</v>
      </c>
      <c r="BA6" s="58">
        <f>Sheet2!BD50</f>
        <v>67</v>
      </c>
      <c r="BB6" s="58">
        <f>Sheet2!BE50</f>
        <v>69.5</v>
      </c>
      <c r="BC6" s="58">
        <f>Sheet2!BF50</f>
        <v>69.5</v>
      </c>
      <c r="BD6" s="58">
        <f>Sheet2!BG50</f>
        <v>69.5</v>
      </c>
      <c r="BE6" s="58">
        <f>Sheet2!BH50</f>
        <v>69.5</v>
      </c>
      <c r="BF6" s="58">
        <f>Sheet2!BI50</f>
        <v>69.5</v>
      </c>
      <c r="BG6" s="58">
        <f>Sheet2!BJ50</f>
        <v>69.5</v>
      </c>
      <c r="BH6" s="58">
        <f>Sheet2!BK50</f>
        <v>69.5</v>
      </c>
      <c r="BI6" s="58">
        <f>Sheet2!BL50</f>
        <v>69.5</v>
      </c>
      <c r="BJ6" s="58">
        <f>Sheet2!BM50</f>
        <v>69.5</v>
      </c>
      <c r="BK6" s="58">
        <f>Sheet2!BN50</f>
        <v>69.5</v>
      </c>
      <c r="BL6" s="58">
        <f>Sheet2!BO50</f>
        <v>69.5</v>
      </c>
      <c r="BM6" s="58">
        <f>Sheet2!BP50</f>
        <v>60</v>
      </c>
      <c r="BN6" s="58">
        <f>Sheet2!BQ50</f>
        <v>57</v>
      </c>
      <c r="BO6" s="58">
        <f>Sheet2!BR50</f>
        <v>48</v>
      </c>
      <c r="BP6" s="58">
        <f>Sheet2!BS50</f>
        <v>42</v>
      </c>
      <c r="BQ6" s="58">
        <f>Sheet2!BT50</f>
        <v>41</v>
      </c>
      <c r="BR6" s="58">
        <f>Sheet2!BU50</f>
        <v>41</v>
      </c>
      <c r="BS6" s="58">
        <f>Sheet2!BV50</f>
        <v>39.5</v>
      </c>
      <c r="BT6" s="58">
        <f>Sheet2!BW50</f>
        <v>39.5</v>
      </c>
      <c r="BU6" s="58">
        <f>Sheet2!BX50</f>
        <v>39.5</v>
      </c>
      <c r="BV6" s="58">
        <f>Sheet2!BY50</f>
        <v>37.5</v>
      </c>
      <c r="BW6" s="58">
        <f>Sheet2!BZ50</f>
        <v>37.5</v>
      </c>
      <c r="BX6" s="58">
        <f>Sheet2!CA50</f>
        <v>37.5</v>
      </c>
      <c r="BY6" s="58">
        <f>Sheet2!CB50</f>
        <v>37.5</v>
      </c>
      <c r="BZ6" s="58">
        <f>Sheet2!CC50</f>
        <v>37.5</v>
      </c>
      <c r="CA6" s="58">
        <f>Sheet2!CD50</f>
        <v>37.5</v>
      </c>
      <c r="CB6" s="58">
        <f>Sheet2!CE50</f>
        <v>37.5</v>
      </c>
      <c r="CC6" s="58">
        <f>Sheet2!CF50</f>
        <v>37.5</v>
      </c>
      <c r="CD6" s="58">
        <f>Sheet2!CG50</f>
        <v>37.5</v>
      </c>
      <c r="CE6" s="58">
        <f>Sheet2!CH50</f>
        <v>37.5</v>
      </c>
      <c r="CF6" s="58">
        <f>Sheet2!CI50</f>
        <v>37.5</v>
      </c>
      <c r="CG6" s="58">
        <f>Sheet2!CJ50</f>
        <v>38.5</v>
      </c>
      <c r="CH6" s="58">
        <f>Sheet2!CK50</f>
        <v>38.5</v>
      </c>
      <c r="CI6" s="58">
        <f>Sheet2!CL50</f>
        <v>38.5</v>
      </c>
      <c r="CJ6" s="58">
        <f>Sheet2!CM50</f>
        <v>38.5</v>
      </c>
      <c r="CK6" s="58">
        <f>Sheet2!CN50</f>
        <v>40</v>
      </c>
      <c r="CL6" s="58">
        <f>Sheet2!CO50</f>
        <v>40</v>
      </c>
      <c r="CM6" s="58">
        <f>Sheet2!CP50</f>
        <v>40</v>
      </c>
      <c r="CN6" s="58">
        <f>Sheet2!CQ50</f>
        <v>40</v>
      </c>
      <c r="CO6" s="58">
        <f>Sheet2!CR50</f>
        <v>40</v>
      </c>
      <c r="CP6" s="58">
        <f>Sheet2!CS50</f>
        <v>40</v>
      </c>
      <c r="CQ6" s="59">
        <f>Sheet2!CT50</f>
        <v>40</v>
      </c>
      <c r="CR6" s="58">
        <f>Sheet2!CU50</f>
        <v>40</v>
      </c>
      <c r="CS6" s="58">
        <f>Sheet2!CV50</f>
        <v>40</v>
      </c>
      <c r="CT6" s="58">
        <f>Sheet2!CW50</f>
        <v>40</v>
      </c>
      <c r="CU6" s="58">
        <f>Sheet2!CX50</f>
        <v>40</v>
      </c>
      <c r="CV6" s="58">
        <f>Sheet2!CY50</f>
        <v>40.5</v>
      </c>
      <c r="CW6" s="58">
        <f>Sheet2!CZ50</f>
        <v>40.5</v>
      </c>
      <c r="CX6" s="58">
        <f>Sheet2!DA50</f>
        <v>40.5</v>
      </c>
      <c r="CY6" s="58">
        <f>Sheet2!DB50</f>
        <v>42</v>
      </c>
      <c r="CZ6" s="58">
        <f>Sheet2!DC50</f>
        <v>42</v>
      </c>
      <c r="DA6" s="58">
        <f>Sheet2!DD50</f>
        <v>42</v>
      </c>
      <c r="DB6" s="58">
        <f>Sheet2!DE50</f>
        <v>42</v>
      </c>
      <c r="DC6" s="58">
        <f>Sheet2!DF50</f>
        <v>42</v>
      </c>
      <c r="DD6" s="58">
        <f>Sheet2!DG50</f>
        <v>42</v>
      </c>
      <c r="DE6" s="58">
        <f>Sheet2!DH50</f>
        <v>42</v>
      </c>
      <c r="DF6" s="57">
        <f>Sheet2!DI50</f>
        <v>42</v>
      </c>
      <c r="DG6" s="57">
        <f>Sheet2!DJ50</f>
        <v>42</v>
      </c>
      <c r="DH6" s="57">
        <f>Sheet2!DK50</f>
        <v>42</v>
      </c>
      <c r="DI6" s="57">
        <v>42</v>
      </c>
      <c r="DJ6" s="57">
        <f>Sheet2!DN50</f>
        <v>42</v>
      </c>
      <c r="DK6" s="57">
        <f>Sheet2!DO50</f>
        <v>42</v>
      </c>
      <c r="DL6" s="57">
        <f>Sheet2!DP50</f>
        <v>42</v>
      </c>
      <c r="DM6" s="57">
        <f>Sheet2!DQ50</f>
        <v>39.5</v>
      </c>
      <c r="DN6" s="57">
        <f>Sheet2!DR50</f>
        <v>39.5</v>
      </c>
      <c r="DO6" s="57">
        <f>Sheet2!DS50</f>
        <v>39.5</v>
      </c>
      <c r="DP6" s="57">
        <v>39.5</v>
      </c>
      <c r="DQ6" s="57">
        <f>Sheet2!DV50</f>
        <v>38.5</v>
      </c>
      <c r="DR6" s="57">
        <f>Sheet2!DW50</f>
        <v>36.5</v>
      </c>
      <c r="DS6" s="57">
        <v>36.5</v>
      </c>
      <c r="DT6" s="57">
        <f>Sheet2!DZ50</f>
        <v>36.5</v>
      </c>
      <c r="DU6" s="57">
        <f>Sheet2!EA50</f>
        <v>35.5</v>
      </c>
      <c r="DV6" s="57">
        <f>Sheet2!EB50</f>
        <v>35.5</v>
      </c>
      <c r="DW6" s="57">
        <f>Sheet2!EC50</f>
        <v>35.5</v>
      </c>
      <c r="DX6" s="57">
        <f>Sheet2!ED50</f>
        <v>36</v>
      </c>
      <c r="DY6" s="60">
        <f>Sheet2!EE50</f>
        <v>46</v>
      </c>
      <c r="DZ6" s="57">
        <f>Sheet2!EF50</f>
        <v>46</v>
      </c>
      <c r="EA6" s="57">
        <f>Sheet2!EG50</f>
        <v>48</v>
      </c>
      <c r="EB6" s="57">
        <f>Sheet2!EH50</f>
        <v>48</v>
      </c>
      <c r="EC6" s="57">
        <f>Sheet2!EI50</f>
        <v>48</v>
      </c>
      <c r="ED6" s="57">
        <f>Sheet2!EJ50</f>
        <v>48</v>
      </c>
      <c r="EE6" s="57">
        <f>Sheet2!EK50</f>
        <v>50</v>
      </c>
      <c r="EF6" s="57">
        <f>Sheet2!EL50</f>
        <v>50</v>
      </c>
      <c r="EG6" s="57">
        <f>Sheet2!EM50</f>
        <v>51</v>
      </c>
      <c r="EH6" s="57">
        <f>Sheet2!EN50</f>
        <v>51</v>
      </c>
      <c r="EI6" s="57">
        <f>Sheet2!EO50</f>
        <v>51.5</v>
      </c>
      <c r="EJ6" s="57">
        <f>Sheet2!EP50</f>
        <v>52</v>
      </c>
      <c r="EK6" s="57">
        <f>Sheet2!EQ50</f>
        <v>52.5</v>
      </c>
      <c r="EL6" s="57">
        <f>Sheet2!ER50</f>
        <v>52.5</v>
      </c>
      <c r="EM6" s="57">
        <f>Sheet2!ES50</f>
        <v>52.5</v>
      </c>
      <c r="EN6" s="57">
        <f>Sheet2!ET50</f>
        <v>52.5</v>
      </c>
      <c r="EO6" s="57">
        <f>Sheet2!EU50</f>
        <v>52.5</v>
      </c>
      <c r="EP6" s="57">
        <f>Sheet2!EV50</f>
        <v>52.5</v>
      </c>
      <c r="EQ6" s="60">
        <f>Sheet2!EW50</f>
        <v>52.5</v>
      </c>
      <c r="ER6" s="57">
        <f>Sheet2!EX50</f>
        <v>52.5</v>
      </c>
      <c r="ES6" s="57">
        <f>Sheet2!EY50</f>
        <v>52.5</v>
      </c>
      <c r="ET6" s="57">
        <f>Sheet2!EZ50</f>
        <v>52.5</v>
      </c>
      <c r="EU6" s="57">
        <f>Sheet2!FA50</f>
        <v>52.5</v>
      </c>
      <c r="EV6" s="57">
        <f>Sheet2!FB50</f>
        <v>52.5</v>
      </c>
      <c r="EW6" s="57">
        <f>Sheet2!FC50</f>
        <v>52.5</v>
      </c>
      <c r="EX6" s="57">
        <f>Sheet2!FD50</f>
        <v>52.5</v>
      </c>
      <c r="EY6" s="57">
        <f>Sheet2!FE50</f>
        <v>52.5</v>
      </c>
      <c r="EZ6" s="57">
        <f>Sheet2!FF50</f>
        <v>52.5</v>
      </c>
      <c r="FA6" s="57">
        <f>Sheet2!FG50</f>
        <v>52.5</v>
      </c>
      <c r="FB6" s="57">
        <f>Sheet2!FH50</f>
        <v>52.5</v>
      </c>
      <c r="FC6" s="57">
        <f>Sheet2!FI50</f>
        <v>52.5</v>
      </c>
      <c r="FD6" s="57">
        <f>Sheet2!FJ50</f>
        <v>48</v>
      </c>
      <c r="FE6" s="57">
        <f>Sheet2!FK50</f>
        <v>48</v>
      </c>
      <c r="FF6" s="60">
        <f>Sheet2!FL50</f>
        <v>43.5</v>
      </c>
      <c r="FG6" s="57">
        <f>Sheet2!FM50</f>
        <v>43.5</v>
      </c>
      <c r="FH6" s="57">
        <f>Sheet2!FN50</f>
        <v>39</v>
      </c>
      <c r="FI6" s="57">
        <f>Sheet2!FO50</f>
        <v>36</v>
      </c>
      <c r="FJ6" s="57">
        <f>Sheet2!FP50</f>
        <v>36</v>
      </c>
      <c r="FK6" s="57">
        <f>Sheet2!FQ50</f>
        <v>36</v>
      </c>
      <c r="FL6" s="57">
        <f>Sheet2!FR50</f>
        <v>36</v>
      </c>
      <c r="FM6" s="57">
        <f>Sheet2!FS50</f>
        <v>36</v>
      </c>
      <c r="FN6" s="57">
        <f>Sheet2!FT50</f>
        <v>36</v>
      </c>
      <c r="FO6" s="61">
        <f>Sheet2!FU50</f>
        <v>35.5</v>
      </c>
      <c r="FP6" s="57">
        <f>Sheet2!FV50</f>
        <v>35</v>
      </c>
      <c r="FQ6" s="57">
        <f>Sheet2!FW50</f>
        <v>35</v>
      </c>
      <c r="FR6" s="57">
        <f>Sheet2!FX50</f>
        <v>34.5</v>
      </c>
      <c r="FS6" s="57">
        <f>Sheet2!FY50</f>
        <v>34.5</v>
      </c>
      <c r="FT6" s="57">
        <f>Sheet2!FZ50</f>
        <v>34</v>
      </c>
      <c r="FU6" s="57">
        <f>Sheet2!GA50</f>
        <v>33.700000000000003</v>
      </c>
      <c r="FV6" s="57">
        <f>Sheet2!GB50</f>
        <v>33.700000000000003</v>
      </c>
      <c r="FW6" s="57">
        <f>Sheet2!GC50</f>
        <v>33.700000000000003</v>
      </c>
      <c r="FX6" s="57">
        <f>Sheet2!GD50</f>
        <v>33.700000000000003</v>
      </c>
      <c r="FY6" s="57">
        <f>Sheet2!GE50</f>
        <v>32.5</v>
      </c>
      <c r="FZ6" s="57">
        <f>Sheet2!GF50</f>
        <v>32.5</v>
      </c>
      <c r="GA6" s="57">
        <f>Sheet2!GG50</f>
        <v>32.5</v>
      </c>
      <c r="GB6" s="57">
        <f>Sheet2!GH50</f>
        <v>32.5</v>
      </c>
      <c r="GC6" s="57">
        <f>Sheet2!GI50</f>
        <v>32.5</v>
      </c>
      <c r="GD6" s="57">
        <f>Sheet2!GJ50</f>
        <v>32.5</v>
      </c>
      <c r="GE6" s="62">
        <f>Sheet2!GK50</f>
        <v>43</v>
      </c>
      <c r="GF6" s="62">
        <f>Sheet2!GL50</f>
        <v>43</v>
      </c>
      <c r="GG6" s="63">
        <f>((100*GF6)/GE6-100)</f>
        <v>0</v>
      </c>
      <c r="GH6" s="64">
        <f>((SUM(GC6:GF6)-SUM(FY6:GB6))/SUM(FY6:GB6))*100</f>
        <v>16.153846153846153</v>
      </c>
      <c r="GI6" s="65">
        <f>100*GF6/EW6-100</f>
        <v>-18.095238095238102</v>
      </c>
    </row>
    <row r="7" spans="1:206" ht="15.75">
      <c r="A7" s="20" t="s">
        <v>198</v>
      </c>
      <c r="B7" s="52">
        <v>210</v>
      </c>
      <c r="C7" s="52">
        <v>170</v>
      </c>
      <c r="D7" s="52">
        <v>170</v>
      </c>
      <c r="E7" s="52">
        <v>208</v>
      </c>
      <c r="F7" s="52">
        <v>240</v>
      </c>
      <c r="G7" s="52">
        <v>241</v>
      </c>
      <c r="H7" s="52">
        <v>241</v>
      </c>
      <c r="I7" s="52">
        <v>240</v>
      </c>
      <c r="J7" s="52">
        <v>228</v>
      </c>
      <c r="K7" s="52">
        <v>220</v>
      </c>
      <c r="L7" s="52">
        <v>215</v>
      </c>
      <c r="M7" s="52">
        <v>209</v>
      </c>
      <c r="N7" s="52">
        <v>201</v>
      </c>
      <c r="O7" s="52">
        <v>196</v>
      </c>
      <c r="P7" s="52">
        <v>194</v>
      </c>
      <c r="Q7" s="52">
        <v>182</v>
      </c>
      <c r="R7" s="52">
        <v>181</v>
      </c>
      <c r="S7" s="52">
        <v>161</v>
      </c>
      <c r="T7" s="52">
        <v>140</v>
      </c>
      <c r="U7" s="52">
        <v>135</v>
      </c>
      <c r="V7" s="52">
        <v>120</v>
      </c>
      <c r="W7" s="52">
        <v>115</v>
      </c>
      <c r="X7" s="52">
        <v>65</v>
      </c>
      <c r="Y7" s="52">
        <v>64.8</v>
      </c>
      <c r="Z7" s="52">
        <v>64</v>
      </c>
      <c r="AA7" s="52">
        <v>64</v>
      </c>
      <c r="AB7" s="52">
        <v>64.5</v>
      </c>
      <c r="AC7" s="52">
        <v>66</v>
      </c>
      <c r="AD7" s="52">
        <v>68</v>
      </c>
      <c r="AE7" s="52">
        <v>70.5</v>
      </c>
      <c r="AF7" s="52">
        <v>71.5</v>
      </c>
      <c r="AG7" s="52">
        <v>73.5</v>
      </c>
      <c r="AH7" s="52">
        <v>75</v>
      </c>
      <c r="AI7" s="52">
        <v>80</v>
      </c>
      <c r="AJ7" s="52">
        <v>82</v>
      </c>
      <c r="AK7" s="52">
        <v>82</v>
      </c>
      <c r="AL7" s="52">
        <v>82</v>
      </c>
      <c r="AM7" s="52">
        <v>82</v>
      </c>
      <c r="AN7" s="52">
        <v>82</v>
      </c>
      <c r="AO7" s="52">
        <v>80</v>
      </c>
      <c r="AP7" s="52">
        <v>75</v>
      </c>
      <c r="AQ7" s="52">
        <v>70</v>
      </c>
      <c r="AR7" s="52">
        <v>65</v>
      </c>
      <c r="AS7" s="52">
        <v>63.5</v>
      </c>
      <c r="AT7" s="52">
        <v>63</v>
      </c>
      <c r="AU7" s="52">
        <v>63</v>
      </c>
      <c r="AV7" s="52">
        <v>62.5</v>
      </c>
      <c r="AW7" s="52">
        <v>62.5</v>
      </c>
      <c r="AX7" s="52">
        <v>61</v>
      </c>
      <c r="AY7" s="57">
        <f>Sheet2!BB2</f>
        <v>61</v>
      </c>
      <c r="AZ7" s="58">
        <f>Sheet2!BC2</f>
        <v>61</v>
      </c>
      <c r="BA7" s="58">
        <f>Sheet2!BD2</f>
        <v>61</v>
      </c>
      <c r="BB7" s="58">
        <f>Sheet2!BE2</f>
        <v>61.5</v>
      </c>
      <c r="BC7" s="58">
        <f>Sheet2!BF2</f>
        <v>61.5</v>
      </c>
      <c r="BD7" s="58">
        <f>Sheet2!BG2</f>
        <v>61.5</v>
      </c>
      <c r="BE7" s="58">
        <f>Sheet2!BH2</f>
        <v>61.5</v>
      </c>
      <c r="BF7" s="58">
        <f>Sheet2!BI2</f>
        <v>61.5</v>
      </c>
      <c r="BG7" s="58">
        <f>Sheet2!BJ2</f>
        <v>61.5</v>
      </c>
      <c r="BH7" s="58">
        <f>Sheet2!BK2</f>
        <v>61.5</v>
      </c>
      <c r="BI7" s="58">
        <f>Sheet2!BL2</f>
        <v>61.5</v>
      </c>
      <c r="BJ7" s="58">
        <f>Sheet2!BM2</f>
        <v>61.5</v>
      </c>
      <c r="BK7" s="58">
        <f>Sheet2!BN2</f>
        <v>60</v>
      </c>
      <c r="BL7" s="58">
        <f>Sheet2!BO2</f>
        <v>60</v>
      </c>
      <c r="BM7" s="58">
        <f>Sheet2!BP2</f>
        <v>58</v>
      </c>
      <c r="BN7" s="58">
        <f>Sheet2!BQ2</f>
        <v>55</v>
      </c>
      <c r="BO7" s="58">
        <f>Sheet2!BR2</f>
        <v>48</v>
      </c>
      <c r="BP7" s="58">
        <f>Sheet2!BS2</f>
        <v>39</v>
      </c>
      <c r="BQ7" s="58">
        <f>Sheet2!BT2</f>
        <v>38</v>
      </c>
      <c r="BR7" s="58">
        <f>Sheet2!BU2</f>
        <v>38</v>
      </c>
      <c r="BS7" s="58">
        <f>Sheet2!BV2</f>
        <v>37</v>
      </c>
      <c r="BT7" s="58">
        <f>Sheet2!BW2</f>
        <v>37</v>
      </c>
      <c r="BU7" s="58">
        <f>Sheet2!BX2</f>
        <v>37</v>
      </c>
      <c r="BV7" s="58">
        <f>Sheet2!BY2</f>
        <v>35</v>
      </c>
      <c r="BW7" s="58">
        <f>Sheet2!BZ2</f>
        <v>35</v>
      </c>
      <c r="BX7" s="58">
        <f>Sheet2!CA2</f>
        <v>35</v>
      </c>
      <c r="BY7" s="58">
        <f>Sheet2!CB2</f>
        <v>35</v>
      </c>
      <c r="BZ7" s="58">
        <f>Sheet2!CC2</f>
        <v>35</v>
      </c>
      <c r="CA7" s="58">
        <f>Sheet2!CD2</f>
        <v>35</v>
      </c>
      <c r="CB7" s="58">
        <f>Sheet2!CE2</f>
        <v>35</v>
      </c>
      <c r="CC7" s="58">
        <f>Sheet2!CF2</f>
        <v>35</v>
      </c>
      <c r="CD7" s="58">
        <f>Sheet2!CG2</f>
        <v>35</v>
      </c>
      <c r="CE7" s="58">
        <f>Sheet2!CH2</f>
        <v>35</v>
      </c>
      <c r="CF7" s="58">
        <f>Sheet2!CI2</f>
        <v>35</v>
      </c>
      <c r="CG7" s="58">
        <f>Sheet2!CJ2</f>
        <v>35</v>
      </c>
      <c r="CH7" s="58">
        <f>Sheet2!CK2</f>
        <v>35</v>
      </c>
      <c r="CI7" s="58">
        <f>Sheet2!CL2</f>
        <v>35</v>
      </c>
      <c r="CJ7" s="58">
        <f>Sheet2!CM2</f>
        <v>35</v>
      </c>
      <c r="CK7" s="58">
        <f>Sheet2!CN2</f>
        <v>35</v>
      </c>
      <c r="CL7" s="58">
        <f>Sheet2!CO2</f>
        <v>35</v>
      </c>
      <c r="CM7" s="58">
        <f>Sheet2!CP2</f>
        <v>35</v>
      </c>
      <c r="CN7" s="58">
        <f>Sheet2!CQ2</f>
        <v>35</v>
      </c>
      <c r="CO7" s="58">
        <f>Sheet2!CR2</f>
        <v>35</v>
      </c>
      <c r="CP7" s="58">
        <f>Sheet2!CS2</f>
        <v>35</v>
      </c>
      <c r="CQ7" s="59">
        <f>Sheet2!CT2</f>
        <v>35</v>
      </c>
      <c r="CR7" s="58">
        <f>Sheet2!CU2</f>
        <v>35</v>
      </c>
      <c r="CS7" s="58">
        <f>Sheet2!CV2</f>
        <v>35</v>
      </c>
      <c r="CT7" s="58">
        <f>Sheet2!CW2</f>
        <v>35</v>
      </c>
      <c r="CU7" s="58">
        <f>Sheet2!CX2</f>
        <v>35</v>
      </c>
      <c r="CV7" s="58">
        <f>Sheet2!CY2</f>
        <v>35</v>
      </c>
      <c r="CW7" s="58">
        <f>Sheet2!CZ2</f>
        <v>35</v>
      </c>
      <c r="CX7" s="58">
        <f>Sheet2!DA2</f>
        <v>35</v>
      </c>
      <c r="CY7" s="58">
        <f>Sheet2!DB2</f>
        <v>35</v>
      </c>
      <c r="CZ7" s="58">
        <f>Sheet2!DC2</f>
        <v>35</v>
      </c>
      <c r="DA7" s="58">
        <f>Sheet2!DD2</f>
        <v>35</v>
      </c>
      <c r="DB7" s="58">
        <f>Sheet2!DE2</f>
        <v>35</v>
      </c>
      <c r="DC7" s="58">
        <f>Sheet2!DF2</f>
        <v>35</v>
      </c>
      <c r="DD7" s="58">
        <f>Sheet2!DG2</f>
        <v>35</v>
      </c>
      <c r="DE7" s="58">
        <f>Sheet2!DH2</f>
        <v>35</v>
      </c>
      <c r="DF7" s="57">
        <f>Sheet2!DI2</f>
        <v>35</v>
      </c>
      <c r="DG7" s="57">
        <f>Sheet2!DJ2</f>
        <v>35</v>
      </c>
      <c r="DH7" s="57">
        <f>Sheet2!DK2</f>
        <v>35</v>
      </c>
      <c r="DI7" s="57">
        <v>35</v>
      </c>
      <c r="DJ7" s="57">
        <f>Sheet2!DN2</f>
        <v>35</v>
      </c>
      <c r="DK7" s="57">
        <f>Sheet2!DO2</f>
        <v>35</v>
      </c>
      <c r="DL7" s="57">
        <f>Sheet2!DP2</f>
        <v>35</v>
      </c>
      <c r="DM7" s="57">
        <f>Sheet2!DQ2</f>
        <v>35</v>
      </c>
      <c r="DN7" s="57">
        <f>Sheet2!DR2</f>
        <v>35</v>
      </c>
      <c r="DO7" s="57">
        <f>Sheet2!DS2</f>
        <v>35</v>
      </c>
      <c r="DP7" s="57">
        <v>35</v>
      </c>
      <c r="DQ7" s="57">
        <f>Sheet2!DV2</f>
        <v>35</v>
      </c>
      <c r="DR7" s="57">
        <f>Sheet2!DW2</f>
        <v>35</v>
      </c>
      <c r="DS7" s="57">
        <v>35</v>
      </c>
      <c r="DT7" s="57">
        <f>Sheet2!DZ2</f>
        <v>35</v>
      </c>
      <c r="DU7" s="57">
        <f>Sheet2!EA2</f>
        <v>33.5</v>
      </c>
      <c r="DV7" s="57">
        <f>Sheet2!EB2</f>
        <v>33.5</v>
      </c>
      <c r="DW7" s="57">
        <f>Sheet2!EC2</f>
        <v>33.5</v>
      </c>
      <c r="DX7" s="57">
        <f>Sheet2!ED2</f>
        <v>33.5</v>
      </c>
      <c r="DY7" s="60">
        <f>Sheet2!EE2</f>
        <v>43</v>
      </c>
      <c r="DZ7" s="57">
        <f>Sheet2!EF2</f>
        <v>43</v>
      </c>
      <c r="EA7" s="57">
        <f>Sheet2!EG2</f>
        <v>43</v>
      </c>
      <c r="EB7" s="57">
        <f>Sheet2!EH2</f>
        <v>43</v>
      </c>
      <c r="EC7" s="57">
        <f>Sheet2!EI2</f>
        <v>43</v>
      </c>
      <c r="ED7" s="57">
        <f>Sheet2!EJ2</f>
        <v>43</v>
      </c>
      <c r="EE7" s="57">
        <f>Sheet2!EK2</f>
        <v>43.5</v>
      </c>
      <c r="EF7" s="57">
        <f>Sheet2!EL2</f>
        <v>43.5</v>
      </c>
      <c r="EG7" s="57">
        <f>Sheet2!EM2</f>
        <v>43.5</v>
      </c>
      <c r="EH7" s="57">
        <f>Sheet2!EN2</f>
        <v>43.5</v>
      </c>
      <c r="EI7" s="57">
        <f>Sheet2!EO2</f>
        <v>43.5</v>
      </c>
      <c r="EJ7" s="57">
        <f>Sheet2!EP2</f>
        <v>43.5</v>
      </c>
      <c r="EK7" s="57">
        <f>Sheet2!EQ2</f>
        <v>43.5</v>
      </c>
      <c r="EL7" s="57">
        <f>Sheet2!ER2</f>
        <v>43.5</v>
      </c>
      <c r="EM7" s="57">
        <f>Sheet2!ES2</f>
        <v>43.5</v>
      </c>
      <c r="EN7" s="57">
        <f>Sheet2!ET2</f>
        <v>43.5</v>
      </c>
      <c r="EO7" s="57">
        <f>Sheet2!EU2</f>
        <v>43.5</v>
      </c>
      <c r="EP7" s="57">
        <f>Sheet2!EV2</f>
        <v>43.5</v>
      </c>
      <c r="EQ7" s="60">
        <f>Sheet2!EW2</f>
        <v>43.5</v>
      </c>
      <c r="ER7" s="57">
        <f>Sheet2!EX2</f>
        <v>43.5</v>
      </c>
      <c r="ES7" s="57">
        <f>Sheet2!EY2</f>
        <v>43.5</v>
      </c>
      <c r="ET7" s="57">
        <f>Sheet2!EZ2</f>
        <v>43.5</v>
      </c>
      <c r="EU7" s="57">
        <f>Sheet2!FA2</f>
        <v>43.5</v>
      </c>
      <c r="EV7" s="57">
        <f>Sheet2!FB2</f>
        <v>43.5</v>
      </c>
      <c r="EW7" s="57">
        <f>Sheet2!FC2</f>
        <v>43.5</v>
      </c>
      <c r="EX7" s="57">
        <f>Sheet2!FD2</f>
        <v>43.5</v>
      </c>
      <c r="EY7" s="57">
        <f>Sheet2!FE2</f>
        <v>43.5</v>
      </c>
      <c r="EZ7" s="57">
        <f>Sheet2!FF2</f>
        <v>43.5</v>
      </c>
      <c r="FA7" s="57">
        <f>Sheet2!FG2</f>
        <v>43.5</v>
      </c>
      <c r="FB7" s="57">
        <f>Sheet2!FH2</f>
        <v>43.5</v>
      </c>
      <c r="FC7" s="57">
        <f>Sheet2!FI2</f>
        <v>43.5</v>
      </c>
      <c r="FD7" s="57">
        <f>Sheet2!FJ2</f>
        <v>43</v>
      </c>
      <c r="FE7" s="57">
        <f>Sheet2!FK2</f>
        <v>43</v>
      </c>
      <c r="FF7" s="60">
        <f>Sheet2!FL2</f>
        <v>42.5</v>
      </c>
      <c r="FG7" s="57">
        <f>Sheet2!FM2</f>
        <v>42.5</v>
      </c>
      <c r="FH7" s="57">
        <f>Sheet2!FN2</f>
        <v>36</v>
      </c>
      <c r="FI7" s="57">
        <f>Sheet2!FO2</f>
        <v>34</v>
      </c>
      <c r="FJ7" s="57">
        <f>Sheet2!FP2</f>
        <v>34</v>
      </c>
      <c r="FK7" s="57">
        <f>Sheet2!FQ2</f>
        <v>34</v>
      </c>
      <c r="FL7" s="57">
        <f>Sheet2!FR2</f>
        <v>34</v>
      </c>
      <c r="FM7" s="57">
        <f>Sheet2!FS2</f>
        <v>34</v>
      </c>
      <c r="FN7" s="57">
        <f>Sheet2!FT2</f>
        <v>34</v>
      </c>
      <c r="FO7" s="61">
        <f>Sheet2!FU2</f>
        <v>33.5</v>
      </c>
      <c r="FP7" s="57">
        <f>Sheet2!FV2</f>
        <v>33.5</v>
      </c>
      <c r="FQ7" s="57">
        <f>Sheet2!FW2</f>
        <v>33.5</v>
      </c>
      <c r="FR7" s="57">
        <f>Sheet2!FX2</f>
        <v>32</v>
      </c>
      <c r="FS7" s="57">
        <f>Sheet2!FY2</f>
        <v>32</v>
      </c>
      <c r="FT7" s="57">
        <f>Sheet2!FZ2</f>
        <v>31</v>
      </c>
      <c r="FU7" s="57">
        <f>Sheet2!GA2</f>
        <v>31</v>
      </c>
      <c r="FV7" s="57">
        <f>Sheet2!GB2</f>
        <v>31</v>
      </c>
      <c r="FW7" s="57">
        <f>Sheet2!GC2</f>
        <v>31</v>
      </c>
      <c r="FX7" s="57">
        <f>Sheet2!GD2</f>
        <v>31</v>
      </c>
      <c r="FY7" s="57">
        <f>Sheet2!GE2</f>
        <v>30</v>
      </c>
      <c r="FZ7" s="57">
        <f>Sheet2!GF2</f>
        <v>30</v>
      </c>
      <c r="GA7" s="57">
        <f>Sheet2!GG2</f>
        <v>30</v>
      </c>
      <c r="GB7" s="57">
        <f>Sheet2!GH2</f>
        <v>30</v>
      </c>
      <c r="GC7" s="57">
        <f>Sheet2!GI2</f>
        <v>30</v>
      </c>
      <c r="GD7" s="57">
        <f>Sheet2!GJ2</f>
        <v>30</v>
      </c>
      <c r="GE7" s="62">
        <f>Sheet2!GK2</f>
        <v>38</v>
      </c>
      <c r="GF7" s="62">
        <f>Sheet2!GL2</f>
        <v>38</v>
      </c>
      <c r="GG7" s="63">
        <f t="shared" ref="GG7:GG41" si="0">((100*GF7)/GE7-100)</f>
        <v>0</v>
      </c>
      <c r="GH7" s="64">
        <f t="shared" ref="GH7:GH41" si="1">((SUM(GC7:GF7)-SUM(FY7:GB7))/SUM(FY7:GB7))*100</f>
        <v>13.333333333333334</v>
      </c>
      <c r="GI7" s="65">
        <f t="shared" ref="GI7:GI41" si="2">100*GF7/EW7-100</f>
        <v>-12.643678160919535</v>
      </c>
    </row>
    <row r="8" spans="1:206" ht="15.75">
      <c r="A8" s="20" t="s">
        <v>199</v>
      </c>
      <c r="B8" s="52">
        <v>200</v>
      </c>
      <c r="C8" s="52">
        <v>162</v>
      </c>
      <c r="D8" s="52">
        <v>162</v>
      </c>
      <c r="E8" s="52">
        <v>200</v>
      </c>
      <c r="F8" s="52">
        <v>237</v>
      </c>
      <c r="G8" s="52">
        <v>237</v>
      </c>
      <c r="H8" s="52">
        <v>237</v>
      </c>
      <c r="I8" s="52">
        <v>234</v>
      </c>
      <c r="J8" s="52">
        <v>223</v>
      </c>
      <c r="K8" s="52">
        <v>218</v>
      </c>
      <c r="L8" s="52">
        <v>212</v>
      </c>
      <c r="M8" s="52">
        <v>206</v>
      </c>
      <c r="N8" s="52">
        <v>199</v>
      </c>
      <c r="O8" s="52">
        <v>194</v>
      </c>
      <c r="P8" s="52">
        <v>192</v>
      </c>
      <c r="Q8" s="52">
        <v>180</v>
      </c>
      <c r="R8" s="52">
        <v>178</v>
      </c>
      <c r="S8" s="52">
        <v>155</v>
      </c>
      <c r="T8" s="52">
        <v>138</v>
      </c>
      <c r="U8" s="52">
        <v>132</v>
      </c>
      <c r="V8" s="52">
        <v>115</v>
      </c>
      <c r="W8" s="52">
        <v>110</v>
      </c>
      <c r="X8" s="52">
        <v>63</v>
      </c>
      <c r="Y8" s="52">
        <v>62.5</v>
      </c>
      <c r="Z8" s="52">
        <v>62</v>
      </c>
      <c r="AA8" s="52">
        <v>62</v>
      </c>
      <c r="AB8" s="52">
        <v>62</v>
      </c>
      <c r="AC8" s="52">
        <v>64</v>
      </c>
      <c r="AD8" s="52">
        <v>65</v>
      </c>
      <c r="AE8" s="52">
        <v>68</v>
      </c>
      <c r="AF8" s="52">
        <v>69</v>
      </c>
      <c r="AG8" s="52">
        <v>71.5</v>
      </c>
      <c r="AH8" s="52">
        <v>73</v>
      </c>
      <c r="AI8" s="52">
        <v>77</v>
      </c>
      <c r="AJ8" s="52">
        <v>77</v>
      </c>
      <c r="AK8" s="52">
        <v>77</v>
      </c>
      <c r="AL8" s="52">
        <v>77</v>
      </c>
      <c r="AM8" s="52">
        <v>77</v>
      </c>
      <c r="AN8" s="52">
        <v>77</v>
      </c>
      <c r="AO8" s="52">
        <v>77</v>
      </c>
      <c r="AP8" s="52">
        <v>72</v>
      </c>
      <c r="AQ8" s="52">
        <v>65</v>
      </c>
      <c r="AR8" s="52">
        <v>65</v>
      </c>
      <c r="AS8" s="52">
        <v>65</v>
      </c>
      <c r="AT8" s="52">
        <v>65</v>
      </c>
      <c r="AU8" s="52">
        <v>64</v>
      </c>
      <c r="AV8" s="52">
        <v>60</v>
      </c>
      <c r="AW8" s="52">
        <v>60</v>
      </c>
      <c r="AX8" s="52">
        <v>59.5</v>
      </c>
      <c r="AY8" s="57">
        <f>Sheet2!BB3</f>
        <v>59.5</v>
      </c>
      <c r="AZ8" s="58">
        <f>Sheet2!BC3</f>
        <v>59.5</v>
      </c>
      <c r="BA8" s="58">
        <f>Sheet2!BD3</f>
        <v>59.5</v>
      </c>
      <c r="BB8" s="58">
        <f>Sheet2!BE3</f>
        <v>59.5</v>
      </c>
      <c r="BC8" s="58">
        <f>Sheet2!BF3</f>
        <v>59.5</v>
      </c>
      <c r="BD8" s="58">
        <f>Sheet2!BG3</f>
        <v>59.5</v>
      </c>
      <c r="BE8" s="58">
        <f>Sheet2!BH3</f>
        <v>59.5</v>
      </c>
      <c r="BF8" s="58">
        <f>Sheet2!BI3</f>
        <v>59.5</v>
      </c>
      <c r="BG8" s="58">
        <f>Sheet2!BJ3</f>
        <v>59.5</v>
      </c>
      <c r="BH8" s="58">
        <f>Sheet2!BK3</f>
        <v>59.5</v>
      </c>
      <c r="BI8" s="58">
        <f>Sheet2!BL3</f>
        <v>59.5</v>
      </c>
      <c r="BJ8" s="58">
        <f>Sheet2!BM3</f>
        <v>59.5</v>
      </c>
      <c r="BK8" s="58">
        <f>Sheet2!BN3</f>
        <v>58</v>
      </c>
      <c r="BL8" s="58">
        <f>Sheet2!BO3</f>
        <v>58</v>
      </c>
      <c r="BM8" s="58">
        <f>Sheet2!BP3</f>
        <v>55</v>
      </c>
      <c r="BN8" s="58">
        <f>Sheet2!BQ3</f>
        <v>52</v>
      </c>
      <c r="BO8" s="58">
        <f>Sheet2!BR3</f>
        <v>46</v>
      </c>
      <c r="BP8" s="58">
        <f>Sheet2!BS3</f>
        <v>38</v>
      </c>
      <c r="BQ8" s="58">
        <f>Sheet2!BT3</f>
        <v>37</v>
      </c>
      <c r="BR8" s="58">
        <f>Sheet2!BU3</f>
        <v>37</v>
      </c>
      <c r="BS8" s="58">
        <f>Sheet2!BV3</f>
        <v>36</v>
      </c>
      <c r="BT8" s="58">
        <f>Sheet2!BW3</f>
        <v>36</v>
      </c>
      <c r="BU8" s="58">
        <f>Sheet2!BX3</f>
        <v>36</v>
      </c>
      <c r="BV8" s="58">
        <f>Sheet2!BY3</f>
        <v>34</v>
      </c>
      <c r="BW8" s="58">
        <f>Sheet2!BZ3</f>
        <v>34</v>
      </c>
      <c r="BX8" s="58">
        <f>Sheet2!CA3</f>
        <v>34</v>
      </c>
      <c r="BY8" s="58">
        <f>Sheet2!CB3</f>
        <v>34</v>
      </c>
      <c r="BZ8" s="58">
        <f>Sheet2!CC3</f>
        <v>34</v>
      </c>
      <c r="CA8" s="58">
        <f>Sheet2!CD3</f>
        <v>34</v>
      </c>
      <c r="CB8" s="58">
        <f>Sheet2!CE3</f>
        <v>34</v>
      </c>
      <c r="CC8" s="58">
        <f>Sheet2!CF3</f>
        <v>34</v>
      </c>
      <c r="CD8" s="58">
        <f>Sheet2!CG3</f>
        <v>34</v>
      </c>
      <c r="CE8" s="58">
        <f>Sheet2!CH3</f>
        <v>34</v>
      </c>
      <c r="CF8" s="58">
        <f>Sheet2!CI3</f>
        <v>34</v>
      </c>
      <c r="CG8" s="58">
        <f>Sheet2!CJ3</f>
        <v>34</v>
      </c>
      <c r="CH8" s="58">
        <f>Sheet2!CK3</f>
        <v>34</v>
      </c>
      <c r="CI8" s="58">
        <f>Sheet2!CL3</f>
        <v>34</v>
      </c>
      <c r="CJ8" s="58">
        <f>Sheet2!CM3</f>
        <v>34</v>
      </c>
      <c r="CK8" s="58">
        <f>Sheet2!CN3</f>
        <v>34</v>
      </c>
      <c r="CL8" s="58">
        <f>Sheet2!CO3</f>
        <v>34</v>
      </c>
      <c r="CM8" s="58">
        <f>Sheet2!CP3</f>
        <v>34</v>
      </c>
      <c r="CN8" s="58">
        <f>Sheet2!CQ3</f>
        <v>34</v>
      </c>
      <c r="CO8" s="58">
        <f>Sheet2!CR3</f>
        <v>34</v>
      </c>
      <c r="CP8" s="58">
        <f>Sheet2!CS3</f>
        <v>34</v>
      </c>
      <c r="CQ8" s="59">
        <f>Sheet2!CT3</f>
        <v>34</v>
      </c>
      <c r="CR8" s="58">
        <f>Sheet2!CU3</f>
        <v>34</v>
      </c>
      <c r="CS8" s="58">
        <f>Sheet2!CV3</f>
        <v>34</v>
      </c>
      <c r="CT8" s="58">
        <f>Sheet2!CW3</f>
        <v>34</v>
      </c>
      <c r="CU8" s="58">
        <f>Sheet2!CX3</f>
        <v>34</v>
      </c>
      <c r="CV8" s="58">
        <f>Sheet2!CY3</f>
        <v>34</v>
      </c>
      <c r="CW8" s="58">
        <f>Sheet2!CZ3</f>
        <v>34</v>
      </c>
      <c r="CX8" s="58">
        <f>Sheet2!DA3</f>
        <v>34</v>
      </c>
      <c r="CY8" s="58">
        <f>Sheet2!DB3</f>
        <v>34</v>
      </c>
      <c r="CZ8" s="58">
        <f>Sheet2!DC3</f>
        <v>34</v>
      </c>
      <c r="DA8" s="58">
        <f>Sheet2!DD3</f>
        <v>34</v>
      </c>
      <c r="DB8" s="58">
        <f>Sheet2!DE3</f>
        <v>34</v>
      </c>
      <c r="DC8" s="58">
        <f>Sheet2!DF3</f>
        <v>34</v>
      </c>
      <c r="DD8" s="58">
        <f>Sheet2!DG3</f>
        <v>34</v>
      </c>
      <c r="DE8" s="58">
        <f>Sheet2!DH3</f>
        <v>34</v>
      </c>
      <c r="DF8" s="57">
        <f>Sheet2!DI3</f>
        <v>34</v>
      </c>
      <c r="DG8" s="57">
        <f>Sheet2!DJ3</f>
        <v>34</v>
      </c>
      <c r="DH8" s="57">
        <f>Sheet2!DK3</f>
        <v>34</v>
      </c>
      <c r="DI8" s="57">
        <v>34</v>
      </c>
      <c r="DJ8" s="57">
        <f>Sheet2!DN3</f>
        <v>34</v>
      </c>
      <c r="DK8" s="57">
        <f>Sheet2!DO3</f>
        <v>34</v>
      </c>
      <c r="DL8" s="57">
        <f>Sheet2!DP3</f>
        <v>34</v>
      </c>
      <c r="DM8" s="57">
        <f>Sheet2!DQ3</f>
        <v>34</v>
      </c>
      <c r="DN8" s="57">
        <f>Sheet2!DR3</f>
        <v>34</v>
      </c>
      <c r="DO8" s="57">
        <f>Sheet2!DS3</f>
        <v>34</v>
      </c>
      <c r="DP8" s="57">
        <v>34</v>
      </c>
      <c r="DQ8" s="57">
        <f>Sheet2!DV3</f>
        <v>34</v>
      </c>
      <c r="DR8" s="57">
        <f>Sheet2!DW3</f>
        <v>34</v>
      </c>
      <c r="DS8" s="57">
        <v>34</v>
      </c>
      <c r="DT8" s="57">
        <f>Sheet2!DZ3</f>
        <v>34</v>
      </c>
      <c r="DU8" s="57">
        <f>Sheet2!EA3</f>
        <v>32.5</v>
      </c>
      <c r="DV8" s="57">
        <f>Sheet2!EB3</f>
        <v>32.5</v>
      </c>
      <c r="DW8" s="57">
        <f>Sheet2!EC3</f>
        <v>32.5</v>
      </c>
      <c r="DX8" s="57">
        <f>Sheet2!ED3</f>
        <v>32.5</v>
      </c>
      <c r="DY8" s="60">
        <f>Sheet2!EE3</f>
        <v>42</v>
      </c>
      <c r="DZ8" s="57">
        <f>Sheet2!EF3</f>
        <v>42</v>
      </c>
      <c r="EA8" s="57">
        <f>Sheet2!EG3</f>
        <v>42</v>
      </c>
      <c r="EB8" s="57">
        <f>Sheet2!EH3</f>
        <v>42</v>
      </c>
      <c r="EC8" s="57">
        <f>Sheet2!EI3</f>
        <v>42</v>
      </c>
      <c r="ED8" s="57">
        <f>Sheet2!EJ3</f>
        <v>42</v>
      </c>
      <c r="EE8" s="57">
        <f>Sheet2!EK3</f>
        <v>42.5</v>
      </c>
      <c r="EF8" s="57">
        <f>Sheet2!EL3</f>
        <v>42.5</v>
      </c>
      <c r="EG8" s="57">
        <f>Sheet2!EM3</f>
        <v>42.5</v>
      </c>
      <c r="EH8" s="57">
        <f>Sheet2!EN3</f>
        <v>42.5</v>
      </c>
      <c r="EI8" s="57">
        <f>Sheet2!EO3</f>
        <v>42.5</v>
      </c>
      <c r="EJ8" s="57">
        <f>Sheet2!EP3</f>
        <v>42.5</v>
      </c>
      <c r="EK8" s="57">
        <f>Sheet2!EQ3</f>
        <v>42.5</v>
      </c>
      <c r="EL8" s="57">
        <f>Sheet2!ER3</f>
        <v>42.5</v>
      </c>
      <c r="EM8" s="57">
        <f>Sheet2!ES3</f>
        <v>42.5</v>
      </c>
      <c r="EN8" s="57">
        <f>Sheet2!ET3</f>
        <v>42.5</v>
      </c>
      <c r="EO8" s="57">
        <f>Sheet2!EU3</f>
        <v>42.5</v>
      </c>
      <c r="EP8" s="57">
        <f>Sheet2!EV3</f>
        <v>42.5</v>
      </c>
      <c r="EQ8" s="60">
        <f>Sheet2!EW3</f>
        <v>42.5</v>
      </c>
      <c r="ER8" s="57">
        <f>Sheet2!EX3</f>
        <v>42.5</v>
      </c>
      <c r="ES8" s="57">
        <f>Sheet2!EY3</f>
        <v>42.5</v>
      </c>
      <c r="ET8" s="57">
        <f>Sheet2!EZ3</f>
        <v>42.5</v>
      </c>
      <c r="EU8" s="57">
        <f>Sheet2!FA3</f>
        <v>42.5</v>
      </c>
      <c r="EV8" s="57">
        <f>Sheet2!FB3</f>
        <v>42.5</v>
      </c>
      <c r="EW8" s="57">
        <f>Sheet2!FC3</f>
        <v>42.5</v>
      </c>
      <c r="EX8" s="57">
        <f>Sheet2!FD3</f>
        <v>42.5</v>
      </c>
      <c r="EY8" s="57">
        <f>Sheet2!FE3</f>
        <v>42.5</v>
      </c>
      <c r="EZ8" s="57">
        <f>Sheet2!FF3</f>
        <v>42.5</v>
      </c>
      <c r="FA8" s="57">
        <f>Sheet2!FG3</f>
        <v>42.5</v>
      </c>
      <c r="FB8" s="57">
        <f>Sheet2!FH3</f>
        <v>42.5</v>
      </c>
      <c r="FC8" s="57">
        <f>Sheet2!FI3</f>
        <v>42.5</v>
      </c>
      <c r="FD8" s="57">
        <f>Sheet2!FJ3</f>
        <v>42</v>
      </c>
      <c r="FE8" s="57">
        <f>Sheet2!FK3</f>
        <v>42</v>
      </c>
      <c r="FF8" s="60">
        <f>Sheet2!FL3</f>
        <v>39.9</v>
      </c>
      <c r="FG8" s="57">
        <f>Sheet2!FM3</f>
        <v>39.9</v>
      </c>
      <c r="FH8" s="57">
        <f>Sheet2!FN3</f>
        <v>35.5</v>
      </c>
      <c r="FI8" s="57">
        <f>Sheet2!FO3</f>
        <v>33</v>
      </c>
      <c r="FJ8" s="57">
        <f>Sheet2!FP3</f>
        <v>33</v>
      </c>
      <c r="FK8" s="57">
        <f>Sheet2!FQ3</f>
        <v>33</v>
      </c>
      <c r="FL8" s="57">
        <f>Sheet2!FR3</f>
        <v>33</v>
      </c>
      <c r="FM8" s="57">
        <f>Sheet2!FS3</f>
        <v>33</v>
      </c>
      <c r="FN8" s="57">
        <f>Sheet2!FT3</f>
        <v>33</v>
      </c>
      <c r="FO8" s="61">
        <f>Sheet2!FU3</f>
        <v>33</v>
      </c>
      <c r="FP8" s="57">
        <f>Sheet2!FV3</f>
        <v>32</v>
      </c>
      <c r="FQ8" s="57">
        <f>Sheet2!FW3</f>
        <v>32</v>
      </c>
      <c r="FR8" s="57">
        <f>Sheet2!FX3</f>
        <v>31</v>
      </c>
      <c r="FS8" s="57">
        <f>Sheet2!FY3</f>
        <v>31</v>
      </c>
      <c r="FT8" s="57">
        <f>Sheet2!FZ3</f>
        <v>30</v>
      </c>
      <c r="FU8" s="57">
        <f>Sheet2!GA3</f>
        <v>30</v>
      </c>
      <c r="FV8" s="57">
        <f>Sheet2!GB3</f>
        <v>30</v>
      </c>
      <c r="FW8" s="57">
        <f>Sheet2!GC3</f>
        <v>30</v>
      </c>
      <c r="FX8" s="57">
        <f>Sheet2!GD3</f>
        <v>30</v>
      </c>
      <c r="FY8" s="57">
        <f>Sheet2!GE3</f>
        <v>28</v>
      </c>
      <c r="FZ8" s="57">
        <f>Sheet2!GF3</f>
        <v>28</v>
      </c>
      <c r="GA8" s="57">
        <f>Sheet2!GG3</f>
        <v>28</v>
      </c>
      <c r="GB8" s="57">
        <f>Sheet2!GH3</f>
        <v>28</v>
      </c>
      <c r="GC8" s="57">
        <f>Sheet2!GI3</f>
        <v>28</v>
      </c>
      <c r="GD8" s="57">
        <f>Sheet2!GJ3</f>
        <v>28</v>
      </c>
      <c r="GE8" s="62">
        <f>Sheet2!GK3</f>
        <v>36</v>
      </c>
      <c r="GF8" s="62">
        <f>Sheet2!GL3</f>
        <v>36</v>
      </c>
      <c r="GG8" s="63">
        <f t="shared" si="0"/>
        <v>0</v>
      </c>
      <c r="GH8" s="64">
        <f t="shared" si="1"/>
        <v>14.285714285714285</v>
      </c>
      <c r="GI8" s="65">
        <f t="shared" si="2"/>
        <v>-15.294117647058826</v>
      </c>
    </row>
    <row r="9" spans="1:206" ht="15.75">
      <c r="A9" s="20" t="s">
        <v>200</v>
      </c>
      <c r="B9" s="52"/>
      <c r="C9" s="52"/>
      <c r="D9" s="52"/>
      <c r="E9" s="52"/>
      <c r="F9" s="52"/>
      <c r="G9" s="52"/>
      <c r="H9" s="52"/>
      <c r="I9" s="52"/>
      <c r="J9" s="52"/>
      <c r="K9" s="52"/>
      <c r="L9" s="52"/>
      <c r="M9" s="52"/>
      <c r="N9" s="52"/>
      <c r="O9" s="52"/>
      <c r="P9" s="52"/>
      <c r="Q9" s="52"/>
      <c r="R9" s="52"/>
      <c r="S9" s="52"/>
      <c r="T9" s="52"/>
      <c r="U9" s="52"/>
      <c r="V9" s="52"/>
      <c r="W9" s="52"/>
      <c r="X9" s="52"/>
      <c r="Y9" s="52"/>
      <c r="Z9" s="52"/>
      <c r="AA9" s="52"/>
      <c r="AB9" s="52"/>
      <c r="AC9" s="52"/>
      <c r="AD9" s="52"/>
      <c r="AE9" s="52"/>
      <c r="AF9" s="52"/>
      <c r="AG9" s="52"/>
      <c r="AH9" s="52"/>
      <c r="AI9" s="52"/>
      <c r="AJ9" s="52">
        <v>75</v>
      </c>
      <c r="AK9" s="52">
        <v>75</v>
      </c>
      <c r="AL9" s="52">
        <v>80</v>
      </c>
      <c r="AM9" s="52">
        <v>80</v>
      </c>
      <c r="AN9" s="52">
        <v>78</v>
      </c>
      <c r="AO9" s="52">
        <v>78</v>
      </c>
      <c r="AP9" s="52">
        <v>0</v>
      </c>
      <c r="AQ9" s="52">
        <v>0</v>
      </c>
      <c r="AR9" s="52">
        <v>62</v>
      </c>
      <c r="AS9" s="52">
        <v>62</v>
      </c>
      <c r="AT9" s="52">
        <v>62</v>
      </c>
      <c r="AU9" s="52">
        <v>62</v>
      </c>
      <c r="AV9" s="52">
        <v>61</v>
      </c>
      <c r="AW9" s="52">
        <v>61</v>
      </c>
      <c r="AX9" s="52">
        <v>61</v>
      </c>
      <c r="AY9" s="57">
        <f>Sheet2!BB51</f>
        <v>61</v>
      </c>
      <c r="AZ9" s="58">
        <f>Sheet2!BC51</f>
        <v>61</v>
      </c>
      <c r="BA9" s="58">
        <f>Sheet2!BD51</f>
        <v>61</v>
      </c>
      <c r="BB9" s="58">
        <f>Sheet2!BE51</f>
        <v>61</v>
      </c>
      <c r="BC9" s="58">
        <f>Sheet2!BF51</f>
        <v>61</v>
      </c>
      <c r="BD9" s="58">
        <f>Sheet2!BG51</f>
        <v>61</v>
      </c>
      <c r="BE9" s="58">
        <f>Sheet2!BH51</f>
        <v>61</v>
      </c>
      <c r="BF9" s="58">
        <f>Sheet2!BI51</f>
        <v>61</v>
      </c>
      <c r="BG9" s="58">
        <f>Sheet2!BJ51</f>
        <v>61</v>
      </c>
      <c r="BH9" s="58">
        <f>Sheet2!BK51</f>
        <v>62.5</v>
      </c>
      <c r="BI9" s="58">
        <f>Sheet2!BL51</f>
        <v>62.5</v>
      </c>
      <c r="BJ9" s="58">
        <f>Sheet2!BM51</f>
        <v>62.5</v>
      </c>
      <c r="BK9" s="58">
        <f>Sheet2!BN51</f>
        <v>59</v>
      </c>
      <c r="BL9" s="58">
        <f>Sheet2!BO51</f>
        <v>55</v>
      </c>
      <c r="BM9" s="58">
        <f>Sheet2!BP51</f>
        <v>51</v>
      </c>
      <c r="BN9" s="58">
        <f>Sheet2!BQ51</f>
        <v>51</v>
      </c>
      <c r="BO9" s="58">
        <f>Sheet2!BR51</f>
        <v>44</v>
      </c>
      <c r="BP9" s="58">
        <f>Sheet2!BS51</f>
        <v>40</v>
      </c>
      <c r="BQ9" s="58">
        <f>Sheet2!BT51</f>
        <v>39</v>
      </c>
      <c r="BR9" s="58">
        <f>Sheet2!BU51</f>
        <v>39</v>
      </c>
      <c r="BS9" s="58">
        <f>Sheet2!BV51</f>
        <v>38</v>
      </c>
      <c r="BT9" s="58">
        <f>Sheet2!BW51</f>
        <v>38</v>
      </c>
      <c r="BU9" s="58">
        <f>Sheet2!BX51</f>
        <v>38</v>
      </c>
      <c r="BV9" s="58">
        <f>Sheet2!BY51</f>
        <v>36.5</v>
      </c>
      <c r="BW9" s="58">
        <f>Sheet2!BZ51</f>
        <v>36.5</v>
      </c>
      <c r="BX9" s="58">
        <f>Sheet2!CA51</f>
        <v>36.5</v>
      </c>
      <c r="BY9" s="58">
        <f>Sheet2!CB51</f>
        <v>36.5</v>
      </c>
      <c r="BZ9" s="58">
        <f>Sheet2!CC51</f>
        <v>36.5</v>
      </c>
      <c r="CA9" s="58">
        <f>Sheet2!CD51</f>
        <v>36.5</v>
      </c>
      <c r="CB9" s="58">
        <f>Sheet2!CE51</f>
        <v>36.5</v>
      </c>
      <c r="CC9" s="58">
        <f>Sheet2!CF51</f>
        <v>36.5</v>
      </c>
      <c r="CD9" s="58">
        <f>Sheet2!CG51</f>
        <v>36.5</v>
      </c>
      <c r="CE9" s="58">
        <f>Sheet2!CH51</f>
        <v>36.5</v>
      </c>
      <c r="CF9" s="58">
        <f>Sheet2!CI51</f>
        <v>36.5</v>
      </c>
      <c r="CG9" s="58">
        <f>Sheet2!CJ51</f>
        <v>37</v>
      </c>
      <c r="CH9" s="58">
        <f>Sheet2!CK51</f>
        <v>37</v>
      </c>
      <c r="CI9" s="58">
        <f>Sheet2!CL51</f>
        <v>37</v>
      </c>
      <c r="CJ9" s="58">
        <f>Sheet2!CM51</f>
        <v>37</v>
      </c>
      <c r="CK9" s="58">
        <f>Sheet2!CN51</f>
        <v>37</v>
      </c>
      <c r="CL9" s="58">
        <f>Sheet2!CO51</f>
        <v>37</v>
      </c>
      <c r="CM9" s="58">
        <f>Sheet2!CP51</f>
        <v>37</v>
      </c>
      <c r="CN9" s="58">
        <f>Sheet2!CQ51</f>
        <v>37</v>
      </c>
      <c r="CO9" s="58">
        <f>Sheet2!CR51</f>
        <v>37</v>
      </c>
      <c r="CP9" s="58">
        <f>Sheet2!CS51</f>
        <v>37</v>
      </c>
      <c r="CQ9" s="59">
        <f>Sheet2!CT51</f>
        <v>37</v>
      </c>
      <c r="CR9" s="58">
        <f>Sheet2!CU51</f>
        <v>37</v>
      </c>
      <c r="CS9" s="58">
        <f>Sheet2!CV51</f>
        <v>37</v>
      </c>
      <c r="CT9" s="58">
        <f>Sheet2!CW51</f>
        <v>37</v>
      </c>
      <c r="CU9" s="58">
        <f>Sheet2!CX51</f>
        <v>37</v>
      </c>
      <c r="CV9" s="58">
        <f>Sheet2!CY51</f>
        <v>37</v>
      </c>
      <c r="CW9" s="58">
        <f>Sheet2!CZ51</f>
        <v>37</v>
      </c>
      <c r="CX9" s="58">
        <f>Sheet2!DA51</f>
        <v>37</v>
      </c>
      <c r="CY9" s="58">
        <f>Sheet2!DB51</f>
        <v>39</v>
      </c>
      <c r="CZ9" s="58">
        <f>Sheet2!DC51</f>
        <v>39</v>
      </c>
      <c r="DA9" s="58">
        <f>Sheet2!DD51</f>
        <v>39</v>
      </c>
      <c r="DB9" s="58">
        <f>Sheet2!DE51</f>
        <v>39</v>
      </c>
      <c r="DC9" s="58">
        <f>Sheet2!DF51</f>
        <v>39</v>
      </c>
      <c r="DD9" s="58">
        <f>Sheet2!DG51</f>
        <v>39</v>
      </c>
      <c r="DE9" s="58">
        <f>Sheet2!DH51</f>
        <v>39</v>
      </c>
      <c r="DF9" s="57">
        <f>Sheet2!DI51</f>
        <v>39</v>
      </c>
      <c r="DG9" s="57">
        <f>Sheet2!DJ51</f>
        <v>39</v>
      </c>
      <c r="DH9" s="57">
        <f>Sheet2!DK51</f>
        <v>39</v>
      </c>
      <c r="DI9" s="57">
        <v>39</v>
      </c>
      <c r="DJ9" s="57">
        <f>Sheet2!DN51</f>
        <v>39</v>
      </c>
      <c r="DK9" s="57">
        <f>Sheet2!DO51</f>
        <v>39</v>
      </c>
      <c r="DL9" s="57">
        <f>Sheet2!DP51</f>
        <v>39</v>
      </c>
      <c r="DM9" s="57">
        <f>Sheet2!DQ51</f>
        <v>37.5</v>
      </c>
      <c r="DN9" s="57">
        <f>Sheet2!DR51</f>
        <v>37.5</v>
      </c>
      <c r="DO9" s="57">
        <f>Sheet2!DS51</f>
        <v>36.5</v>
      </c>
      <c r="DP9" s="57">
        <v>35.5</v>
      </c>
      <c r="DQ9" s="57">
        <f>Sheet2!DV51</f>
        <v>35.5</v>
      </c>
      <c r="DR9" s="57">
        <f>Sheet2!DW51</f>
        <v>35.5</v>
      </c>
      <c r="DS9" s="57">
        <v>35.5</v>
      </c>
      <c r="DT9" s="57">
        <f>Sheet2!DZ51</f>
        <v>35.5</v>
      </c>
      <c r="DU9" s="57">
        <f>Sheet2!EA51</f>
        <v>34</v>
      </c>
      <c r="DV9" s="57">
        <f>Sheet2!EB51</f>
        <v>34</v>
      </c>
      <c r="DW9" s="57">
        <f>Sheet2!EC51</f>
        <v>36</v>
      </c>
      <c r="DX9" s="57">
        <f>Sheet2!ED51</f>
        <v>34</v>
      </c>
      <c r="DY9" s="60">
        <f>Sheet2!EE51</f>
        <v>44</v>
      </c>
      <c r="DZ9" s="57">
        <f>Sheet2!EF51</f>
        <v>44</v>
      </c>
      <c r="EA9" s="57">
        <f>Sheet2!EG51</f>
        <v>45</v>
      </c>
      <c r="EB9" s="57">
        <f>Sheet2!EH51</f>
        <v>45</v>
      </c>
      <c r="EC9" s="57">
        <f>Sheet2!EI51</f>
        <v>45</v>
      </c>
      <c r="ED9" s="57">
        <f>Sheet2!EJ51</f>
        <v>45</v>
      </c>
      <c r="EE9" s="57">
        <f>Sheet2!EK51</f>
        <v>47</v>
      </c>
      <c r="EF9" s="57">
        <f>Sheet2!EL51</f>
        <v>47</v>
      </c>
      <c r="EG9" s="57">
        <f>Sheet2!EM51</f>
        <v>49</v>
      </c>
      <c r="EH9" s="57">
        <f>Sheet2!EN51</f>
        <v>49</v>
      </c>
      <c r="EI9" s="57">
        <f>Sheet2!EO51</f>
        <v>50</v>
      </c>
      <c r="EJ9" s="57">
        <f>Sheet2!EP51</f>
        <v>50</v>
      </c>
      <c r="EK9" s="57">
        <f>Sheet2!EQ51</f>
        <v>50</v>
      </c>
      <c r="EL9" s="57">
        <f>Sheet2!ER51</f>
        <v>50</v>
      </c>
      <c r="EM9" s="57">
        <f>Sheet2!ES51</f>
        <v>50</v>
      </c>
      <c r="EN9" s="57">
        <f>Sheet2!ET51</f>
        <v>50</v>
      </c>
      <c r="EO9" s="57">
        <f>Sheet2!EU51</f>
        <v>50</v>
      </c>
      <c r="EP9" s="57">
        <f>Sheet2!EV51</f>
        <v>50</v>
      </c>
      <c r="EQ9" s="60">
        <f>Sheet2!EW51</f>
        <v>50</v>
      </c>
      <c r="ER9" s="57">
        <f>Sheet2!EX51</f>
        <v>50</v>
      </c>
      <c r="ES9" s="57">
        <f>Sheet2!EY51</f>
        <v>50</v>
      </c>
      <c r="ET9" s="57">
        <f>Sheet2!EZ51</f>
        <v>50</v>
      </c>
      <c r="EU9" s="57">
        <f>Sheet2!FA51</f>
        <v>50</v>
      </c>
      <c r="EV9" s="57">
        <f>Sheet2!FB51</f>
        <v>50</v>
      </c>
      <c r="EW9" s="57">
        <f>Sheet2!FC51</f>
        <v>50</v>
      </c>
      <c r="EX9" s="57">
        <f>Sheet2!FD51</f>
        <v>50</v>
      </c>
      <c r="EY9" s="57">
        <f>Sheet2!FE51</f>
        <v>50</v>
      </c>
      <c r="EZ9" s="57">
        <f>Sheet2!FF51</f>
        <v>50</v>
      </c>
      <c r="FA9" s="57">
        <f>Sheet2!FG51</f>
        <v>50</v>
      </c>
      <c r="FB9" s="57">
        <f>Sheet2!FH51</f>
        <v>50</v>
      </c>
      <c r="FC9" s="57">
        <f>Sheet2!FI51</f>
        <v>50</v>
      </c>
      <c r="FD9" s="57">
        <f>Sheet2!FJ51</f>
        <v>46</v>
      </c>
      <c r="FE9" s="57">
        <f>Sheet2!FK51</f>
        <v>46</v>
      </c>
      <c r="FF9" s="60">
        <f>Sheet2!FL51</f>
        <v>42.5</v>
      </c>
      <c r="FG9" s="57">
        <f>Sheet2!FM51</f>
        <v>42.5</v>
      </c>
      <c r="FH9" s="57">
        <f>Sheet2!FN51</f>
        <v>38</v>
      </c>
      <c r="FI9" s="57">
        <f>Sheet2!FO51</f>
        <v>35</v>
      </c>
      <c r="FJ9" s="57">
        <f>Sheet2!FP51</f>
        <v>35</v>
      </c>
      <c r="FK9" s="57">
        <f>Sheet2!FQ51</f>
        <v>35</v>
      </c>
      <c r="FL9" s="57">
        <f>Sheet2!FR51</f>
        <v>35</v>
      </c>
      <c r="FM9" s="57">
        <f>Sheet2!FS51</f>
        <v>35</v>
      </c>
      <c r="FN9" s="57">
        <f>Sheet2!FT51</f>
        <v>35</v>
      </c>
      <c r="FO9" s="61">
        <f>Sheet2!FU51</f>
        <v>35</v>
      </c>
      <c r="FP9" s="57">
        <f>Sheet2!FV51</f>
        <v>33.5</v>
      </c>
      <c r="FQ9" s="57">
        <f>Sheet2!FW51</f>
        <v>33.5</v>
      </c>
      <c r="FR9" s="57">
        <f>Sheet2!FX51</f>
        <v>33.5</v>
      </c>
      <c r="FS9" s="57">
        <f>Sheet2!FY51</f>
        <v>33.5</v>
      </c>
      <c r="FT9" s="57">
        <f>Sheet2!FZ51</f>
        <v>33</v>
      </c>
      <c r="FU9" s="57">
        <f>Sheet2!GA51</f>
        <v>33</v>
      </c>
      <c r="FV9" s="57">
        <f>Sheet2!GB51</f>
        <v>33</v>
      </c>
      <c r="FW9" s="57">
        <f>Sheet2!GC51</f>
        <v>33</v>
      </c>
      <c r="FX9" s="57">
        <f>Sheet2!GD51</f>
        <v>33</v>
      </c>
      <c r="FY9" s="57">
        <f>Sheet2!GE51</f>
        <v>31.5</v>
      </c>
      <c r="FZ9" s="57">
        <f>Sheet2!GF51</f>
        <v>31.5</v>
      </c>
      <c r="GA9" s="57">
        <f>Sheet2!GG51</f>
        <v>31.5</v>
      </c>
      <c r="GB9" s="57">
        <f>Sheet2!GH51</f>
        <v>31.5</v>
      </c>
      <c r="GC9" s="57">
        <f>Sheet2!GI51</f>
        <v>31.5</v>
      </c>
      <c r="GD9" s="57">
        <f>Sheet2!GJ51</f>
        <v>31.5</v>
      </c>
      <c r="GE9" s="62">
        <f>Sheet2!GK51</f>
        <v>41</v>
      </c>
      <c r="GF9" s="62">
        <f>Sheet2!GL51</f>
        <v>41</v>
      </c>
      <c r="GG9" s="63">
        <f t="shared" si="0"/>
        <v>0</v>
      </c>
      <c r="GH9" s="64">
        <f t="shared" si="1"/>
        <v>15.079365079365079</v>
      </c>
      <c r="GI9" s="65">
        <f t="shared" si="2"/>
        <v>-18</v>
      </c>
    </row>
    <row r="10" spans="1:206" ht="15.75">
      <c r="A10" s="20" t="s">
        <v>201</v>
      </c>
      <c r="B10" s="52">
        <v>30</v>
      </c>
      <c r="C10" s="52">
        <v>28</v>
      </c>
      <c r="D10" s="52">
        <v>28</v>
      </c>
      <c r="E10" s="52">
        <v>28</v>
      </c>
      <c r="F10" s="52">
        <v>35</v>
      </c>
      <c r="G10" s="52">
        <v>35</v>
      </c>
      <c r="H10" s="52">
        <v>35</v>
      </c>
      <c r="I10" s="52">
        <v>35</v>
      </c>
      <c r="J10" s="52">
        <v>33</v>
      </c>
      <c r="K10" s="52">
        <v>33</v>
      </c>
      <c r="L10" s="52">
        <v>33</v>
      </c>
      <c r="M10" s="52">
        <v>33</v>
      </c>
      <c r="N10" s="52">
        <v>31</v>
      </c>
      <c r="O10" s="52">
        <v>30</v>
      </c>
      <c r="P10" s="52">
        <v>29</v>
      </c>
      <c r="Q10" s="52">
        <v>27</v>
      </c>
      <c r="R10" s="52">
        <v>26</v>
      </c>
      <c r="S10" s="52">
        <v>23.5</v>
      </c>
      <c r="T10" s="52">
        <v>23</v>
      </c>
      <c r="U10" s="52">
        <v>22.8</v>
      </c>
      <c r="V10" s="52">
        <v>21.5</v>
      </c>
      <c r="W10" s="52">
        <v>21</v>
      </c>
      <c r="X10" s="52">
        <v>20</v>
      </c>
      <c r="Y10" s="52">
        <v>20</v>
      </c>
      <c r="Z10" s="52">
        <v>20</v>
      </c>
      <c r="AA10" s="52">
        <v>20</v>
      </c>
      <c r="AB10" s="52">
        <v>20</v>
      </c>
      <c r="AC10" s="52">
        <v>20</v>
      </c>
      <c r="AD10" s="52">
        <v>20</v>
      </c>
      <c r="AE10" s="52">
        <v>20</v>
      </c>
      <c r="AF10" s="52">
        <v>20</v>
      </c>
      <c r="AG10" s="52">
        <v>20</v>
      </c>
      <c r="AH10" s="52">
        <v>20</v>
      </c>
      <c r="AI10" s="52">
        <v>20</v>
      </c>
      <c r="AJ10" s="52">
        <v>20</v>
      </c>
      <c r="AK10" s="52">
        <v>20</v>
      </c>
      <c r="AL10" s="52">
        <v>20</v>
      </c>
      <c r="AM10" s="52">
        <v>20</v>
      </c>
      <c r="AN10" s="52">
        <v>20</v>
      </c>
      <c r="AO10" s="52">
        <v>20</v>
      </c>
      <c r="AP10" s="52">
        <v>20</v>
      </c>
      <c r="AQ10" s="52">
        <v>20</v>
      </c>
      <c r="AR10" s="52">
        <v>20</v>
      </c>
      <c r="AS10" s="52">
        <v>20</v>
      </c>
      <c r="AT10" s="52">
        <v>20</v>
      </c>
      <c r="AU10" s="52">
        <v>20</v>
      </c>
      <c r="AV10" s="52">
        <v>20</v>
      </c>
      <c r="AW10" s="52">
        <v>20</v>
      </c>
      <c r="AX10" s="52">
        <v>20</v>
      </c>
      <c r="AY10" s="57">
        <f>Sheet2!BB5</f>
        <v>20</v>
      </c>
      <c r="AZ10" s="58">
        <f>Sheet2!BC5</f>
        <v>20</v>
      </c>
      <c r="BA10" s="58">
        <f>Sheet2!BD5</f>
        <v>20</v>
      </c>
      <c r="BB10" s="58">
        <f>Sheet2!BE5</f>
        <v>20</v>
      </c>
      <c r="BC10" s="58">
        <f>Sheet2!BF5</f>
        <v>20</v>
      </c>
      <c r="BD10" s="58">
        <f>Sheet2!BG5</f>
        <v>20</v>
      </c>
      <c r="BE10" s="58">
        <f>Sheet2!BH5</f>
        <v>20</v>
      </c>
      <c r="BF10" s="58">
        <f>Sheet2!BI5</f>
        <v>20</v>
      </c>
      <c r="BG10" s="58">
        <f>Sheet2!BJ5</f>
        <v>20</v>
      </c>
      <c r="BH10" s="58">
        <f>Sheet2!BK5</f>
        <v>20</v>
      </c>
      <c r="BI10" s="58">
        <f>Sheet2!BL5</f>
        <v>20</v>
      </c>
      <c r="BJ10" s="58">
        <f>Sheet2!BM5</f>
        <v>20</v>
      </c>
      <c r="BK10" s="58">
        <f>Sheet2!BN5</f>
        <v>20</v>
      </c>
      <c r="BL10" s="58">
        <f>Sheet2!BO5</f>
        <v>20</v>
      </c>
      <c r="BM10" s="58">
        <f>Sheet2!BP5</f>
        <v>20</v>
      </c>
      <c r="BN10" s="58">
        <f>Sheet2!BQ5</f>
        <v>20</v>
      </c>
      <c r="BO10" s="58">
        <f>Sheet2!BR5</f>
        <v>20</v>
      </c>
      <c r="BP10" s="58">
        <f>Sheet2!BS5</f>
        <v>20</v>
      </c>
      <c r="BQ10" s="58">
        <f>Sheet2!BT5</f>
        <v>20</v>
      </c>
      <c r="BR10" s="58">
        <f>Sheet2!BU5</f>
        <v>20</v>
      </c>
      <c r="BS10" s="58">
        <f>Sheet2!BV5</f>
        <v>20</v>
      </c>
      <c r="BT10" s="58">
        <f>Sheet2!BW5</f>
        <v>20</v>
      </c>
      <c r="BU10" s="58">
        <f>Sheet2!BX5</f>
        <v>20</v>
      </c>
      <c r="BV10" s="58">
        <f>Sheet2!BY5</f>
        <v>20</v>
      </c>
      <c r="BW10" s="58">
        <f>Sheet2!BZ5</f>
        <v>20</v>
      </c>
      <c r="BX10" s="58">
        <f>Sheet2!CA5</f>
        <v>20</v>
      </c>
      <c r="BY10" s="58">
        <f>Sheet2!CB5</f>
        <v>20</v>
      </c>
      <c r="BZ10" s="58">
        <f>Sheet2!CC5</f>
        <v>20</v>
      </c>
      <c r="CA10" s="58">
        <f>Sheet2!CD5</f>
        <v>20</v>
      </c>
      <c r="CB10" s="58">
        <f>Sheet2!CE5</f>
        <v>20</v>
      </c>
      <c r="CC10" s="58">
        <f>Sheet2!CF5</f>
        <v>20</v>
      </c>
      <c r="CD10" s="58">
        <f>Sheet2!CG5</f>
        <v>20</v>
      </c>
      <c r="CE10" s="58">
        <f>Sheet2!CH5</f>
        <v>20</v>
      </c>
      <c r="CF10" s="58">
        <f>Sheet2!CI5</f>
        <v>20</v>
      </c>
      <c r="CG10" s="58">
        <f>Sheet2!CJ5</f>
        <v>20</v>
      </c>
      <c r="CH10" s="58">
        <f>Sheet2!CK5</f>
        <v>20</v>
      </c>
      <c r="CI10" s="58">
        <f>Sheet2!CL5</f>
        <v>20</v>
      </c>
      <c r="CJ10" s="58">
        <f>Sheet2!CM5</f>
        <v>20</v>
      </c>
      <c r="CK10" s="58">
        <f>Sheet2!CN5</f>
        <v>20</v>
      </c>
      <c r="CL10" s="58">
        <f>Sheet2!CO5</f>
        <v>20</v>
      </c>
      <c r="CM10" s="58">
        <f>Sheet2!CP5</f>
        <v>20</v>
      </c>
      <c r="CN10" s="58">
        <f>Sheet2!CQ5</f>
        <v>20</v>
      </c>
      <c r="CO10" s="58">
        <f>Sheet2!CR5</f>
        <v>20</v>
      </c>
      <c r="CP10" s="58">
        <f>Sheet2!CS5</f>
        <v>20</v>
      </c>
      <c r="CQ10" s="59">
        <f>Sheet2!CT5</f>
        <v>20</v>
      </c>
      <c r="CR10" s="58">
        <f>Sheet2!CU5</f>
        <v>20</v>
      </c>
      <c r="CS10" s="58">
        <f>Sheet2!CV5</f>
        <v>20</v>
      </c>
      <c r="CT10" s="58">
        <f>Sheet2!CW5</f>
        <v>20</v>
      </c>
      <c r="CU10" s="58">
        <f>Sheet2!CX5</f>
        <v>20</v>
      </c>
      <c r="CV10" s="58">
        <f>Sheet2!CY5</f>
        <v>20</v>
      </c>
      <c r="CW10" s="58">
        <f>Sheet2!CZ5</f>
        <v>20</v>
      </c>
      <c r="CX10" s="58">
        <f>Sheet2!DA5</f>
        <v>20</v>
      </c>
      <c r="CY10" s="58">
        <f>Sheet2!DB5</f>
        <v>20</v>
      </c>
      <c r="CZ10" s="58">
        <f>Sheet2!DC5</f>
        <v>20</v>
      </c>
      <c r="DA10" s="58">
        <f>Sheet2!DD5</f>
        <v>20</v>
      </c>
      <c r="DB10" s="58">
        <f>Sheet2!DE5</f>
        <v>20</v>
      </c>
      <c r="DC10" s="58">
        <f>Sheet2!DF5</f>
        <v>20</v>
      </c>
      <c r="DD10" s="58">
        <f>Sheet2!DG5</f>
        <v>20</v>
      </c>
      <c r="DE10" s="58">
        <f>Sheet2!DH5</f>
        <v>20</v>
      </c>
      <c r="DF10" s="57">
        <f>Sheet2!DI5</f>
        <v>20</v>
      </c>
      <c r="DG10" s="57">
        <f>Sheet2!DJ5</f>
        <v>20</v>
      </c>
      <c r="DH10" s="57">
        <f>Sheet2!DK5</f>
        <v>20</v>
      </c>
      <c r="DI10" s="57">
        <v>20</v>
      </c>
      <c r="DJ10" s="57">
        <f>Sheet2!DN5</f>
        <v>20</v>
      </c>
      <c r="DK10" s="57">
        <f>Sheet2!DO5</f>
        <v>20</v>
      </c>
      <c r="DL10" s="57">
        <f>Sheet2!DP5</f>
        <v>20</v>
      </c>
      <c r="DM10" s="57">
        <f>Sheet2!DQ5</f>
        <v>20</v>
      </c>
      <c r="DN10" s="57">
        <f>Sheet2!DR5</f>
        <v>20</v>
      </c>
      <c r="DO10" s="57">
        <f>Sheet2!DS5</f>
        <v>20</v>
      </c>
      <c r="DP10" s="57">
        <v>20</v>
      </c>
      <c r="DQ10" s="57">
        <f>Sheet2!DV5</f>
        <v>20</v>
      </c>
      <c r="DR10" s="57">
        <f>Sheet2!DW5</f>
        <v>20</v>
      </c>
      <c r="DS10" s="57">
        <v>20</v>
      </c>
      <c r="DT10" s="57">
        <f>Sheet2!DZ5</f>
        <v>20</v>
      </c>
      <c r="DU10" s="57">
        <f>Sheet2!EA5</f>
        <v>20</v>
      </c>
      <c r="DV10" s="57">
        <f>Sheet2!EB5</f>
        <v>20</v>
      </c>
      <c r="DW10" s="57">
        <f>Sheet2!EC5</f>
        <v>20</v>
      </c>
      <c r="DX10" s="57">
        <f>Sheet2!ED5</f>
        <v>20</v>
      </c>
      <c r="DY10" s="60">
        <f>Sheet2!EE5</f>
        <v>20</v>
      </c>
      <c r="DZ10" s="57">
        <f>Sheet2!EF5</f>
        <v>20</v>
      </c>
      <c r="EA10" s="57">
        <f>Sheet2!EG5</f>
        <v>20</v>
      </c>
      <c r="EB10" s="57">
        <f>Sheet2!EH5</f>
        <v>20</v>
      </c>
      <c r="EC10" s="57">
        <f>Sheet2!EI5</f>
        <v>20</v>
      </c>
      <c r="ED10" s="57">
        <f>Sheet2!EJ5</f>
        <v>20</v>
      </c>
      <c r="EE10" s="57">
        <f>Sheet2!EK5</f>
        <v>20</v>
      </c>
      <c r="EF10" s="57">
        <f>Sheet2!EL5</f>
        <v>20</v>
      </c>
      <c r="EG10" s="57">
        <f>Sheet2!EM5</f>
        <v>20</v>
      </c>
      <c r="EH10" s="57">
        <f>Sheet2!EN5</f>
        <v>20</v>
      </c>
      <c r="EI10" s="57">
        <f>Sheet2!EO5</f>
        <v>20</v>
      </c>
      <c r="EJ10" s="57">
        <f>Sheet2!EP5</f>
        <v>20</v>
      </c>
      <c r="EK10" s="57">
        <f>Sheet2!EQ5</f>
        <v>20</v>
      </c>
      <c r="EL10" s="57">
        <f>Sheet2!ER5</f>
        <v>20</v>
      </c>
      <c r="EM10" s="57">
        <f>Sheet2!ES5</f>
        <v>20</v>
      </c>
      <c r="EN10" s="57">
        <f>Sheet2!ET5</f>
        <v>20</v>
      </c>
      <c r="EO10" s="57">
        <f>Sheet2!EU5</f>
        <v>20</v>
      </c>
      <c r="EP10" s="57">
        <f>Sheet2!EV5</f>
        <v>20</v>
      </c>
      <c r="EQ10" s="60">
        <f>Sheet2!EW5</f>
        <v>20</v>
      </c>
      <c r="ER10" s="57">
        <f>Sheet2!EX5</f>
        <v>20</v>
      </c>
      <c r="ES10" s="57">
        <f>Sheet2!EY5</f>
        <v>20</v>
      </c>
      <c r="ET10" s="57">
        <f>Sheet2!EZ5</f>
        <v>20</v>
      </c>
      <c r="EU10" s="57">
        <f>Sheet2!FA5</f>
        <v>20</v>
      </c>
      <c r="EV10" s="57">
        <f>Sheet2!FB5</f>
        <v>20</v>
      </c>
      <c r="EW10" s="57">
        <f>Sheet2!FC5</f>
        <v>20</v>
      </c>
      <c r="EX10" s="57">
        <f>Sheet2!FD5</f>
        <v>20</v>
      </c>
      <c r="EY10" s="57">
        <f>Sheet2!FE5</f>
        <v>20</v>
      </c>
      <c r="EZ10" s="57">
        <f>Sheet2!FF5</f>
        <v>20</v>
      </c>
      <c r="FA10" s="57">
        <f>Sheet2!FG5</f>
        <v>20</v>
      </c>
      <c r="FB10" s="57">
        <f>Sheet2!FH5</f>
        <v>20</v>
      </c>
      <c r="FC10" s="57">
        <f>Sheet2!FI5</f>
        <v>20</v>
      </c>
      <c r="FD10" s="57">
        <f>Sheet2!FJ5</f>
        <v>20</v>
      </c>
      <c r="FE10" s="57">
        <f>Sheet2!FK5</f>
        <v>20</v>
      </c>
      <c r="FF10" s="60">
        <f>Sheet2!FL5</f>
        <v>20</v>
      </c>
      <c r="FG10" s="57">
        <f>Sheet2!FM5</f>
        <v>20</v>
      </c>
      <c r="FH10" s="57">
        <f>Sheet2!FN5</f>
        <v>20</v>
      </c>
      <c r="FI10" s="57"/>
      <c r="FJ10" s="57"/>
      <c r="FK10" s="66"/>
      <c r="FL10" s="66"/>
      <c r="FM10" s="66"/>
      <c r="FN10" s="66"/>
      <c r="FO10" s="67"/>
      <c r="FP10" s="66"/>
      <c r="FQ10" s="66"/>
      <c r="FR10" s="66"/>
      <c r="FS10" s="66"/>
      <c r="FT10" s="66"/>
      <c r="FU10" s="66"/>
      <c r="FV10" s="66"/>
      <c r="FW10" s="66"/>
      <c r="FX10" s="66"/>
      <c r="FY10" s="66"/>
      <c r="FZ10" s="66"/>
      <c r="GA10" s="66"/>
      <c r="GB10" s="66"/>
      <c r="GC10" s="66"/>
      <c r="GD10" s="66"/>
      <c r="GE10" s="63"/>
      <c r="GF10" s="63"/>
      <c r="GG10" s="63"/>
      <c r="GH10" s="64"/>
      <c r="GI10" s="65">
        <f t="shared" si="2"/>
        <v>-100</v>
      </c>
    </row>
    <row r="11" spans="1:206" ht="15.75">
      <c r="A11" s="44" t="s">
        <v>202</v>
      </c>
      <c r="B11" s="45"/>
      <c r="C11" s="45"/>
      <c r="D11" s="45"/>
      <c r="E11" s="45"/>
      <c r="F11" s="45"/>
      <c r="G11" s="45"/>
      <c r="H11" s="45"/>
      <c r="I11" s="45"/>
      <c r="J11" s="45"/>
      <c r="K11" s="45"/>
      <c r="L11" s="45"/>
      <c r="M11" s="45"/>
      <c r="N11" s="45"/>
      <c r="O11" s="45"/>
      <c r="P11" s="45"/>
      <c r="Q11" s="45"/>
      <c r="R11" s="45"/>
      <c r="S11" s="45"/>
      <c r="T11" s="45"/>
      <c r="U11" s="45"/>
      <c r="V11" s="45"/>
      <c r="W11" s="45"/>
      <c r="X11" s="45"/>
      <c r="Y11" s="45"/>
      <c r="Z11" s="45"/>
      <c r="AA11" s="45"/>
      <c r="AB11" s="45"/>
      <c r="AC11" s="45"/>
      <c r="AD11" s="45"/>
      <c r="AE11" s="45"/>
      <c r="AF11" s="45"/>
      <c r="AG11" s="45"/>
      <c r="AH11" s="45"/>
      <c r="AI11" s="45"/>
      <c r="AJ11" s="45"/>
      <c r="AK11" s="45"/>
      <c r="AL11" s="45"/>
      <c r="AM11" s="45"/>
      <c r="AN11" s="45"/>
      <c r="AO11" s="45"/>
      <c r="AP11" s="45"/>
      <c r="AQ11" s="45"/>
      <c r="AR11" s="45"/>
      <c r="AS11" s="45"/>
      <c r="AT11" s="45"/>
      <c r="AU11" s="45"/>
      <c r="AV11" s="45"/>
      <c r="AW11" s="45"/>
      <c r="AX11" s="45"/>
      <c r="AY11" s="52"/>
      <c r="AZ11" s="58"/>
      <c r="BA11" s="58"/>
      <c r="BB11" s="58"/>
      <c r="BC11" s="58"/>
      <c r="BD11" s="58"/>
      <c r="BE11" s="58"/>
      <c r="BF11" s="58"/>
      <c r="BG11" s="58"/>
      <c r="BH11" s="58"/>
      <c r="BI11" s="58"/>
      <c r="BJ11" s="58"/>
      <c r="BK11" s="58"/>
      <c r="BL11" s="58"/>
      <c r="BM11" s="58"/>
      <c r="BN11" s="58"/>
      <c r="BO11" s="58"/>
      <c r="BP11" s="58"/>
      <c r="BQ11" s="58"/>
      <c r="BR11" s="58"/>
      <c r="BS11" s="58"/>
      <c r="BT11" s="58"/>
      <c r="BU11" s="58"/>
      <c r="BV11" s="58"/>
      <c r="BW11" s="58"/>
      <c r="BX11" s="58"/>
      <c r="BY11" s="58"/>
      <c r="BZ11" s="58"/>
      <c r="CA11" s="58"/>
      <c r="CB11" s="58"/>
      <c r="CC11" s="58"/>
      <c r="CD11" s="58"/>
      <c r="CE11" s="58"/>
      <c r="CF11" s="58"/>
      <c r="CG11" s="58"/>
      <c r="CH11" s="58"/>
      <c r="CI11" s="58"/>
      <c r="CJ11" s="58"/>
      <c r="CK11" s="58"/>
      <c r="CL11" s="58"/>
      <c r="CM11" s="58"/>
      <c r="CN11" s="58"/>
      <c r="CO11" s="58"/>
      <c r="CP11" s="58"/>
      <c r="CQ11" s="59"/>
      <c r="CR11" s="58"/>
      <c r="CS11" s="58"/>
      <c r="CT11" s="58"/>
      <c r="CU11" s="58"/>
      <c r="CV11" s="58"/>
      <c r="CW11" s="58"/>
      <c r="CX11" s="57"/>
      <c r="CY11" s="57"/>
      <c r="CZ11" s="57"/>
      <c r="DA11" s="57"/>
      <c r="DB11" s="57"/>
      <c r="DC11" s="57"/>
      <c r="DD11" s="57"/>
      <c r="DE11" s="57"/>
      <c r="DF11" s="68"/>
      <c r="DG11" s="57"/>
      <c r="DH11" s="57"/>
      <c r="DI11" s="57"/>
      <c r="DJ11" s="57"/>
      <c r="DK11" s="57"/>
      <c r="DL11" s="57"/>
      <c r="DM11" s="57"/>
      <c r="DN11" s="57"/>
      <c r="DO11" s="57"/>
      <c r="DP11" s="57"/>
      <c r="DQ11" s="57"/>
      <c r="DR11" s="57"/>
      <c r="DS11" s="57"/>
      <c r="DT11" s="57"/>
      <c r="DU11" s="57"/>
      <c r="DV11" s="57"/>
      <c r="DW11" s="57"/>
      <c r="DX11" s="66"/>
      <c r="DY11" s="69"/>
      <c r="DZ11" s="66"/>
      <c r="EA11" s="66"/>
      <c r="EB11" s="66"/>
      <c r="EC11" s="66"/>
      <c r="ED11" s="66"/>
      <c r="EE11" s="66"/>
      <c r="EF11" s="66"/>
      <c r="EG11" s="66"/>
      <c r="EH11" s="66"/>
      <c r="EI11" s="66"/>
      <c r="EJ11" s="66"/>
      <c r="EK11" s="66"/>
      <c r="EL11" s="66"/>
      <c r="EM11" s="66"/>
      <c r="EN11" s="66"/>
      <c r="EO11" s="66"/>
      <c r="EP11" s="66"/>
      <c r="EQ11" s="69"/>
      <c r="ER11" s="66"/>
      <c r="ES11" s="66"/>
      <c r="ET11" s="66"/>
      <c r="EU11" s="66"/>
      <c r="EV11" s="66"/>
      <c r="EW11" s="66"/>
      <c r="EX11" s="66"/>
      <c r="EY11" s="70"/>
      <c r="EZ11" s="70"/>
      <c r="FA11" s="66"/>
      <c r="FB11" s="66"/>
      <c r="FC11" s="66"/>
      <c r="FD11" s="66"/>
      <c r="FE11" s="66"/>
      <c r="FF11" s="69"/>
      <c r="FG11" s="66"/>
      <c r="FH11" s="66"/>
      <c r="FI11" s="66"/>
      <c r="FJ11" s="66"/>
      <c r="FK11" s="66"/>
      <c r="FL11" s="66"/>
      <c r="FM11" s="66"/>
      <c r="FN11" s="66"/>
      <c r="FO11" s="67"/>
      <c r="FP11" s="66"/>
      <c r="FQ11" s="66"/>
      <c r="FR11" s="66"/>
      <c r="FS11" s="66"/>
      <c r="FT11" s="66"/>
      <c r="FU11" s="66"/>
      <c r="FV11" s="66"/>
      <c r="FW11" s="66"/>
      <c r="FX11" s="66"/>
      <c r="FY11" s="66"/>
      <c r="FZ11" s="66"/>
      <c r="GA11" s="66"/>
      <c r="GB11" s="66"/>
      <c r="GC11" s="66"/>
      <c r="GD11" s="66"/>
      <c r="GE11" s="63"/>
      <c r="GF11" s="63"/>
      <c r="GG11" s="63"/>
      <c r="GH11" s="64"/>
      <c r="GI11" s="65"/>
    </row>
    <row r="12" spans="1:206" ht="15.75">
      <c r="A12" t="s">
        <v>203</v>
      </c>
      <c r="B12" s="52">
        <v>3.5</v>
      </c>
      <c r="C12" s="52">
        <v>3.6</v>
      </c>
      <c r="D12" s="52">
        <v>4.5</v>
      </c>
      <c r="E12" s="52">
        <v>4.8</v>
      </c>
      <c r="F12" s="52">
        <v>6.22</v>
      </c>
      <c r="G12" s="52">
        <v>6.22</v>
      </c>
      <c r="H12" s="52">
        <v>6.22</v>
      </c>
      <c r="I12" s="52">
        <v>6.22</v>
      </c>
      <c r="J12" s="52">
        <v>6.4</v>
      </c>
      <c r="K12" s="52">
        <v>6.5</v>
      </c>
      <c r="L12" s="52">
        <v>6.4</v>
      </c>
      <c r="M12" s="52">
        <v>6.4</v>
      </c>
      <c r="N12" s="52">
        <v>6.4</v>
      </c>
      <c r="O12" s="52">
        <v>6.4</v>
      </c>
      <c r="P12" s="52">
        <v>6.38</v>
      </c>
      <c r="Q12" s="52">
        <v>6.3</v>
      </c>
      <c r="R12" s="52">
        <v>5.84</v>
      </c>
      <c r="S12" s="52">
        <v>5.4</v>
      </c>
      <c r="T12" s="52">
        <v>4.5999999999999996</v>
      </c>
      <c r="U12" s="52">
        <v>4.4000000000000004</v>
      </c>
      <c r="V12" s="52">
        <v>4</v>
      </c>
      <c r="W12" s="52">
        <v>3.6</v>
      </c>
      <c r="X12" s="52">
        <v>2.8</v>
      </c>
      <c r="Y12" s="52">
        <v>2.8</v>
      </c>
      <c r="Z12" s="52">
        <v>2.8</v>
      </c>
      <c r="AA12" s="52">
        <v>2.75</v>
      </c>
      <c r="AB12" s="52">
        <v>2.78</v>
      </c>
      <c r="AC12" s="52">
        <v>2.78</v>
      </c>
      <c r="AD12" s="52">
        <v>2.9</v>
      </c>
      <c r="AE12" s="52">
        <v>2.95</v>
      </c>
      <c r="AF12" s="52">
        <v>2.95</v>
      </c>
      <c r="AG12" s="52">
        <v>3.15</v>
      </c>
      <c r="AH12" s="52">
        <v>3.35</v>
      </c>
      <c r="AI12" s="52">
        <v>3.35</v>
      </c>
      <c r="AJ12" s="52">
        <v>3.35</v>
      </c>
      <c r="AK12" s="52">
        <v>3.35</v>
      </c>
      <c r="AL12" s="52">
        <v>3.35</v>
      </c>
      <c r="AM12" s="52">
        <v>3.08</v>
      </c>
      <c r="AN12" s="52">
        <v>2.8</v>
      </c>
      <c r="AO12" s="52">
        <v>2.75</v>
      </c>
      <c r="AP12" s="52">
        <v>2.5499999999999998</v>
      </c>
      <c r="AQ12" s="52">
        <v>2.4</v>
      </c>
      <c r="AR12" s="52">
        <v>2.4</v>
      </c>
      <c r="AS12" s="52">
        <v>2.4</v>
      </c>
      <c r="AT12" s="52">
        <v>2.35</v>
      </c>
      <c r="AU12" s="52">
        <v>2.2999999999999998</v>
      </c>
      <c r="AV12" s="52">
        <v>2.12</v>
      </c>
      <c r="AW12" s="52">
        <v>2.12</v>
      </c>
      <c r="AX12" s="52">
        <v>2.0499999999999998</v>
      </c>
      <c r="AY12" s="57">
        <f>Sheet2!BB18</f>
        <v>2</v>
      </c>
      <c r="AZ12" s="58">
        <f>Sheet2!BC18</f>
        <v>2</v>
      </c>
      <c r="BA12" s="58">
        <f>Sheet2!BD18</f>
        <v>2</v>
      </c>
      <c r="BB12" s="58">
        <f>Sheet2!BE18</f>
        <v>2</v>
      </c>
      <c r="BC12" s="58">
        <f>Sheet2!BF18</f>
        <v>2.02</v>
      </c>
      <c r="BD12" s="58">
        <f>Sheet2!BG18</f>
        <v>2.02</v>
      </c>
      <c r="BE12" s="58">
        <f>Sheet2!BH18</f>
        <v>2.02</v>
      </c>
      <c r="BF12" s="58">
        <f>Sheet2!BI18</f>
        <v>2.02</v>
      </c>
      <c r="BG12" s="58">
        <f>Sheet2!BJ18</f>
        <v>2.02</v>
      </c>
      <c r="BH12" s="58">
        <f>Sheet2!BK18</f>
        <v>2.02</v>
      </c>
      <c r="BI12" s="58">
        <f>Sheet2!BL18</f>
        <v>2</v>
      </c>
      <c r="BJ12" s="58">
        <f>Sheet2!BM18</f>
        <v>1.95</v>
      </c>
      <c r="BK12" s="58">
        <f>Sheet2!BN18</f>
        <v>1.8</v>
      </c>
      <c r="BL12" s="58">
        <f>Sheet2!BO18</f>
        <v>1.8</v>
      </c>
      <c r="BM12" s="58">
        <f>Sheet2!BP18</f>
        <v>1.7</v>
      </c>
      <c r="BN12" s="58">
        <f>Sheet2!BQ18</f>
        <v>1.7</v>
      </c>
      <c r="BO12" s="58">
        <f>Sheet2!BR18</f>
        <v>1.67</v>
      </c>
      <c r="BP12" s="58">
        <f>Sheet2!BS18</f>
        <v>1.55</v>
      </c>
      <c r="BQ12" s="58">
        <f>Sheet2!BT18</f>
        <v>1.45</v>
      </c>
      <c r="BR12" s="58">
        <f>Sheet2!BU18</f>
        <v>1.25</v>
      </c>
      <c r="BS12" s="58">
        <f>Sheet2!BV18</f>
        <v>1.25</v>
      </c>
      <c r="BT12" s="58">
        <f>Sheet2!BW18</f>
        <v>1.25</v>
      </c>
      <c r="BU12" s="58">
        <f>Sheet2!BX18</f>
        <v>1.25</v>
      </c>
      <c r="BV12" s="58">
        <f>Sheet2!BY18</f>
        <v>1.25</v>
      </c>
      <c r="BW12" s="58">
        <f>Sheet2!BZ18</f>
        <v>1.25</v>
      </c>
      <c r="BX12" s="58">
        <f>Sheet2!CA18</f>
        <v>1.25</v>
      </c>
      <c r="BY12" s="58">
        <f>Sheet2!CB18</f>
        <v>1.25</v>
      </c>
      <c r="BZ12" s="58">
        <f>Sheet2!CC18</f>
        <v>1.25</v>
      </c>
      <c r="CA12" s="58">
        <f>Sheet2!CD18</f>
        <v>1.25</v>
      </c>
      <c r="CB12" s="58">
        <f>Sheet2!CE18</f>
        <v>1.25</v>
      </c>
      <c r="CC12" s="58">
        <f>Sheet2!CF18</f>
        <v>1.25</v>
      </c>
      <c r="CD12" s="58">
        <f>Sheet2!CG18</f>
        <v>1.25</v>
      </c>
      <c r="CE12" s="58">
        <f>Sheet2!CH18</f>
        <v>1.25</v>
      </c>
      <c r="CF12" s="58">
        <f>Sheet2!CI18</f>
        <v>1.25</v>
      </c>
      <c r="CG12" s="58">
        <f>Sheet2!CJ18</f>
        <v>1.25</v>
      </c>
      <c r="CH12" s="58">
        <f>Sheet2!CK18</f>
        <v>1.25</v>
      </c>
      <c r="CI12" s="58">
        <f>Sheet2!CL18</f>
        <v>1.1499999999999999</v>
      </c>
      <c r="CJ12" s="58">
        <f>Sheet2!CM18</f>
        <v>1.1499999999999999</v>
      </c>
      <c r="CK12" s="58">
        <f>Sheet2!CN18</f>
        <v>1.1499999999999999</v>
      </c>
      <c r="CL12" s="58">
        <f>Sheet2!CO18</f>
        <v>1.1499999999999999</v>
      </c>
      <c r="CM12" s="58">
        <f>Sheet2!CP18</f>
        <v>1.1499999999999999</v>
      </c>
      <c r="CN12" s="58">
        <f>Sheet2!CQ18</f>
        <v>1.1499999999999999</v>
      </c>
      <c r="CO12" s="58">
        <f>Sheet2!CR18</f>
        <v>1.1499999999999999</v>
      </c>
      <c r="CP12" s="58">
        <f>Sheet2!CS18</f>
        <v>1.1000000000000001</v>
      </c>
      <c r="CQ12" s="59">
        <f>Sheet2!CT18</f>
        <v>1.08</v>
      </c>
      <c r="CR12" s="58">
        <f>Sheet2!CU18</f>
        <v>1.08</v>
      </c>
      <c r="CS12" s="58">
        <f>Sheet2!CV18</f>
        <v>1.08</v>
      </c>
      <c r="CT12" s="58">
        <f>Sheet2!CW18</f>
        <v>1.08</v>
      </c>
      <c r="CU12" s="58">
        <f>Sheet2!CX18</f>
        <v>1.08</v>
      </c>
      <c r="CV12" s="58">
        <f>Sheet2!CY18</f>
        <v>1.08</v>
      </c>
      <c r="CW12" s="58">
        <f>Sheet2!CZ18</f>
        <v>1.08</v>
      </c>
      <c r="CX12" s="58">
        <f>Sheet2!DA18</f>
        <v>1.08</v>
      </c>
      <c r="CY12" s="58">
        <f>Sheet2!DB18</f>
        <v>1.08</v>
      </c>
      <c r="CZ12" s="58">
        <f>Sheet2!DC18</f>
        <v>1.08</v>
      </c>
      <c r="DA12" s="58">
        <f>Sheet2!DD18</f>
        <v>1.08</v>
      </c>
      <c r="DB12" s="58">
        <f>Sheet2!DE18</f>
        <v>1.08</v>
      </c>
      <c r="DC12" s="58">
        <f>Sheet2!DF18</f>
        <v>1.08</v>
      </c>
      <c r="DD12" s="58">
        <f>Sheet2!DG18</f>
        <v>1.08</v>
      </c>
      <c r="DE12" s="58">
        <f>Sheet2!DH18</f>
        <v>1.08</v>
      </c>
      <c r="DF12" s="68">
        <f>Sheet2!DI18</f>
        <v>1.08</v>
      </c>
      <c r="DG12" s="68">
        <f>Sheet2!DJ18</f>
        <v>1.08</v>
      </c>
      <c r="DH12" s="68">
        <f>Sheet2!DK18</f>
        <v>1.08</v>
      </c>
      <c r="DI12" s="68">
        <v>1.08</v>
      </c>
      <c r="DJ12" s="68"/>
      <c r="DK12" s="58" t="s">
        <v>204</v>
      </c>
      <c r="DL12" s="58" t="s">
        <v>204</v>
      </c>
      <c r="DM12" s="58" t="s">
        <v>204</v>
      </c>
      <c r="DN12" s="58"/>
      <c r="DO12" s="57"/>
      <c r="DP12" s="57"/>
      <c r="DQ12" s="57"/>
      <c r="DR12" s="57"/>
      <c r="DS12" s="57"/>
      <c r="DT12" s="57"/>
      <c r="DU12" s="57"/>
      <c r="DV12" s="57"/>
      <c r="DW12" s="57"/>
      <c r="DX12" s="66"/>
      <c r="DY12" s="69"/>
      <c r="DZ12" s="66"/>
      <c r="EA12" s="66"/>
      <c r="EB12" s="66"/>
      <c r="EC12" s="66"/>
      <c r="ED12" s="66"/>
      <c r="EE12" s="66"/>
      <c r="EF12" s="66"/>
      <c r="EG12" s="66"/>
      <c r="EH12" s="66"/>
      <c r="EI12" s="66"/>
      <c r="EJ12" s="66"/>
      <c r="EK12" s="66"/>
      <c r="EL12" s="66"/>
      <c r="EM12" s="66"/>
      <c r="EN12" s="66"/>
      <c r="EO12" s="66"/>
      <c r="EP12" s="66"/>
      <c r="EQ12" s="69"/>
      <c r="ER12" s="66"/>
      <c r="ES12" s="66"/>
      <c r="ET12" s="66"/>
      <c r="EU12" s="66"/>
      <c r="EV12" s="66"/>
      <c r="EW12" s="66"/>
      <c r="EX12" s="70" t="s">
        <v>204</v>
      </c>
      <c r="EY12" s="70"/>
      <c r="EZ12" s="70"/>
      <c r="FA12" s="66"/>
      <c r="FB12" s="66"/>
      <c r="FC12" s="66"/>
      <c r="FD12" s="66"/>
      <c r="FE12" s="66"/>
      <c r="FF12" s="69"/>
      <c r="FG12" s="66"/>
      <c r="FH12" s="66"/>
      <c r="FI12" s="66"/>
      <c r="FJ12" s="66"/>
      <c r="FK12" s="66"/>
      <c r="FL12" s="66"/>
      <c r="FM12" s="66"/>
      <c r="FN12" s="66"/>
      <c r="FO12" s="67"/>
      <c r="FP12" s="66"/>
      <c r="FQ12" s="66"/>
      <c r="FR12" s="66"/>
      <c r="FS12" s="66"/>
      <c r="FT12" s="66"/>
      <c r="FU12" s="66"/>
      <c r="FV12" s="66"/>
      <c r="FW12" s="66"/>
      <c r="FX12" s="66"/>
      <c r="FY12" s="66"/>
      <c r="FZ12" s="66"/>
      <c r="GA12" s="66"/>
      <c r="GB12" s="66"/>
      <c r="GC12" s="66"/>
      <c r="GD12" s="66"/>
      <c r="GE12" s="63"/>
      <c r="GF12" s="63"/>
      <c r="GG12" s="63"/>
      <c r="GH12" s="64"/>
      <c r="GI12" s="65"/>
    </row>
    <row r="13" spans="1:206" ht="15.75">
      <c r="A13" t="s">
        <v>205</v>
      </c>
      <c r="B13" s="52">
        <v>4.8</v>
      </c>
      <c r="C13" s="52">
        <v>4.8</v>
      </c>
      <c r="D13" s="52">
        <v>6.2</v>
      </c>
      <c r="E13" s="52">
        <v>6.2</v>
      </c>
      <c r="F13" s="52">
        <v>8.1999999999999993</v>
      </c>
      <c r="G13" s="52">
        <v>8.1999999999999993</v>
      </c>
      <c r="H13" s="52">
        <v>8.1999999999999993</v>
      </c>
      <c r="I13" s="52">
        <v>8.1999999999999993</v>
      </c>
      <c r="J13" s="52">
        <v>8.1999999999999993</v>
      </c>
      <c r="K13" s="52">
        <v>8.1999999999999993</v>
      </c>
      <c r="L13" s="52">
        <v>8.1999999999999993</v>
      </c>
      <c r="M13" s="52">
        <v>8.1999999999999993</v>
      </c>
      <c r="N13" s="52">
        <v>8.0500000000000007</v>
      </c>
      <c r="O13" s="52">
        <v>8.0500000000000007</v>
      </c>
      <c r="P13" s="52">
        <v>8.0500000000000007</v>
      </c>
      <c r="Q13" s="52">
        <v>8.0500000000000007</v>
      </c>
      <c r="R13" s="52">
        <v>7.6</v>
      </c>
      <c r="S13" s="52">
        <v>7.4</v>
      </c>
      <c r="T13" s="52">
        <v>6</v>
      </c>
      <c r="U13" s="52">
        <v>5.8</v>
      </c>
      <c r="V13" s="52">
        <v>5.0999999999999996</v>
      </c>
      <c r="W13" s="52">
        <v>5</v>
      </c>
      <c r="X13" s="52">
        <v>4</v>
      </c>
      <c r="Y13" s="52">
        <v>4</v>
      </c>
      <c r="Z13" s="52">
        <v>4</v>
      </c>
      <c r="AA13" s="52">
        <v>4</v>
      </c>
      <c r="AB13" s="52">
        <v>3.77</v>
      </c>
      <c r="AC13" s="52">
        <v>3.77</v>
      </c>
      <c r="AD13" s="52">
        <v>3.77</v>
      </c>
      <c r="AE13" s="52">
        <v>3.92</v>
      </c>
      <c r="AF13" s="52">
        <v>3.92</v>
      </c>
      <c r="AG13" s="52">
        <v>4.0999999999999996</v>
      </c>
      <c r="AH13" s="52">
        <v>4.3499999999999996</v>
      </c>
      <c r="AI13" s="52">
        <v>4.3499999999999996</v>
      </c>
      <c r="AJ13" s="52">
        <v>4.3499999999999996</v>
      </c>
      <c r="AK13" s="52">
        <v>4.25</v>
      </c>
      <c r="AL13" s="52">
        <v>4.2</v>
      </c>
      <c r="AM13" s="52">
        <v>4.0199999999999996</v>
      </c>
      <c r="AN13" s="52">
        <v>3.9</v>
      </c>
      <c r="AO13" s="52">
        <v>3.66</v>
      </c>
      <c r="AP13" s="52">
        <v>3.45</v>
      </c>
      <c r="AQ13" s="52">
        <v>3.3</v>
      </c>
      <c r="AR13" s="52">
        <v>3.3</v>
      </c>
      <c r="AS13" s="52">
        <v>3.3</v>
      </c>
      <c r="AT13" s="52">
        <v>3.3</v>
      </c>
      <c r="AU13" s="52">
        <v>3.3</v>
      </c>
      <c r="AV13" s="52">
        <v>3.3</v>
      </c>
      <c r="AW13" s="52">
        <v>3.05</v>
      </c>
      <c r="AX13" s="52">
        <v>3</v>
      </c>
      <c r="AY13" s="57">
        <f>Sheet2!BB23</f>
        <v>3</v>
      </c>
      <c r="AZ13" s="58">
        <f>Sheet2!BC23</f>
        <v>3</v>
      </c>
      <c r="BA13" s="58">
        <f>Sheet2!BD23</f>
        <v>3</v>
      </c>
      <c r="BB13" s="58">
        <f>Sheet2!BE23</f>
        <v>2.95</v>
      </c>
      <c r="BC13" s="58">
        <f>Sheet2!BF23</f>
        <v>2.95</v>
      </c>
      <c r="BD13" s="58">
        <f>Sheet2!BG23</f>
        <v>2.85</v>
      </c>
      <c r="BE13" s="58">
        <f>Sheet2!BH23</f>
        <v>2.8</v>
      </c>
      <c r="BF13" s="58">
        <f>Sheet2!BI23</f>
        <v>2.8</v>
      </c>
      <c r="BG13" s="58">
        <f>Sheet2!BJ23</f>
        <v>2.8</v>
      </c>
      <c r="BH13" s="58">
        <f>Sheet2!BK23</f>
        <v>2.8</v>
      </c>
      <c r="BI13" s="58">
        <f>Sheet2!BL23</f>
        <v>2.75</v>
      </c>
      <c r="BJ13" s="58">
        <f>Sheet2!BM23</f>
        <v>2.75</v>
      </c>
      <c r="BK13" s="58">
        <f>Sheet2!BN23</f>
        <v>2.4</v>
      </c>
      <c r="BL13" s="58">
        <f>Sheet2!BO23</f>
        <v>2.4</v>
      </c>
      <c r="BM13" s="58">
        <f>Sheet2!BP23</f>
        <v>2.35</v>
      </c>
      <c r="BN13" s="58">
        <f>Sheet2!BQ23</f>
        <v>2.35</v>
      </c>
      <c r="BO13" s="58">
        <f>Sheet2!BR23</f>
        <v>2.15</v>
      </c>
      <c r="BP13" s="58">
        <f>Sheet2!BS23</f>
        <v>2.13</v>
      </c>
      <c r="BQ13" s="58">
        <f>Sheet2!BT23</f>
        <v>1.95</v>
      </c>
      <c r="BR13" s="58">
        <f>Sheet2!BU23</f>
        <v>1.85</v>
      </c>
      <c r="BS13" s="58">
        <f>Sheet2!BV23</f>
        <v>1.85</v>
      </c>
      <c r="BT13" s="58">
        <f>Sheet2!BW23</f>
        <v>1.85</v>
      </c>
      <c r="BU13" s="58">
        <f>Sheet2!BX23</f>
        <v>1.85</v>
      </c>
      <c r="BV13" s="58">
        <f>Sheet2!BY23</f>
        <v>1.85</v>
      </c>
      <c r="BW13" s="58">
        <f>Sheet2!BZ23</f>
        <v>1.85</v>
      </c>
      <c r="BX13" s="58">
        <f>Sheet2!CA23</f>
        <v>1.85</v>
      </c>
      <c r="BY13" s="58">
        <f>Sheet2!CB23</f>
        <v>1.85</v>
      </c>
      <c r="BZ13" s="58">
        <f>Sheet2!CC23</f>
        <v>1.85</v>
      </c>
      <c r="CA13" s="58">
        <f>Sheet2!CD23</f>
        <v>1.85</v>
      </c>
      <c r="CB13" s="58">
        <f>Sheet2!CE23</f>
        <v>1.85</v>
      </c>
      <c r="CC13" s="58">
        <f>Sheet2!CF23</f>
        <v>1.85</v>
      </c>
      <c r="CD13" s="58">
        <f>Sheet2!CG23</f>
        <v>1.85</v>
      </c>
      <c r="CE13" s="58">
        <f>Sheet2!CH23</f>
        <v>1.85</v>
      </c>
      <c r="CF13" s="58">
        <f>Sheet2!CI23</f>
        <v>1.85</v>
      </c>
      <c r="CG13" s="58">
        <f>Sheet2!CJ23</f>
        <v>1.85</v>
      </c>
      <c r="CH13" s="58">
        <f>Sheet2!CK23</f>
        <v>1.85</v>
      </c>
      <c r="CI13" s="58">
        <f>Sheet2!CL23</f>
        <v>1.75</v>
      </c>
      <c r="CJ13" s="58">
        <f>Sheet2!CM23</f>
        <v>1.7</v>
      </c>
      <c r="CK13" s="58">
        <f>Sheet2!CN23</f>
        <v>1.72</v>
      </c>
      <c r="CL13" s="58">
        <f>Sheet2!CO23</f>
        <v>1.72</v>
      </c>
      <c r="CM13" s="58">
        <f>Sheet2!CP23</f>
        <v>1.72</v>
      </c>
      <c r="CN13" s="58">
        <f>Sheet2!CQ23</f>
        <v>1.72</v>
      </c>
      <c r="CO13" s="58">
        <f>Sheet2!CR23</f>
        <v>1.72</v>
      </c>
      <c r="CP13" s="58">
        <f>Sheet2!CS23</f>
        <v>1.65</v>
      </c>
      <c r="CQ13" s="59">
        <f>Sheet2!CT23</f>
        <v>1.65</v>
      </c>
      <c r="CR13" s="58">
        <f>Sheet2!CU23</f>
        <v>1.65</v>
      </c>
      <c r="CS13" s="58">
        <f>Sheet2!CV23</f>
        <v>1.65</v>
      </c>
      <c r="CT13" s="58">
        <f>Sheet2!CW23</f>
        <v>1.65</v>
      </c>
      <c r="CU13" s="58">
        <f>Sheet2!CX23</f>
        <v>1.65</v>
      </c>
      <c r="CV13" s="58">
        <f>Sheet2!CY23</f>
        <v>1.65</v>
      </c>
      <c r="CW13" s="58">
        <f>Sheet2!CZ23</f>
        <v>1.65</v>
      </c>
      <c r="CX13" s="58">
        <f>Sheet2!DA23</f>
        <v>1.65</v>
      </c>
      <c r="CY13" s="58">
        <f>Sheet2!DB23</f>
        <v>1.65</v>
      </c>
      <c r="CZ13" s="58">
        <f>Sheet2!DC23</f>
        <v>1.65</v>
      </c>
      <c r="DA13" s="58">
        <f>Sheet2!DD23</f>
        <v>1.65</v>
      </c>
      <c r="DB13" s="58">
        <f>Sheet2!DE23</f>
        <v>1.65</v>
      </c>
      <c r="DC13" s="58">
        <f>Sheet2!DF23</f>
        <v>1.65</v>
      </c>
      <c r="DD13" s="58">
        <f>Sheet2!DG23</f>
        <v>1.65</v>
      </c>
      <c r="DE13" s="58">
        <f>Sheet2!DH23</f>
        <v>1.65</v>
      </c>
      <c r="DF13" s="68">
        <f>Sheet2!DI23</f>
        <v>1.65</v>
      </c>
      <c r="DG13" s="68">
        <f>Sheet2!DJ23</f>
        <v>1.65</v>
      </c>
      <c r="DH13" s="68">
        <f>Sheet2!DK23</f>
        <v>1.65</v>
      </c>
      <c r="DI13" s="68">
        <v>1.58</v>
      </c>
      <c r="DJ13" s="68"/>
      <c r="DK13" s="58" t="s">
        <v>204</v>
      </c>
      <c r="DL13" s="58" t="s">
        <v>204</v>
      </c>
      <c r="DM13" s="58" t="s">
        <v>204</v>
      </c>
      <c r="DN13" s="58"/>
      <c r="DO13" s="57"/>
      <c r="DP13" s="57"/>
      <c r="DQ13" s="57"/>
      <c r="DR13" s="57"/>
      <c r="DS13" s="57"/>
      <c r="DT13" s="57"/>
      <c r="DU13" s="57"/>
      <c r="DV13" s="57"/>
      <c r="DW13" s="57"/>
      <c r="DX13" s="66"/>
      <c r="DY13" s="69"/>
      <c r="DZ13" s="66"/>
      <c r="EA13" s="66"/>
      <c r="EB13" s="66"/>
      <c r="EC13" s="66"/>
      <c r="ED13" s="66"/>
      <c r="EE13" s="66"/>
      <c r="EF13" s="66"/>
      <c r="EG13" s="66"/>
      <c r="EH13" s="66"/>
      <c r="EI13" s="66"/>
      <c r="EJ13" s="66"/>
      <c r="EK13" s="66"/>
      <c r="EL13" s="66"/>
      <c r="EM13" s="66"/>
      <c r="EN13" s="66"/>
      <c r="EO13" s="66"/>
      <c r="EP13" s="66"/>
      <c r="EQ13" s="69"/>
      <c r="ER13" s="66"/>
      <c r="ES13" s="66"/>
      <c r="ET13" s="66"/>
      <c r="EU13" s="66"/>
      <c r="EV13" s="66"/>
      <c r="EW13" s="66"/>
      <c r="EX13" s="70" t="s">
        <v>204</v>
      </c>
      <c r="EY13" s="70"/>
      <c r="EZ13" s="70"/>
      <c r="FA13" s="66"/>
      <c r="FB13" s="66"/>
      <c r="FC13" s="66"/>
      <c r="FD13" s="66"/>
      <c r="FE13" s="66"/>
      <c r="FF13" s="69"/>
      <c r="FG13" s="66"/>
      <c r="FH13" s="66"/>
      <c r="FI13" s="66"/>
      <c r="FJ13" s="66"/>
      <c r="FK13" s="66"/>
      <c r="FL13" s="66"/>
      <c r="FM13" s="66"/>
      <c r="FN13" s="66"/>
      <c r="FO13" s="67"/>
      <c r="FP13" s="66"/>
      <c r="FQ13" s="66"/>
      <c r="FR13" s="66"/>
      <c r="FS13" s="66"/>
      <c r="FT13" s="66"/>
      <c r="FU13" s="66"/>
      <c r="FV13" s="66"/>
      <c r="FW13" s="66"/>
      <c r="FX13" s="66"/>
      <c r="FY13" s="66"/>
      <c r="FZ13" s="66"/>
      <c r="GA13" s="66"/>
      <c r="GB13" s="66"/>
      <c r="GC13" s="66"/>
      <c r="GD13" s="66"/>
      <c r="GE13" s="63"/>
      <c r="GF13" s="63"/>
      <c r="GG13" s="63"/>
      <c r="GH13" s="64"/>
      <c r="GI13" s="65"/>
    </row>
    <row r="14" spans="1:206" ht="15.75">
      <c r="A14" t="s">
        <v>206</v>
      </c>
      <c r="B14" s="52">
        <v>6.3</v>
      </c>
      <c r="C14" s="52">
        <v>5.0999999999999996</v>
      </c>
      <c r="D14" s="52">
        <v>5.3</v>
      </c>
      <c r="E14" s="52">
        <v>5.3</v>
      </c>
      <c r="F14" s="52" t="s">
        <v>39</v>
      </c>
      <c r="G14" s="52" t="s">
        <v>39</v>
      </c>
      <c r="H14" s="52"/>
      <c r="I14" s="52"/>
      <c r="J14" s="52"/>
      <c r="K14" s="52"/>
      <c r="L14" s="52"/>
      <c r="M14" s="52"/>
      <c r="N14" s="52"/>
      <c r="O14" s="52"/>
      <c r="P14" s="52"/>
      <c r="Q14" s="52"/>
      <c r="R14" s="52"/>
      <c r="S14" s="52"/>
      <c r="T14" s="52"/>
      <c r="U14" s="52"/>
      <c r="V14" s="52"/>
      <c r="W14" s="52"/>
      <c r="X14" s="52"/>
      <c r="Y14" s="52"/>
      <c r="Z14" s="52"/>
      <c r="AA14" s="52"/>
      <c r="AB14" s="52"/>
      <c r="AC14" s="52"/>
      <c r="AD14" s="52"/>
      <c r="AE14" s="52"/>
      <c r="AF14" s="52"/>
      <c r="AG14" s="52"/>
      <c r="AH14" s="52"/>
      <c r="AI14" s="52"/>
      <c r="AJ14" s="52"/>
      <c r="AK14" s="52"/>
      <c r="AL14" s="52"/>
      <c r="AM14" s="52"/>
      <c r="AN14" s="52"/>
      <c r="AO14" s="52"/>
      <c r="AP14" s="52"/>
      <c r="AQ14" s="52"/>
      <c r="AR14" s="52"/>
      <c r="AS14" s="52"/>
      <c r="AT14" s="52"/>
      <c r="AU14" s="52"/>
      <c r="AV14" s="52"/>
      <c r="AW14" s="52"/>
      <c r="AX14" s="52"/>
      <c r="AY14" s="52"/>
      <c r="AZ14" s="58"/>
      <c r="BA14" s="58"/>
      <c r="BB14" s="58"/>
      <c r="BC14" s="58"/>
      <c r="BD14" s="58"/>
      <c r="BE14" s="58"/>
      <c r="BF14" s="58"/>
      <c r="BG14" s="58"/>
      <c r="BH14" s="58"/>
      <c r="BI14" s="58"/>
      <c r="BJ14" s="58"/>
      <c r="BK14" s="58"/>
      <c r="BL14" s="58"/>
      <c r="BM14" s="58"/>
      <c r="BN14" s="58"/>
      <c r="BO14" s="58"/>
      <c r="BP14" s="58"/>
      <c r="BQ14" s="58"/>
      <c r="BR14" s="58"/>
      <c r="BS14" s="58"/>
      <c r="BT14" s="58"/>
      <c r="BU14" s="58"/>
      <c r="BV14" s="58"/>
      <c r="BW14" s="58"/>
      <c r="BX14" s="58"/>
      <c r="BY14" s="58"/>
      <c r="BZ14" s="58"/>
      <c r="CA14" s="58"/>
      <c r="CB14" s="58"/>
      <c r="CC14" s="58"/>
      <c r="CD14" s="58"/>
      <c r="CE14" s="58"/>
      <c r="CF14" s="58"/>
      <c r="CG14" s="58"/>
      <c r="CH14" s="58"/>
      <c r="CI14" s="58"/>
      <c r="CJ14" s="58"/>
      <c r="CK14" s="58"/>
      <c r="CL14" s="58"/>
      <c r="CM14" s="58"/>
      <c r="CN14" s="58"/>
      <c r="CO14" s="58"/>
      <c r="CP14" s="58"/>
      <c r="CQ14" s="59"/>
      <c r="CR14" s="58"/>
      <c r="CS14" s="58"/>
      <c r="CT14" s="58"/>
      <c r="CU14" s="58"/>
      <c r="CV14" s="58"/>
      <c r="CW14" s="58"/>
      <c r="CX14" s="57"/>
      <c r="CY14" s="57"/>
      <c r="CZ14" s="57"/>
      <c r="DA14" s="57"/>
      <c r="DB14" s="57"/>
      <c r="DC14" s="57"/>
      <c r="DD14" s="57"/>
      <c r="DE14" s="57"/>
      <c r="DF14" s="68"/>
      <c r="DG14" s="57"/>
      <c r="DH14" s="57"/>
      <c r="DI14" s="57"/>
      <c r="DJ14" s="57"/>
      <c r="DK14" s="57"/>
      <c r="DL14" s="57"/>
      <c r="DM14" s="57"/>
      <c r="DN14" s="57"/>
      <c r="DO14" s="57"/>
      <c r="DP14" s="57"/>
      <c r="DQ14" s="57"/>
      <c r="DR14" s="57"/>
      <c r="DS14" s="57"/>
      <c r="DT14" s="57"/>
      <c r="DU14" s="57"/>
      <c r="DV14" s="57"/>
      <c r="DW14" s="57"/>
      <c r="DX14" s="66"/>
      <c r="DY14" s="69"/>
      <c r="DZ14" s="66"/>
      <c r="EA14" s="66"/>
      <c r="EB14" s="66"/>
      <c r="EC14" s="66"/>
      <c r="ED14" s="66"/>
      <c r="EE14" s="66"/>
      <c r="EF14" s="66"/>
      <c r="EG14" s="66"/>
      <c r="EH14" s="66"/>
      <c r="EI14" s="66"/>
      <c r="EJ14" s="66"/>
      <c r="EK14" s="66"/>
      <c r="EL14" s="66"/>
      <c r="EM14" s="66"/>
      <c r="EN14" s="66"/>
      <c r="EO14" s="66"/>
      <c r="EP14" s="66"/>
      <c r="EQ14" s="69"/>
      <c r="ER14" s="66"/>
      <c r="ES14" s="66"/>
      <c r="ET14" s="66"/>
      <c r="EU14" s="66"/>
      <c r="EV14" s="66"/>
      <c r="EW14" s="66"/>
      <c r="EX14" s="70" t="s">
        <v>204</v>
      </c>
      <c r="EY14" s="70"/>
      <c r="EZ14" s="70"/>
      <c r="FA14" s="66"/>
      <c r="FB14" s="66"/>
      <c r="FC14" s="66"/>
      <c r="FD14" s="66"/>
      <c r="FE14" s="66"/>
      <c r="FF14" s="69"/>
      <c r="FG14" s="66"/>
      <c r="FH14" s="66"/>
      <c r="FI14" s="66"/>
      <c r="FJ14" s="66"/>
      <c r="FK14" s="66"/>
      <c r="FL14" s="66"/>
      <c r="FM14" s="66"/>
      <c r="FN14" s="66"/>
      <c r="FO14" s="67"/>
      <c r="FP14" s="66"/>
      <c r="FQ14" s="66"/>
      <c r="FR14" s="66"/>
      <c r="FS14" s="66"/>
      <c r="FT14" s="66"/>
      <c r="FU14" s="66"/>
      <c r="FV14" s="66"/>
      <c r="FW14" s="66"/>
      <c r="FX14" s="66"/>
      <c r="FY14" s="66"/>
      <c r="FZ14" s="66"/>
      <c r="GA14" s="66"/>
      <c r="GB14" s="66"/>
      <c r="GC14" s="66"/>
      <c r="GD14" s="66"/>
      <c r="GE14" s="63"/>
      <c r="GF14" s="63"/>
      <c r="GG14" s="63"/>
      <c r="GH14" s="64"/>
      <c r="GI14" s="65"/>
    </row>
    <row r="15" spans="1:206" ht="15.75">
      <c r="A15" t="s">
        <v>207</v>
      </c>
      <c r="B15" s="52" t="s">
        <v>39</v>
      </c>
      <c r="C15" s="52" t="s">
        <v>39</v>
      </c>
      <c r="D15" s="52" t="s">
        <v>39</v>
      </c>
      <c r="E15" s="52" t="s">
        <v>39</v>
      </c>
      <c r="F15" s="52">
        <v>8.52</v>
      </c>
      <c r="G15" s="52">
        <v>8.52</v>
      </c>
      <c r="H15" s="52">
        <v>8.52</v>
      </c>
      <c r="I15" s="52">
        <v>8.52</v>
      </c>
      <c r="J15" s="52">
        <v>8.52</v>
      </c>
      <c r="K15" s="52">
        <v>8.52</v>
      </c>
      <c r="L15" s="52">
        <v>8.52</v>
      </c>
      <c r="M15" s="52">
        <v>8.52</v>
      </c>
      <c r="N15" s="52">
        <v>8.1999999999999993</v>
      </c>
      <c r="O15" s="52">
        <v>8.1999999999999993</v>
      </c>
      <c r="P15" s="52">
        <v>8.1999999999999993</v>
      </c>
      <c r="Q15" s="52">
        <v>8.1999999999999993</v>
      </c>
      <c r="R15" s="52">
        <v>7.74</v>
      </c>
      <c r="S15" s="52">
        <v>7.6</v>
      </c>
      <c r="T15" s="52">
        <v>6.8</v>
      </c>
      <c r="U15" s="52">
        <v>6.7</v>
      </c>
      <c r="V15" s="52">
        <v>6.2</v>
      </c>
      <c r="W15" s="52">
        <v>6.1</v>
      </c>
      <c r="X15" s="52">
        <v>5</v>
      </c>
      <c r="Y15" s="52">
        <v>5</v>
      </c>
      <c r="Z15" s="52">
        <v>5</v>
      </c>
      <c r="AA15" s="52">
        <v>5</v>
      </c>
      <c r="AB15" s="52">
        <v>3.84</v>
      </c>
      <c r="AC15" s="52">
        <v>3.84</v>
      </c>
      <c r="AD15" s="52">
        <v>3.84</v>
      </c>
      <c r="AE15" s="52">
        <v>3.98</v>
      </c>
      <c r="AF15" s="52">
        <v>3.98</v>
      </c>
      <c r="AG15" s="52">
        <v>4.25</v>
      </c>
      <c r="AH15" s="52">
        <v>4.32</v>
      </c>
      <c r="AI15" s="52">
        <v>4.32</v>
      </c>
      <c r="AJ15" s="52">
        <v>4.32</v>
      </c>
      <c r="AK15" s="52">
        <v>4.32</v>
      </c>
      <c r="AL15" s="52">
        <v>4.32</v>
      </c>
      <c r="AM15" s="52">
        <v>4.2</v>
      </c>
      <c r="AN15" s="52">
        <v>3.95</v>
      </c>
      <c r="AO15" s="52">
        <v>3.85</v>
      </c>
      <c r="AP15" s="52">
        <v>3.5</v>
      </c>
      <c r="AQ15" s="52">
        <v>3.35</v>
      </c>
      <c r="AR15" s="52">
        <v>3.35</v>
      </c>
      <c r="AS15" s="52">
        <v>3.35</v>
      </c>
      <c r="AT15" s="52">
        <v>3.35</v>
      </c>
      <c r="AU15" s="52">
        <v>3.35</v>
      </c>
      <c r="AV15" s="52">
        <v>3.35</v>
      </c>
      <c r="AW15" s="52">
        <v>3.35</v>
      </c>
      <c r="AX15" s="52">
        <v>3.25</v>
      </c>
      <c r="AY15" s="57">
        <f>Sheet2!BB49</f>
        <v>3.23</v>
      </c>
      <c r="AZ15" s="58">
        <f>Sheet2!BC49</f>
        <v>3.23</v>
      </c>
      <c r="BA15" s="58">
        <f>Sheet2!BD49</f>
        <v>3.23</v>
      </c>
      <c r="BB15" s="58">
        <f>Sheet2!BE49</f>
        <v>3.1</v>
      </c>
      <c r="BC15" s="58">
        <f>Sheet2!BF49</f>
        <v>3.1</v>
      </c>
      <c r="BD15" s="58">
        <f>Sheet2!BG49</f>
        <v>3.08</v>
      </c>
      <c r="BE15" s="58">
        <f>Sheet2!BH49</f>
        <v>3.08</v>
      </c>
      <c r="BF15" s="58">
        <f>Sheet2!BI49</f>
        <v>3.08</v>
      </c>
      <c r="BG15" s="58">
        <f>Sheet2!BJ49</f>
        <v>3.08</v>
      </c>
      <c r="BH15" s="58">
        <f>Sheet2!BK49</f>
        <v>3.08</v>
      </c>
      <c r="BI15" s="58">
        <f>Sheet2!BL49</f>
        <v>2.95</v>
      </c>
      <c r="BJ15" s="58">
        <f>Sheet2!BM49</f>
        <v>2.85</v>
      </c>
      <c r="BK15" s="58">
        <f>Sheet2!BN49</f>
        <v>2.75</v>
      </c>
      <c r="BL15" s="58">
        <f>Sheet2!BO49</f>
        <v>2.65</v>
      </c>
      <c r="BM15" s="58">
        <f>Sheet2!BP49</f>
        <v>2.6</v>
      </c>
      <c r="BN15" s="58">
        <f>Sheet2!BQ49</f>
        <v>2.6</v>
      </c>
      <c r="BO15" s="58">
        <f>Sheet2!BR49</f>
        <v>2.2999999999999998</v>
      </c>
      <c r="BP15" s="58">
        <f>Sheet2!BS49</f>
        <v>2.23</v>
      </c>
      <c r="BQ15" s="58">
        <f>Sheet2!BT49</f>
        <v>2.1</v>
      </c>
      <c r="BR15" s="58">
        <f>Sheet2!BU49</f>
        <v>1.85</v>
      </c>
      <c r="BS15" s="58">
        <f>Sheet2!BV49</f>
        <v>1.85</v>
      </c>
      <c r="BT15" s="58">
        <f>Sheet2!BW49</f>
        <v>1.85</v>
      </c>
      <c r="BU15" s="58">
        <f>Sheet2!BX49</f>
        <v>1.85</v>
      </c>
      <c r="BV15" s="58">
        <f>Sheet2!BY49</f>
        <v>1.85</v>
      </c>
      <c r="BW15" s="58">
        <f>Sheet2!BZ49</f>
        <v>1.85</v>
      </c>
      <c r="BX15" s="58">
        <f>Sheet2!CA49</f>
        <v>1.85</v>
      </c>
      <c r="BY15" s="58">
        <f>Sheet2!CB49</f>
        <v>1.85</v>
      </c>
      <c r="BZ15" s="58">
        <f>Sheet2!CC49</f>
        <v>1.85</v>
      </c>
      <c r="CA15" s="58">
        <f>Sheet2!CD49</f>
        <v>1.85</v>
      </c>
      <c r="CB15" s="58">
        <f>Sheet2!CE49</f>
        <v>1.85</v>
      </c>
      <c r="CC15" s="58">
        <f>Sheet2!CF49</f>
        <v>1.75</v>
      </c>
      <c r="CD15" s="58">
        <f>Sheet2!CG49</f>
        <v>1.7</v>
      </c>
      <c r="CE15" s="58">
        <f>Sheet2!CH49</f>
        <v>1.7</v>
      </c>
      <c r="CF15" s="58">
        <f>Sheet2!CI49</f>
        <v>1.6</v>
      </c>
      <c r="CG15" s="58">
        <f>Sheet2!CJ49</f>
        <v>1.55</v>
      </c>
      <c r="CH15" s="58">
        <f>Sheet2!CK49</f>
        <v>1.5</v>
      </c>
      <c r="CI15" s="58">
        <f>Sheet2!CL49</f>
        <v>1.5</v>
      </c>
      <c r="CJ15" s="58">
        <f>Sheet2!CM49</f>
        <v>1.5</v>
      </c>
      <c r="CK15" s="58">
        <f>Sheet2!CN49</f>
        <v>1.5</v>
      </c>
      <c r="CL15" s="58">
        <f>Sheet2!CO49</f>
        <v>1.5</v>
      </c>
      <c r="CM15" s="58">
        <f>Sheet2!CP49</f>
        <v>1.45</v>
      </c>
      <c r="CN15" s="58">
        <f>Sheet2!CQ49</f>
        <v>1.45</v>
      </c>
      <c r="CO15" s="58">
        <f>Sheet2!CR49</f>
        <v>1.45</v>
      </c>
      <c r="CP15" s="58">
        <f>Sheet2!CS49</f>
        <v>1.45</v>
      </c>
      <c r="CQ15" s="59">
        <f>Sheet2!CT49</f>
        <v>1.45</v>
      </c>
      <c r="CR15" s="58">
        <f>Sheet2!CU49</f>
        <v>1.45</v>
      </c>
      <c r="CS15" s="58">
        <f>Sheet2!CV49</f>
        <v>1.45</v>
      </c>
      <c r="CT15" s="58">
        <f>Sheet2!CW49</f>
        <v>1.45</v>
      </c>
      <c r="CU15" s="58">
        <f>Sheet2!CX49</f>
        <v>1.45</v>
      </c>
      <c r="CV15" s="58">
        <f>Sheet2!CY49</f>
        <v>1.45</v>
      </c>
      <c r="CW15" s="58">
        <f>Sheet2!CZ49</f>
        <v>1.45</v>
      </c>
      <c r="CX15" s="58">
        <f>Sheet2!DA49</f>
        <v>1.45</v>
      </c>
      <c r="CY15" s="58">
        <f>Sheet2!DB49</f>
        <v>1.55</v>
      </c>
      <c r="CZ15" s="58">
        <f>Sheet2!DC49</f>
        <v>1.55</v>
      </c>
      <c r="DA15" s="58">
        <f>Sheet2!DD49</f>
        <v>1.55</v>
      </c>
      <c r="DB15" s="58">
        <f>Sheet2!DE49</f>
        <v>1.55</v>
      </c>
      <c r="DC15" s="58">
        <f>Sheet2!DF49</f>
        <v>1.55</v>
      </c>
      <c r="DD15" s="58">
        <f>Sheet2!DG49</f>
        <v>1.55</v>
      </c>
      <c r="DE15" s="58">
        <f>Sheet2!DH49</f>
        <v>1.55</v>
      </c>
      <c r="DF15" s="68">
        <f>Sheet2!DI49</f>
        <v>1.55</v>
      </c>
      <c r="DG15" s="68">
        <f>Sheet2!DJ49</f>
        <v>1.55</v>
      </c>
      <c r="DH15" s="68">
        <f>Sheet2!DK49</f>
        <v>1.55</v>
      </c>
      <c r="DI15" s="68">
        <v>1.55</v>
      </c>
      <c r="DJ15" s="68">
        <f>Sheet2!DN49</f>
        <v>1.58</v>
      </c>
      <c r="DK15" s="68">
        <f>Sheet2!DO49</f>
        <v>1.58</v>
      </c>
      <c r="DL15" s="68">
        <f>Sheet2!DP49</f>
        <v>1.55</v>
      </c>
      <c r="DM15" s="68">
        <f>Sheet2!DQ49</f>
        <v>1.45</v>
      </c>
      <c r="DN15" s="68">
        <f>Sheet2!DR49</f>
        <v>1.45</v>
      </c>
      <c r="DO15" s="68">
        <f>Sheet2!DS49</f>
        <v>1.35</v>
      </c>
      <c r="DP15" s="68">
        <v>1.3</v>
      </c>
      <c r="DQ15" s="68">
        <f>Sheet2!DV49</f>
        <v>1.3</v>
      </c>
      <c r="DR15" s="68">
        <f>Sheet2!DW49</f>
        <v>1.3</v>
      </c>
      <c r="DS15" s="68">
        <v>1.3</v>
      </c>
      <c r="DT15" s="68">
        <f>Sheet2!DZ49</f>
        <v>1.3</v>
      </c>
      <c r="DU15" s="68">
        <f>Sheet2!EA49</f>
        <v>1.25</v>
      </c>
      <c r="DV15" s="68">
        <f>Sheet2!EB49</f>
        <v>1.23</v>
      </c>
      <c r="DW15" s="68">
        <f>Sheet2!EC49</f>
        <v>1.23</v>
      </c>
      <c r="DX15" s="68">
        <f>Sheet2!ED49</f>
        <v>1.3</v>
      </c>
      <c r="DY15" s="71">
        <f>Sheet2!EE49</f>
        <v>1.4</v>
      </c>
      <c r="DZ15" s="68">
        <f>Sheet2!EF49</f>
        <v>1.45</v>
      </c>
      <c r="EA15" s="68">
        <f>Sheet2!EG49</f>
        <v>1.55</v>
      </c>
      <c r="EB15" s="68">
        <f>Sheet2!EH49</f>
        <v>1.55</v>
      </c>
      <c r="EC15" s="68">
        <f>Sheet2!EI49</f>
        <v>1.55</v>
      </c>
      <c r="ED15" s="68">
        <f>Sheet2!EJ49</f>
        <v>1.55</v>
      </c>
      <c r="EE15" s="68">
        <f>Sheet2!EK49</f>
        <v>1.6</v>
      </c>
      <c r="EF15" s="68">
        <f>Sheet2!EL49</f>
        <v>1.6</v>
      </c>
      <c r="EG15" s="68">
        <f>Sheet2!EM49</f>
        <v>1.65</v>
      </c>
      <c r="EH15" s="68">
        <f>Sheet2!EN49</f>
        <v>1.7</v>
      </c>
      <c r="EI15" s="68">
        <f>Sheet2!EO49</f>
        <v>1.7</v>
      </c>
      <c r="EJ15" s="68">
        <f>Sheet2!EP49</f>
        <v>1.7</v>
      </c>
      <c r="EK15" s="68">
        <f>Sheet2!EQ49</f>
        <v>1.7</v>
      </c>
      <c r="EL15" s="68">
        <f>Sheet2!ER49</f>
        <v>1.7</v>
      </c>
      <c r="EM15" s="68">
        <f>Sheet2!ES49</f>
        <v>1.7</v>
      </c>
      <c r="EN15" s="68">
        <f>Sheet2!ET49</f>
        <v>1.65</v>
      </c>
      <c r="EO15" s="68">
        <f>Sheet2!EU49</f>
        <v>1.65</v>
      </c>
      <c r="EP15" s="68">
        <f>Sheet2!EV49</f>
        <v>1.65</v>
      </c>
      <c r="EQ15" s="71">
        <f>Sheet2!EW49</f>
        <v>1.55</v>
      </c>
      <c r="ER15" s="68">
        <f>Sheet2!EX49</f>
        <v>1.53</v>
      </c>
      <c r="ES15" s="68">
        <f>Sheet2!EY49</f>
        <v>1.5</v>
      </c>
      <c r="ET15" s="68">
        <f>Sheet2!EZ49</f>
        <v>1.5</v>
      </c>
      <c r="EU15" s="68">
        <f>Sheet2!FA49</f>
        <v>1.55</v>
      </c>
      <c r="EV15" s="68">
        <f>Sheet2!FB49</f>
        <v>1.55</v>
      </c>
      <c r="EW15" s="68">
        <f>Sheet2!FC49</f>
        <v>1.55</v>
      </c>
      <c r="EX15" s="68">
        <f>Sheet2!FD49</f>
        <v>1.55</v>
      </c>
      <c r="EY15" s="68">
        <f>Sheet2!FE49</f>
        <v>1.55</v>
      </c>
      <c r="EZ15" s="68">
        <f>Sheet2!FF49</f>
        <v>1.5</v>
      </c>
      <c r="FA15" s="68">
        <f>Sheet2!FG49</f>
        <v>1.48</v>
      </c>
      <c r="FB15" s="68">
        <f>Sheet2!FH49</f>
        <v>1.4</v>
      </c>
      <c r="FC15" s="68">
        <f>Sheet2!FI49</f>
        <v>1.4</v>
      </c>
      <c r="FD15" s="68">
        <f>Sheet2!FJ49</f>
        <v>1.35</v>
      </c>
      <c r="FE15" s="68">
        <f>Sheet2!FK49</f>
        <v>1.35</v>
      </c>
      <c r="FF15" s="71">
        <f>Sheet2!FL49</f>
        <v>1.3</v>
      </c>
      <c r="FG15" s="68">
        <f>Sheet2!FM49</f>
        <v>1.3</v>
      </c>
      <c r="FH15" s="68">
        <f>Sheet2!FN49</f>
        <v>1.28</v>
      </c>
      <c r="FI15" s="68">
        <f>Sheet2!FO49</f>
        <v>1.23</v>
      </c>
      <c r="FJ15" s="68">
        <f>Sheet2!FP49</f>
        <v>1.1850000000000001</v>
      </c>
      <c r="FK15" s="68">
        <f>Sheet2!FQ49</f>
        <v>1.1850000000000001</v>
      </c>
      <c r="FL15" s="68">
        <f>Sheet2!FR49</f>
        <v>1.1850000000000001</v>
      </c>
      <c r="FM15" s="68">
        <f>Sheet2!FS49</f>
        <v>1.19</v>
      </c>
      <c r="FN15" s="68">
        <f>Sheet2!FT49</f>
        <v>1.19</v>
      </c>
      <c r="FO15" s="72">
        <f>Sheet2!FU49</f>
        <v>1.19</v>
      </c>
      <c r="FP15" s="68">
        <f>Sheet2!FV49</f>
        <v>1.19</v>
      </c>
      <c r="FQ15" s="68">
        <f>Sheet2!FW49</f>
        <v>1.19</v>
      </c>
      <c r="FR15" s="68">
        <f>Sheet2!FX49</f>
        <v>1.19</v>
      </c>
      <c r="FS15" s="68">
        <f>Sheet2!FY49</f>
        <v>1.19</v>
      </c>
      <c r="FT15" s="68">
        <f>Sheet2!FZ49</f>
        <v>1.19</v>
      </c>
      <c r="FU15" s="68">
        <f>Sheet2!GA49</f>
        <v>1.18</v>
      </c>
      <c r="FV15" s="68">
        <f>Sheet2!GB49</f>
        <v>1.18</v>
      </c>
      <c r="FW15" s="68">
        <f>Sheet2!GC49</f>
        <v>1.1599999999999999</v>
      </c>
      <c r="FX15" s="68">
        <f>Sheet2!GD49</f>
        <v>1.1599999999999999</v>
      </c>
      <c r="FY15" s="68">
        <f>Sheet2!GE49</f>
        <v>1.1000000000000001</v>
      </c>
      <c r="FZ15" s="68">
        <f>Sheet2!GF49</f>
        <v>1.1000000000000001</v>
      </c>
      <c r="GA15" s="68">
        <f>Sheet2!GG49</f>
        <v>1.1000000000000001</v>
      </c>
      <c r="GB15" s="68">
        <f>Sheet2!GH49</f>
        <v>1.2</v>
      </c>
      <c r="GC15" s="68">
        <f>Sheet2!GI49</f>
        <v>1.25</v>
      </c>
      <c r="GD15" s="68">
        <f>Sheet2!GJ49</f>
        <v>1.2</v>
      </c>
      <c r="GE15" s="73">
        <f>Sheet2!GK49</f>
        <v>1.2</v>
      </c>
      <c r="GF15" s="73">
        <f>Sheet2!GL49</f>
        <v>1.1499999999999999</v>
      </c>
      <c r="GG15" s="63">
        <f t="shared" si="0"/>
        <v>-4.1666666666666714</v>
      </c>
      <c r="GH15" s="64">
        <f t="shared" si="1"/>
        <v>6.6666666666666821</v>
      </c>
      <c r="GI15" s="65">
        <f t="shared" si="2"/>
        <v>-25.806451612903231</v>
      </c>
    </row>
    <row r="16" spans="1:206" ht="15.75">
      <c r="A16" t="s">
        <v>208</v>
      </c>
      <c r="B16" s="52" t="s">
        <v>39</v>
      </c>
      <c r="C16" s="52" t="s">
        <v>39</v>
      </c>
      <c r="D16" s="52" t="s">
        <v>39</v>
      </c>
      <c r="E16" s="52" t="s">
        <v>39</v>
      </c>
      <c r="F16" s="52">
        <v>6.52</v>
      </c>
      <c r="G16" s="52">
        <v>6.52</v>
      </c>
      <c r="H16" s="52">
        <v>6.52</v>
      </c>
      <c r="I16" s="52">
        <v>6.52</v>
      </c>
      <c r="J16" s="52">
        <v>6.52</v>
      </c>
      <c r="K16" s="52">
        <v>6.52</v>
      </c>
      <c r="L16" s="52">
        <v>6.52</v>
      </c>
      <c r="M16" s="52">
        <v>6.52</v>
      </c>
      <c r="N16" s="52">
        <v>6.52</v>
      </c>
      <c r="O16" s="52">
        <v>6.52</v>
      </c>
      <c r="P16" s="52">
        <v>6.52</v>
      </c>
      <c r="Q16" s="52">
        <v>6.52</v>
      </c>
      <c r="R16" s="52">
        <v>5.95</v>
      </c>
      <c r="S16" s="52">
        <v>5.8</v>
      </c>
      <c r="T16" s="52">
        <v>5</v>
      </c>
      <c r="U16" s="52">
        <v>4.9000000000000004</v>
      </c>
      <c r="V16" s="52">
        <v>4.5</v>
      </c>
      <c r="W16" s="52">
        <v>4.1500000000000004</v>
      </c>
      <c r="X16" s="52">
        <v>3.5</v>
      </c>
      <c r="Y16" s="52">
        <v>3.5</v>
      </c>
      <c r="Z16" s="52">
        <v>3.5</v>
      </c>
      <c r="AA16" s="52">
        <v>3.5</v>
      </c>
      <c r="AB16" s="52">
        <v>2.9</v>
      </c>
      <c r="AC16" s="52">
        <v>2.9</v>
      </c>
      <c r="AD16" s="52">
        <v>2.9</v>
      </c>
      <c r="AE16" s="52">
        <v>3.01</v>
      </c>
      <c r="AF16" s="52">
        <v>3.01</v>
      </c>
      <c r="AG16" s="52">
        <v>3.2</v>
      </c>
      <c r="AH16" s="52">
        <v>3.26</v>
      </c>
      <c r="AI16" s="52">
        <v>3.26</v>
      </c>
      <c r="AJ16" s="52">
        <v>3.26</v>
      </c>
      <c r="AK16" s="52">
        <v>3.26</v>
      </c>
      <c r="AL16" s="52">
        <v>3.26</v>
      </c>
      <c r="AM16" s="52">
        <v>3.2</v>
      </c>
      <c r="AN16" s="52">
        <v>3.05</v>
      </c>
      <c r="AO16" s="52">
        <v>2.9</v>
      </c>
      <c r="AP16" s="52">
        <v>2.7</v>
      </c>
      <c r="AQ16" s="52">
        <v>2.5499999999999998</v>
      </c>
      <c r="AR16" s="52">
        <v>2.5499999999999998</v>
      </c>
      <c r="AS16" s="52">
        <v>2.5499999999999998</v>
      </c>
      <c r="AT16" s="52">
        <v>2.5499999999999998</v>
      </c>
      <c r="AU16" s="52">
        <v>2.5499999999999998</v>
      </c>
      <c r="AV16" s="52">
        <v>2.5499999999999998</v>
      </c>
      <c r="AW16" s="52">
        <v>2.5499999999999998</v>
      </c>
      <c r="AX16" s="52">
        <v>2.4</v>
      </c>
      <c r="AY16" s="57">
        <f>Sheet2!BB48</f>
        <v>2.2999999999999998</v>
      </c>
      <c r="AZ16" s="58">
        <f>Sheet2!BC48</f>
        <v>2.2999999999999998</v>
      </c>
      <c r="BA16" s="58">
        <f>Sheet2!BD48</f>
        <v>2.2999999999999998</v>
      </c>
      <c r="BB16" s="58">
        <f>Sheet2!BE48</f>
        <v>2.2999999999999998</v>
      </c>
      <c r="BC16" s="58">
        <f>Sheet2!BF48</f>
        <v>2.2000000000000002</v>
      </c>
      <c r="BD16" s="58">
        <f>Sheet2!BG48</f>
        <v>2.15</v>
      </c>
      <c r="BE16" s="58">
        <f>Sheet2!BH48</f>
        <v>2.15</v>
      </c>
      <c r="BF16" s="58">
        <f>Sheet2!BI48</f>
        <v>2.15</v>
      </c>
      <c r="BG16" s="58">
        <f>Sheet2!BJ48</f>
        <v>2.15</v>
      </c>
      <c r="BH16" s="58">
        <f>Sheet2!BK48</f>
        <v>2.08</v>
      </c>
      <c r="BI16" s="58">
        <f>Sheet2!BL48</f>
        <v>1.98</v>
      </c>
      <c r="BJ16" s="58">
        <f>Sheet2!BM48</f>
        <v>1.85</v>
      </c>
      <c r="BK16" s="58">
        <f>Sheet2!BN48</f>
        <v>1.7</v>
      </c>
      <c r="BL16" s="58">
        <f>Sheet2!BO48</f>
        <v>1.6</v>
      </c>
      <c r="BM16" s="58">
        <f>Sheet2!BP48</f>
        <v>1.55</v>
      </c>
      <c r="BN16" s="58">
        <f>Sheet2!BQ48</f>
        <v>1.55</v>
      </c>
      <c r="BO16" s="58">
        <f>Sheet2!BR48</f>
        <v>1.53</v>
      </c>
      <c r="BP16" s="58">
        <f>Sheet2!BS48</f>
        <v>1.48</v>
      </c>
      <c r="BQ16" s="58">
        <f>Sheet2!BT48</f>
        <v>1.25</v>
      </c>
      <c r="BR16" s="58">
        <f>Sheet2!BU48</f>
        <v>1.1499999999999999</v>
      </c>
      <c r="BS16" s="58">
        <f>Sheet2!BV48</f>
        <v>1.1499999999999999</v>
      </c>
      <c r="BT16" s="58">
        <f>Sheet2!BW48</f>
        <v>1.1499999999999999</v>
      </c>
      <c r="BU16" s="58">
        <f>Sheet2!BX48</f>
        <v>1.1499999999999999</v>
      </c>
      <c r="BV16" s="58">
        <f>Sheet2!BY48</f>
        <v>1.1499999999999999</v>
      </c>
      <c r="BW16" s="58">
        <f>Sheet2!BZ48</f>
        <v>1.1499999999999999</v>
      </c>
      <c r="BX16" s="58">
        <f>Sheet2!CA48</f>
        <v>1.1499999999999999</v>
      </c>
      <c r="BY16" s="58">
        <f>Sheet2!CB48</f>
        <v>1.1499999999999999</v>
      </c>
      <c r="BZ16" s="58">
        <f>Sheet2!CC48</f>
        <v>1.1499999999999999</v>
      </c>
      <c r="CA16" s="58">
        <f>Sheet2!CD48</f>
        <v>1.1499999999999999</v>
      </c>
      <c r="CB16" s="58">
        <f>Sheet2!CE48</f>
        <v>1.1499999999999999</v>
      </c>
      <c r="CC16" s="58">
        <f>Sheet2!CF48</f>
        <v>1.1499999999999999</v>
      </c>
      <c r="CD16" s="58">
        <f>Sheet2!CG48</f>
        <v>1.1499999999999999</v>
      </c>
      <c r="CE16" s="58">
        <f>Sheet2!CH48</f>
        <v>1.1499999999999999</v>
      </c>
      <c r="CF16" s="58">
        <f>Sheet2!CI48</f>
        <v>1.1499999999999999</v>
      </c>
      <c r="CG16" s="58">
        <f>Sheet2!CJ48</f>
        <v>1.1499999999999999</v>
      </c>
      <c r="CH16" s="58">
        <f>Sheet2!CK48</f>
        <v>1.08</v>
      </c>
      <c r="CI16" s="58">
        <f>Sheet2!CL48</f>
        <v>1.08</v>
      </c>
      <c r="CJ16" s="58">
        <f>Sheet2!CM48</f>
        <v>1.08</v>
      </c>
      <c r="CK16" s="58">
        <f>Sheet2!CN48</f>
        <v>1.1200000000000001</v>
      </c>
      <c r="CL16" s="58">
        <f>Sheet2!CO48</f>
        <v>1.1200000000000001</v>
      </c>
      <c r="CM16" s="58">
        <f>Sheet2!CP48</f>
        <v>1.06</v>
      </c>
      <c r="CN16" s="58">
        <f>Sheet2!CQ48</f>
        <v>1.06</v>
      </c>
      <c r="CO16" s="58">
        <f>Sheet2!CR48</f>
        <v>1.06</v>
      </c>
      <c r="CP16" s="58">
        <f>Sheet2!CS48</f>
        <v>1.03</v>
      </c>
      <c r="CQ16" s="59">
        <f>Sheet2!CT48</f>
        <v>1.02</v>
      </c>
      <c r="CR16" s="58">
        <f>Sheet2!CU48</f>
        <v>1.02</v>
      </c>
      <c r="CS16" s="58">
        <f>Sheet2!CV48</f>
        <v>1.02</v>
      </c>
      <c r="CT16" s="58">
        <f>Sheet2!CW48</f>
        <v>1.02</v>
      </c>
      <c r="CU16" s="58">
        <f>Sheet2!CX48</f>
        <v>1.02</v>
      </c>
      <c r="CV16" s="58">
        <f>Sheet2!CY48</f>
        <v>1.05</v>
      </c>
      <c r="CW16" s="58">
        <f>Sheet2!CZ48</f>
        <v>1.08</v>
      </c>
      <c r="CX16" s="58">
        <f>Sheet2!DA48</f>
        <v>1.08</v>
      </c>
      <c r="CY16" s="58">
        <f>Sheet2!DB48</f>
        <v>1.18</v>
      </c>
      <c r="CZ16" s="58">
        <f>Sheet2!DC48</f>
        <v>1.18</v>
      </c>
      <c r="DA16" s="58">
        <f>Sheet2!DD48</f>
        <v>1.18</v>
      </c>
      <c r="DB16" s="58">
        <f>Sheet2!DE48</f>
        <v>1.18</v>
      </c>
      <c r="DC16" s="58">
        <f>Sheet2!DF48</f>
        <v>1.18</v>
      </c>
      <c r="DD16" s="58">
        <f>Sheet2!DG48</f>
        <v>1.18</v>
      </c>
      <c r="DE16" s="58">
        <f>Sheet2!DH48</f>
        <v>1.18</v>
      </c>
      <c r="DF16" s="68">
        <f>Sheet2!DI48</f>
        <v>1.18</v>
      </c>
      <c r="DG16" s="68">
        <f>Sheet2!DJ48</f>
        <v>1.2</v>
      </c>
      <c r="DH16" s="68">
        <f>Sheet2!DK48</f>
        <v>1.2</v>
      </c>
      <c r="DI16" s="68">
        <v>1.23</v>
      </c>
      <c r="DJ16" s="68">
        <f>Sheet2!DN48</f>
        <v>1.28</v>
      </c>
      <c r="DK16" s="68">
        <f>Sheet2!DO48</f>
        <v>1.28</v>
      </c>
      <c r="DL16" s="68">
        <f>Sheet2!DP48</f>
        <v>1.28</v>
      </c>
      <c r="DM16" s="68">
        <f>Sheet2!DQ48</f>
        <v>1.1499999999999999</v>
      </c>
      <c r="DN16" s="68">
        <f>Sheet2!DR48</f>
        <v>1.1499999999999999</v>
      </c>
      <c r="DO16" s="68">
        <f>Sheet2!DS48</f>
        <v>1.02</v>
      </c>
      <c r="DP16" s="68">
        <v>0.98</v>
      </c>
      <c r="DQ16" s="68">
        <f>Sheet2!DV48</f>
        <v>0.98</v>
      </c>
      <c r="DR16" s="68">
        <f>Sheet2!DW48</f>
        <v>0.98</v>
      </c>
      <c r="DS16" s="68">
        <v>0.98</v>
      </c>
      <c r="DT16" s="68">
        <f>Sheet2!DZ48</f>
        <v>0.98</v>
      </c>
      <c r="DU16" s="68">
        <f>Sheet2!EA48</f>
        <v>0.9</v>
      </c>
      <c r="DV16" s="68">
        <f>Sheet2!EB48</f>
        <v>0.86</v>
      </c>
      <c r="DW16" s="68">
        <f>Sheet2!EC48</f>
        <v>0.86</v>
      </c>
      <c r="DX16" s="68">
        <f>Sheet2!ED48</f>
        <v>0.95</v>
      </c>
      <c r="DY16" s="71">
        <f>Sheet2!EE48</f>
        <v>1.05</v>
      </c>
      <c r="DZ16" s="68">
        <f>Sheet2!EF48</f>
        <v>1.1000000000000001</v>
      </c>
      <c r="EA16" s="68">
        <f>Sheet2!EG48</f>
        <v>1.2</v>
      </c>
      <c r="EB16" s="68">
        <f>Sheet2!EH48</f>
        <v>1.2</v>
      </c>
      <c r="EC16" s="68">
        <f>Sheet2!EI48</f>
        <v>1.2</v>
      </c>
      <c r="ED16" s="68">
        <f>Sheet2!EJ48</f>
        <v>1.2</v>
      </c>
      <c r="EE16" s="68">
        <f>Sheet2!EK48</f>
        <v>1.25</v>
      </c>
      <c r="EF16" s="68">
        <f>Sheet2!EL48</f>
        <v>1.25</v>
      </c>
      <c r="EG16" s="68">
        <f>Sheet2!EM48</f>
        <v>1.3</v>
      </c>
      <c r="EH16" s="68">
        <f>Sheet2!EN48</f>
        <v>1.35</v>
      </c>
      <c r="EI16" s="68">
        <f>Sheet2!EO48</f>
        <v>1.35</v>
      </c>
      <c r="EJ16" s="68">
        <f>Sheet2!EP48</f>
        <v>1.35</v>
      </c>
      <c r="EK16" s="68">
        <f>Sheet2!EQ48</f>
        <v>1.35</v>
      </c>
      <c r="EL16" s="68">
        <f>Sheet2!ER48</f>
        <v>1.35</v>
      </c>
      <c r="EM16" s="68">
        <f>Sheet2!ES48</f>
        <v>1.35</v>
      </c>
      <c r="EN16" s="68">
        <f>Sheet2!ET48</f>
        <v>1.3</v>
      </c>
      <c r="EO16" s="68">
        <f>Sheet2!EU48</f>
        <v>1.3</v>
      </c>
      <c r="EP16" s="68">
        <f>Sheet2!EV48</f>
        <v>1.3</v>
      </c>
      <c r="EQ16" s="71">
        <f>Sheet2!EW48</f>
        <v>1.2</v>
      </c>
      <c r="ER16" s="68">
        <f>Sheet2!EX48</f>
        <v>1.18</v>
      </c>
      <c r="ES16" s="68">
        <f>Sheet2!EY48</f>
        <v>1.18</v>
      </c>
      <c r="ET16" s="68">
        <f>Sheet2!EZ48</f>
        <v>1.18</v>
      </c>
      <c r="EU16" s="68">
        <f>Sheet2!FA48</f>
        <v>1.24</v>
      </c>
      <c r="EV16" s="68">
        <f>Sheet2!FB48</f>
        <v>1.24</v>
      </c>
      <c r="EW16" s="68">
        <f>Sheet2!FC48</f>
        <v>1.25</v>
      </c>
      <c r="EX16" s="68">
        <f>Sheet2!FD48</f>
        <v>1.25</v>
      </c>
      <c r="EY16" s="68">
        <f>Sheet2!FE48</f>
        <v>1.25</v>
      </c>
      <c r="EZ16" s="68">
        <f>Sheet2!FF48</f>
        <v>1.25</v>
      </c>
      <c r="FA16" s="68">
        <f>Sheet2!FG48</f>
        <v>1.2</v>
      </c>
      <c r="FB16" s="68">
        <f>Sheet2!FH48</f>
        <v>1.1200000000000001</v>
      </c>
      <c r="FC16" s="68">
        <f>Sheet2!FI48</f>
        <v>1.1200000000000001</v>
      </c>
      <c r="FD16" s="68">
        <f>Sheet2!FJ48</f>
        <v>1.05</v>
      </c>
      <c r="FE16" s="68">
        <f>Sheet2!FK48</f>
        <v>1.05</v>
      </c>
      <c r="FF16" s="71">
        <f>Sheet2!FL48</f>
        <v>1</v>
      </c>
      <c r="FG16" s="68">
        <f>Sheet2!FM48</f>
        <v>0.98</v>
      </c>
      <c r="FH16" s="68">
        <f>Sheet2!FN48</f>
        <v>0.96</v>
      </c>
      <c r="FI16" s="68">
        <f>Sheet2!FO48</f>
        <v>0.92</v>
      </c>
      <c r="FJ16" s="68">
        <f>Sheet2!FP48</f>
        <v>0.9</v>
      </c>
      <c r="FK16" s="68">
        <f>Sheet2!FQ48</f>
        <v>0.9</v>
      </c>
      <c r="FL16" s="68">
        <f>Sheet2!FR48</f>
        <v>0.9</v>
      </c>
      <c r="FM16" s="68">
        <f>Sheet2!FS48</f>
        <v>0.9</v>
      </c>
      <c r="FN16" s="68">
        <f>Sheet2!FT48</f>
        <v>0.9</v>
      </c>
      <c r="FO16" s="72">
        <f>Sheet2!FU48</f>
        <v>0.9</v>
      </c>
      <c r="FP16" s="68">
        <f>Sheet2!FV48</f>
        <v>0.9</v>
      </c>
      <c r="FQ16" s="68">
        <f>Sheet2!FW48</f>
        <v>0.9</v>
      </c>
      <c r="FR16" s="68">
        <f>Sheet2!FX48</f>
        <v>0.9</v>
      </c>
      <c r="FS16" s="68">
        <f>Sheet2!FY48</f>
        <v>0.9</v>
      </c>
      <c r="FT16" s="68">
        <f>Sheet2!FZ48</f>
        <v>0.9</v>
      </c>
      <c r="FU16" s="68">
        <f>Sheet2!GA48</f>
        <v>0.9</v>
      </c>
      <c r="FV16" s="68">
        <f>Sheet2!GB48</f>
        <v>0.9</v>
      </c>
      <c r="FW16" s="68">
        <f>Sheet2!GC48</f>
        <v>0.87</v>
      </c>
      <c r="FX16" s="68">
        <f>Sheet2!GD48</f>
        <v>0.87</v>
      </c>
      <c r="FY16" s="68">
        <f>Sheet2!GE48</f>
        <v>0.8</v>
      </c>
      <c r="FZ16" s="68">
        <f>Sheet2!GF48</f>
        <v>0.8</v>
      </c>
      <c r="GA16" s="68">
        <f>Sheet2!GG48</f>
        <v>0.8</v>
      </c>
      <c r="GB16" s="68">
        <f>Sheet2!GH48</f>
        <v>0.9</v>
      </c>
      <c r="GC16" s="68">
        <f>Sheet2!GI48</f>
        <v>1.1200000000000001</v>
      </c>
      <c r="GD16" s="68">
        <f>Sheet2!GJ48</f>
        <v>1.1000000000000001</v>
      </c>
      <c r="GE16" s="73">
        <f>Sheet2!GK48</f>
        <v>1.08</v>
      </c>
      <c r="GF16" s="73">
        <f>Sheet2!GL48</f>
        <v>1.02</v>
      </c>
      <c r="GG16" s="63">
        <f t="shared" si="0"/>
        <v>-5.5555555555555571</v>
      </c>
      <c r="GH16" s="64">
        <f t="shared" si="1"/>
        <v>30.909090909090907</v>
      </c>
      <c r="GI16" s="65">
        <f t="shared" si="2"/>
        <v>-18.400000000000006</v>
      </c>
    </row>
    <row r="17" spans="1:198" ht="15.75">
      <c r="A17" t="s">
        <v>209</v>
      </c>
      <c r="B17" s="52"/>
      <c r="C17" s="52"/>
      <c r="D17" s="52"/>
      <c r="E17" s="52"/>
      <c r="F17" s="52"/>
      <c r="G17" s="52"/>
      <c r="H17" s="52"/>
      <c r="I17" s="52"/>
      <c r="J17" s="52"/>
      <c r="K17" s="52"/>
      <c r="L17" s="52"/>
      <c r="M17" s="52"/>
      <c r="N17" s="52"/>
      <c r="O17" s="52"/>
      <c r="P17" s="52"/>
      <c r="Q17" s="52"/>
      <c r="R17" s="52"/>
      <c r="S17" s="52"/>
      <c r="T17" s="52"/>
      <c r="U17" s="52"/>
      <c r="V17" s="52"/>
      <c r="W17" s="52"/>
      <c r="X17" s="52"/>
      <c r="Y17" s="52"/>
      <c r="Z17" s="52"/>
      <c r="AA17" s="52"/>
      <c r="AB17" s="52"/>
      <c r="AC17" s="52"/>
      <c r="AD17" s="52"/>
      <c r="AE17" s="52"/>
      <c r="AF17" s="52"/>
      <c r="AG17" s="52"/>
      <c r="AH17" s="52"/>
      <c r="AI17" s="52"/>
      <c r="AJ17" s="52"/>
      <c r="AK17" s="52"/>
      <c r="AL17" s="52"/>
      <c r="AM17" s="52"/>
      <c r="AN17" s="52"/>
      <c r="AO17" s="52"/>
      <c r="AP17" s="52"/>
      <c r="AQ17" s="52"/>
      <c r="AR17" s="52"/>
      <c r="AS17" s="52"/>
      <c r="AT17" s="52"/>
      <c r="AU17" s="52"/>
      <c r="AV17" s="52"/>
      <c r="AW17" s="52"/>
      <c r="AX17" s="52"/>
      <c r="AY17" s="57"/>
      <c r="AZ17" s="58"/>
      <c r="BA17" s="58"/>
      <c r="BB17" s="58"/>
      <c r="BC17" s="58"/>
      <c r="BD17" s="58"/>
      <c r="BE17" s="58"/>
      <c r="BF17" s="58"/>
      <c r="BG17" s="58"/>
      <c r="BH17" s="58"/>
      <c r="BI17" s="58"/>
      <c r="BJ17" s="58"/>
      <c r="BK17" s="58"/>
      <c r="BL17" s="58"/>
      <c r="BM17" s="58"/>
      <c r="BN17" s="58"/>
      <c r="BO17" s="58"/>
      <c r="BP17" s="58"/>
      <c r="BQ17" s="58"/>
      <c r="BR17" s="58"/>
      <c r="BS17" s="58"/>
      <c r="BT17" s="58"/>
      <c r="BU17" s="58"/>
      <c r="BV17" s="58"/>
      <c r="BW17" s="58"/>
      <c r="BX17" s="58"/>
      <c r="BY17" s="58"/>
      <c r="BZ17" s="58"/>
      <c r="CA17" s="58"/>
      <c r="CB17" s="58"/>
      <c r="CC17" s="58"/>
      <c r="CD17" s="58"/>
      <c r="CE17" s="58"/>
      <c r="CF17" s="58"/>
      <c r="CG17" s="58"/>
      <c r="CH17" s="58"/>
      <c r="CI17" s="58">
        <f>Sheet2!CL54</f>
        <v>1.3</v>
      </c>
      <c r="CJ17" s="58">
        <f>Sheet2!CM54</f>
        <v>1.25</v>
      </c>
      <c r="CK17" s="58">
        <f>Sheet2!CN54</f>
        <v>1.3</v>
      </c>
      <c r="CL17" s="58">
        <f>Sheet2!CO54</f>
        <v>1.3</v>
      </c>
      <c r="CM17" s="58">
        <f>Sheet2!CP54</f>
        <v>1.25</v>
      </c>
      <c r="CN17" s="58">
        <f>Sheet2!CQ54</f>
        <v>1.25</v>
      </c>
      <c r="CO17" s="58">
        <f>Sheet2!CR54</f>
        <v>1.25</v>
      </c>
      <c r="CP17" s="58">
        <f>Sheet2!CS54</f>
        <v>1.2</v>
      </c>
      <c r="CQ17" s="59">
        <f>Sheet2!CT54</f>
        <v>1.2</v>
      </c>
      <c r="CR17" s="58">
        <f>Sheet2!CU54</f>
        <v>1.2</v>
      </c>
      <c r="CS17" s="58">
        <f>Sheet2!CV54</f>
        <v>1.2</v>
      </c>
      <c r="CT17" s="58">
        <f>Sheet2!CW54</f>
        <v>1.2</v>
      </c>
      <c r="CU17" s="58">
        <f>Sheet2!CX54</f>
        <v>1.2</v>
      </c>
      <c r="CV17" s="57">
        <f>Sheet2!CY54</f>
        <v>1.1499999999999999</v>
      </c>
      <c r="CW17" s="58">
        <f>Sheet2!CZ54</f>
        <v>1.2</v>
      </c>
      <c r="CX17" s="58">
        <f>Sheet2!DA54</f>
        <v>1.25</v>
      </c>
      <c r="CY17" s="58">
        <f>Sheet2!DB54</f>
        <v>1.33</v>
      </c>
      <c r="CZ17" s="58">
        <f>Sheet2!DC54</f>
        <v>1.33</v>
      </c>
      <c r="DA17" s="58">
        <f>Sheet2!DD54</f>
        <v>1.33</v>
      </c>
      <c r="DB17" s="58">
        <f>Sheet2!DE54</f>
        <v>1.33</v>
      </c>
      <c r="DC17" s="58">
        <f>Sheet2!DF54</f>
        <v>1.33</v>
      </c>
      <c r="DD17" s="58">
        <f>Sheet2!DG54</f>
        <v>1.3</v>
      </c>
      <c r="DE17" s="58">
        <f>Sheet2!DH54</f>
        <v>1.3</v>
      </c>
      <c r="DF17" s="68">
        <f>Sheet2!DI54</f>
        <v>1.35</v>
      </c>
      <c r="DG17" s="68">
        <f>Sheet2!DJ54</f>
        <v>1.4</v>
      </c>
      <c r="DH17" s="68">
        <f>Sheet2!DK54</f>
        <v>1.4</v>
      </c>
      <c r="DI17" s="68">
        <v>1.45</v>
      </c>
      <c r="DJ17" s="68">
        <f>Sheet2!DN54</f>
        <v>1.55</v>
      </c>
      <c r="DK17" s="68">
        <f>Sheet2!DO54</f>
        <v>1.53</v>
      </c>
      <c r="DL17" s="68">
        <f>Sheet2!DP54</f>
        <v>1.5</v>
      </c>
      <c r="DM17" s="68">
        <f>Sheet2!DQ54</f>
        <v>1.3</v>
      </c>
      <c r="DN17" s="68">
        <f>Sheet2!DR54</f>
        <v>1.3</v>
      </c>
      <c r="DO17" s="68">
        <f>Sheet2!DS54</f>
        <v>1.1499999999999999</v>
      </c>
      <c r="DP17" s="68">
        <v>1.1000000000000001</v>
      </c>
      <c r="DQ17" s="68">
        <f>Sheet2!DV54</f>
        <v>1.0900000000000001</v>
      </c>
      <c r="DR17" s="68">
        <f>Sheet2!DW54</f>
        <v>1.08</v>
      </c>
      <c r="DS17" s="68">
        <v>1.08</v>
      </c>
      <c r="DT17" s="68">
        <f>Sheet2!DZ54</f>
        <v>1.08</v>
      </c>
      <c r="DU17" s="68">
        <f>Sheet2!EA54</f>
        <v>1.03</v>
      </c>
      <c r="DV17" s="68">
        <f>Sheet2!EB54</f>
        <v>1.0249999999999999</v>
      </c>
      <c r="DW17" s="68">
        <f>Sheet2!EC54</f>
        <v>1.0249999999999999</v>
      </c>
      <c r="DX17" s="68">
        <f>Sheet2!ED54</f>
        <v>1.1000000000000001</v>
      </c>
      <c r="DY17" s="71">
        <f>Sheet2!EE54</f>
        <v>1.2</v>
      </c>
      <c r="DZ17" s="68">
        <f>Sheet2!EF54</f>
        <v>1.25</v>
      </c>
      <c r="EA17" s="68">
        <f>Sheet2!EG54</f>
        <v>1.35</v>
      </c>
      <c r="EB17" s="68">
        <f>Sheet2!EH54</f>
        <v>1.35</v>
      </c>
      <c r="EC17" s="68">
        <f>Sheet2!EI54</f>
        <v>1.35</v>
      </c>
      <c r="ED17" s="68">
        <f>Sheet2!EJ54</f>
        <v>1.35</v>
      </c>
      <c r="EE17" s="68">
        <f>Sheet2!EK54</f>
        <v>1.4</v>
      </c>
      <c r="EF17" s="68">
        <f>Sheet2!EL54</f>
        <v>1.4</v>
      </c>
      <c r="EG17" s="68">
        <f>Sheet2!EM54</f>
        <v>1.4</v>
      </c>
      <c r="EH17" s="68">
        <f>Sheet2!EN54</f>
        <v>1.4</v>
      </c>
      <c r="EI17" s="68">
        <f>Sheet2!EO54</f>
        <v>1.4</v>
      </c>
      <c r="EJ17" s="68">
        <f>Sheet2!EP54</f>
        <v>1.4</v>
      </c>
      <c r="EK17" s="68">
        <f>Sheet2!EQ54</f>
        <v>1.4</v>
      </c>
      <c r="EL17" s="68">
        <f>Sheet2!ER54</f>
        <v>1.4</v>
      </c>
      <c r="EM17" s="68">
        <f>Sheet2!ES54</f>
        <v>1.4</v>
      </c>
      <c r="EN17" s="68">
        <f>Sheet2!ET54</f>
        <v>1.33</v>
      </c>
      <c r="EO17" s="68">
        <f>Sheet2!EU54</f>
        <v>1.3</v>
      </c>
      <c r="EP17" s="68">
        <f>Sheet2!EV54</f>
        <v>1.3</v>
      </c>
      <c r="EQ17" s="71">
        <f>Sheet2!EW54</f>
        <v>1.25</v>
      </c>
      <c r="ER17" s="68">
        <f>Sheet2!EX54</f>
        <v>1.23</v>
      </c>
      <c r="ES17" s="68">
        <f>Sheet2!EY54</f>
        <v>1.2</v>
      </c>
      <c r="ET17" s="68">
        <f>Sheet2!EZ54</f>
        <v>1.2</v>
      </c>
      <c r="EU17" s="68">
        <f>Sheet2!FA54</f>
        <v>1.3</v>
      </c>
      <c r="EV17" s="68">
        <f>Sheet2!FB54</f>
        <v>1.3</v>
      </c>
      <c r="EW17" s="68">
        <f>Sheet2!FC54</f>
        <v>1.35</v>
      </c>
      <c r="EX17" s="68">
        <f>Sheet2!FD54</f>
        <v>1.35</v>
      </c>
      <c r="EY17" s="68">
        <f>Sheet2!FE54</f>
        <v>1.35</v>
      </c>
      <c r="EZ17" s="68">
        <f>Sheet2!FF54</f>
        <v>1.3</v>
      </c>
      <c r="FA17" s="68">
        <f>Sheet2!FG54</f>
        <v>1.28</v>
      </c>
      <c r="FB17" s="68">
        <f>Sheet2!FH54</f>
        <v>1.2</v>
      </c>
      <c r="FC17" s="68">
        <f>Sheet2!FI54</f>
        <v>1.2</v>
      </c>
      <c r="FD17" s="68">
        <f>Sheet2!FJ54</f>
        <v>1.17</v>
      </c>
      <c r="FE17" s="68">
        <f>Sheet2!FK54</f>
        <v>1.1499999999999999</v>
      </c>
      <c r="FF17" s="71">
        <f>Sheet2!FL54</f>
        <v>1.1000000000000001</v>
      </c>
      <c r="FG17" s="68">
        <f>Sheet2!FM54</f>
        <v>1.1000000000000001</v>
      </c>
      <c r="FH17" s="68">
        <f>Sheet2!FN54</f>
        <v>1.05</v>
      </c>
      <c r="FI17" s="68">
        <f>Sheet2!FO54</f>
        <v>1.02</v>
      </c>
      <c r="FJ17" s="68">
        <f>Sheet2!FP54</f>
        <v>0.99</v>
      </c>
      <c r="FK17" s="68">
        <f>Sheet2!FQ54</f>
        <v>0.99</v>
      </c>
      <c r="FL17" s="68">
        <f>Sheet2!FR54</f>
        <v>0.99</v>
      </c>
      <c r="FM17" s="68">
        <f>Sheet2!FS54</f>
        <v>0.99</v>
      </c>
      <c r="FN17" s="68">
        <f>Sheet2!FT54</f>
        <v>0.99</v>
      </c>
      <c r="FO17" s="72">
        <f>Sheet2!FU54</f>
        <v>0.99</v>
      </c>
      <c r="FP17" s="68">
        <f>Sheet2!FV54</f>
        <v>0.99</v>
      </c>
      <c r="FQ17" s="68">
        <f>Sheet2!FW54</f>
        <v>0.99</v>
      </c>
      <c r="FR17" s="68">
        <f>Sheet2!FX54</f>
        <v>0.98</v>
      </c>
      <c r="FS17" s="68">
        <f>Sheet2!FY54</f>
        <v>0.98</v>
      </c>
      <c r="FT17" s="68">
        <f>Sheet2!FZ54</f>
        <v>0.98</v>
      </c>
      <c r="FU17" s="68">
        <f>Sheet2!GA54</f>
        <v>0.98</v>
      </c>
      <c r="FV17" s="68">
        <f>Sheet2!GB54</f>
        <v>0.98</v>
      </c>
      <c r="FW17" s="68">
        <f>Sheet2!GC54</f>
        <v>0.95</v>
      </c>
      <c r="FX17" s="68">
        <f>Sheet2!GD54</f>
        <v>0.95</v>
      </c>
      <c r="FY17" s="68">
        <f>Sheet2!GE54</f>
        <v>0.9</v>
      </c>
      <c r="FZ17" s="68">
        <f>Sheet2!GF54</f>
        <v>0.9</v>
      </c>
      <c r="GA17" s="68">
        <f>Sheet2!GG54</f>
        <v>0.9</v>
      </c>
      <c r="GB17" s="68">
        <f>Sheet2!GH54</f>
        <v>1</v>
      </c>
      <c r="GC17" s="68">
        <f>Sheet2!GI54</f>
        <v>1.1499999999999999</v>
      </c>
      <c r="GD17" s="68">
        <f>Sheet2!GJ54</f>
        <v>1.1000000000000001</v>
      </c>
      <c r="GE17" s="73">
        <f>Sheet2!GK54</f>
        <v>1.08</v>
      </c>
      <c r="GF17" s="73">
        <f>Sheet2!GL54</f>
        <v>1.05</v>
      </c>
      <c r="GG17" s="63">
        <f t="shared" si="0"/>
        <v>-2.7777777777777857</v>
      </c>
      <c r="GH17" s="64">
        <f t="shared" si="1"/>
        <v>18.378378378378372</v>
      </c>
      <c r="GI17" s="65">
        <f t="shared" si="2"/>
        <v>-22.222222222222229</v>
      </c>
    </row>
    <row r="18" spans="1:198" ht="15.75">
      <c r="A18" s="44" t="s">
        <v>210</v>
      </c>
      <c r="B18" s="45"/>
      <c r="C18" s="45"/>
      <c r="D18" s="45"/>
      <c r="E18" s="45"/>
      <c r="F18" s="45"/>
      <c r="G18" s="45"/>
      <c r="H18" s="45"/>
      <c r="I18" s="45"/>
      <c r="J18" s="45"/>
      <c r="K18" s="45"/>
      <c r="L18" s="45"/>
      <c r="M18" s="45"/>
      <c r="N18" s="45"/>
      <c r="O18" s="45"/>
      <c r="P18" s="45"/>
      <c r="Q18" s="45"/>
      <c r="R18" s="45"/>
      <c r="S18" s="45"/>
      <c r="T18" s="45"/>
      <c r="U18" s="45"/>
      <c r="V18" s="45"/>
      <c r="W18" s="45"/>
      <c r="X18" s="45"/>
      <c r="Y18" s="45"/>
      <c r="Z18" s="45"/>
      <c r="AA18" s="45"/>
      <c r="AB18" s="45"/>
      <c r="AC18" s="45"/>
      <c r="AD18" s="45"/>
      <c r="AE18" s="45"/>
      <c r="AF18" s="45"/>
      <c r="AG18" s="45"/>
      <c r="AH18" s="45"/>
      <c r="AI18" s="45"/>
      <c r="AJ18" s="45"/>
      <c r="AK18" s="45"/>
      <c r="AL18" s="45"/>
      <c r="AM18" s="45"/>
      <c r="AN18" s="45"/>
      <c r="AO18" s="45"/>
      <c r="AP18" s="45"/>
      <c r="AQ18" s="45"/>
      <c r="AR18" s="45"/>
      <c r="AS18" s="45"/>
      <c r="AT18" s="45"/>
      <c r="AU18" s="45"/>
      <c r="AV18" s="45"/>
      <c r="AW18" s="45"/>
      <c r="AX18" s="45"/>
      <c r="AY18" s="52"/>
      <c r="AZ18" s="58"/>
      <c r="BA18" s="58"/>
      <c r="BB18" s="58"/>
      <c r="BC18" s="58"/>
      <c r="BD18" s="58"/>
      <c r="BE18" s="58"/>
      <c r="BF18" s="58"/>
      <c r="BG18" s="58"/>
      <c r="BH18" s="58"/>
      <c r="BI18" s="58"/>
      <c r="BJ18" s="58"/>
      <c r="BK18" s="58"/>
      <c r="BL18" s="58"/>
      <c r="BM18" s="58"/>
      <c r="BN18" s="58"/>
      <c r="BO18" s="58"/>
      <c r="BP18" s="58"/>
      <c r="BQ18" s="58"/>
      <c r="BR18" s="58"/>
      <c r="BS18" s="58"/>
      <c r="BT18" s="58"/>
      <c r="BU18" s="58"/>
      <c r="BV18" s="58"/>
      <c r="BW18" s="58"/>
      <c r="BX18" s="58"/>
      <c r="BY18" s="58"/>
      <c r="BZ18" s="58"/>
      <c r="CA18" s="58"/>
      <c r="CB18" s="58"/>
      <c r="CC18" s="58"/>
      <c r="CD18" s="58"/>
      <c r="CE18" s="58"/>
      <c r="CF18" s="58"/>
      <c r="CG18" s="58"/>
      <c r="CH18" s="58"/>
      <c r="CI18" s="58"/>
      <c r="CJ18" s="58"/>
      <c r="CK18" s="58"/>
      <c r="CL18" s="58"/>
      <c r="CM18" s="58"/>
      <c r="CN18" s="58"/>
      <c r="CO18" s="58"/>
      <c r="CP18" s="58"/>
      <c r="CQ18" s="59"/>
      <c r="CR18" s="58"/>
      <c r="CS18" s="58"/>
      <c r="CT18" s="58"/>
      <c r="CU18" s="58"/>
      <c r="CV18" s="58"/>
      <c r="CW18" s="58"/>
      <c r="CX18" s="57"/>
      <c r="CY18" s="57"/>
      <c r="CZ18" s="57"/>
      <c r="DA18" s="57"/>
      <c r="DB18" s="57"/>
      <c r="DC18" s="57"/>
      <c r="DD18" s="57"/>
      <c r="DE18" s="57"/>
      <c r="DF18" s="68"/>
      <c r="DG18" s="57"/>
      <c r="DH18" s="57"/>
      <c r="DI18" s="57"/>
      <c r="DJ18" s="57"/>
      <c r="DK18" s="57"/>
      <c r="DL18" s="57"/>
      <c r="DM18" s="57"/>
      <c r="DN18" s="57"/>
      <c r="DO18" s="57"/>
      <c r="DP18" s="57"/>
      <c r="DQ18" s="57"/>
      <c r="DR18" s="57"/>
      <c r="DS18" s="57"/>
      <c r="DT18" s="57"/>
      <c r="DU18" s="57"/>
      <c r="DV18" s="57"/>
      <c r="DW18" s="57"/>
      <c r="DX18" s="66"/>
      <c r="DY18" s="69"/>
      <c r="DZ18" s="66"/>
      <c r="EA18" s="66"/>
      <c r="EB18" s="66"/>
      <c r="EC18" s="66"/>
      <c r="ED18" s="66"/>
      <c r="EE18" s="66"/>
      <c r="EF18" s="66"/>
      <c r="EG18" s="66"/>
      <c r="EH18" s="66"/>
      <c r="EI18" s="66"/>
      <c r="EJ18" s="66"/>
      <c r="EK18" s="66"/>
      <c r="EL18" s="66"/>
      <c r="EM18" s="66"/>
      <c r="EN18" s="66"/>
      <c r="EO18" s="66"/>
      <c r="EP18" s="66"/>
      <c r="EQ18" s="69"/>
      <c r="ER18" s="66"/>
      <c r="ES18" s="66"/>
      <c r="ET18" s="66"/>
      <c r="EU18" s="66"/>
      <c r="EV18" s="66"/>
      <c r="EW18" s="66"/>
      <c r="EX18" s="66"/>
      <c r="EY18" s="70"/>
      <c r="EZ18" s="70"/>
      <c r="FA18" s="66"/>
      <c r="FB18" s="66"/>
      <c r="FC18" s="66"/>
      <c r="FD18" s="66"/>
      <c r="FE18" s="66"/>
      <c r="FF18" s="69"/>
      <c r="FG18" s="66"/>
      <c r="FH18" s="66"/>
      <c r="FI18" s="66"/>
      <c r="FJ18" s="66"/>
      <c r="FK18" s="66"/>
      <c r="FL18" s="66"/>
      <c r="FM18" s="66"/>
      <c r="FN18" s="66"/>
      <c r="FO18" s="67"/>
      <c r="FP18" s="66"/>
      <c r="FQ18" s="66"/>
      <c r="FR18" s="66"/>
      <c r="FS18" s="66"/>
      <c r="FT18" s="66"/>
      <c r="FU18" s="66"/>
      <c r="FV18" s="66"/>
      <c r="FW18" s="66"/>
      <c r="FX18" s="66"/>
      <c r="FY18" s="66"/>
      <c r="FZ18" s="66"/>
      <c r="GA18" s="66"/>
      <c r="GB18" s="66"/>
      <c r="GC18" s="66"/>
      <c r="GD18" s="66"/>
      <c r="GE18" s="63"/>
      <c r="GF18" s="63"/>
      <c r="GG18" s="63"/>
      <c r="GH18" s="64"/>
      <c r="GI18" s="65"/>
    </row>
    <row r="19" spans="1:198" ht="15.75">
      <c r="A19" t="s">
        <v>211</v>
      </c>
      <c r="B19" s="52">
        <v>0.8</v>
      </c>
      <c r="C19" s="52">
        <v>0.83</v>
      </c>
      <c r="D19" s="52">
        <v>0.92</v>
      </c>
      <c r="E19" s="52">
        <v>0.97</v>
      </c>
      <c r="F19" s="52">
        <v>1.1399999999999999</v>
      </c>
      <c r="G19" s="52">
        <v>1.1399999999999999</v>
      </c>
      <c r="H19" s="52">
        <v>1.1299999999999999</v>
      </c>
      <c r="I19" s="52">
        <v>1.0900000000000001</v>
      </c>
      <c r="J19" s="52">
        <v>1.0900000000000001</v>
      </c>
      <c r="K19" s="52">
        <v>1.1000000000000001</v>
      </c>
      <c r="L19" s="52">
        <v>1.0900000000000001</v>
      </c>
      <c r="M19" s="52">
        <v>1.1000000000000001</v>
      </c>
      <c r="N19" s="52">
        <v>1.1000000000000001</v>
      </c>
      <c r="O19" s="52">
        <v>1.1000000000000001</v>
      </c>
      <c r="P19" s="52">
        <v>1.1000000000000001</v>
      </c>
      <c r="Q19" s="52">
        <v>1.1000000000000001</v>
      </c>
      <c r="R19" s="52">
        <v>1.0900000000000001</v>
      </c>
      <c r="S19" s="52">
        <v>1.04</v>
      </c>
      <c r="T19" s="52">
        <v>1</v>
      </c>
      <c r="U19" s="52">
        <v>0.96</v>
      </c>
      <c r="V19" s="52">
        <v>0.88</v>
      </c>
      <c r="W19" s="52">
        <v>0.86</v>
      </c>
      <c r="X19" s="52">
        <v>0.79</v>
      </c>
      <c r="Y19" s="52">
        <v>0.72</v>
      </c>
      <c r="Z19" s="52">
        <v>0.71</v>
      </c>
      <c r="AA19" s="52">
        <v>0.71499999999999997</v>
      </c>
      <c r="AB19" s="52">
        <v>0.73</v>
      </c>
      <c r="AC19" s="52">
        <v>0.73499999999999999</v>
      </c>
      <c r="AD19" s="52">
        <v>0.745</v>
      </c>
      <c r="AE19" s="52">
        <v>0.75</v>
      </c>
      <c r="AF19" s="52">
        <v>0.755</v>
      </c>
      <c r="AG19" s="52">
        <v>0.76</v>
      </c>
      <c r="AH19" s="52">
        <v>0.76</v>
      </c>
      <c r="AI19" s="52">
        <v>0.76</v>
      </c>
      <c r="AJ19" s="52">
        <v>0.76</v>
      </c>
      <c r="AK19" s="52">
        <v>0.75</v>
      </c>
      <c r="AL19" s="52">
        <v>0.71</v>
      </c>
      <c r="AM19" s="52">
        <v>0.65</v>
      </c>
      <c r="AN19" s="52">
        <v>0.61</v>
      </c>
      <c r="AO19" s="52">
        <v>0.55000000000000004</v>
      </c>
      <c r="AP19" s="52">
        <v>0.51</v>
      </c>
      <c r="AQ19" s="52">
        <v>0.48</v>
      </c>
      <c r="AR19" s="52">
        <v>0.46</v>
      </c>
      <c r="AS19" s="52">
        <v>0.46</v>
      </c>
      <c r="AT19" s="52">
        <v>0.46</v>
      </c>
      <c r="AU19" s="52">
        <v>0.45</v>
      </c>
      <c r="AV19" s="52">
        <v>0.43</v>
      </c>
      <c r="AW19" s="52">
        <v>0.42499999999999999</v>
      </c>
      <c r="AX19" s="52">
        <v>0.39</v>
      </c>
      <c r="AY19" s="57">
        <f>Sheet2!BB29</f>
        <v>0.36</v>
      </c>
      <c r="AZ19" s="58">
        <f>Sheet2!BC29</f>
        <v>0.36</v>
      </c>
      <c r="BA19" s="58">
        <f>Sheet2!BD29</f>
        <v>0.39</v>
      </c>
      <c r="BB19" s="58">
        <f>Sheet2!BE29</f>
        <v>0.39</v>
      </c>
      <c r="BC19" s="58">
        <f>Sheet2!BF29</f>
        <v>0.39</v>
      </c>
      <c r="BD19" s="58">
        <f>Sheet2!BG29</f>
        <v>0.39</v>
      </c>
      <c r="BE19" s="58">
        <f>Sheet2!BH29</f>
        <v>0.39</v>
      </c>
      <c r="BF19" s="58">
        <f>Sheet2!BI29</f>
        <v>0.39</v>
      </c>
      <c r="BG19" s="58">
        <f>Sheet2!BJ29</f>
        <v>0.39</v>
      </c>
      <c r="BH19" s="58">
        <f>Sheet2!BK29</f>
        <v>0.38</v>
      </c>
      <c r="BI19" s="58">
        <f>Sheet2!BL29</f>
        <v>0.38</v>
      </c>
      <c r="BJ19" s="58">
        <f>Sheet2!BM29</f>
        <v>0.38</v>
      </c>
      <c r="BK19" s="58">
        <f>Sheet2!BN29</f>
        <v>0.375</v>
      </c>
      <c r="BL19" s="58">
        <f>Sheet2!BO29</f>
        <v>0.375</v>
      </c>
      <c r="BM19" s="58">
        <f>Sheet2!BP29</f>
        <v>0.35</v>
      </c>
      <c r="BN19" s="58">
        <f>Sheet2!BQ29</f>
        <v>0.35</v>
      </c>
      <c r="BO19" s="58">
        <f>Sheet2!BR29</f>
        <v>0.34</v>
      </c>
      <c r="BP19" s="58">
        <f>Sheet2!BS29</f>
        <v>0.34</v>
      </c>
      <c r="BQ19" s="58">
        <f>Sheet2!BT29</f>
        <v>0.34</v>
      </c>
      <c r="BR19" s="58">
        <f>Sheet2!BU29</f>
        <v>0.31</v>
      </c>
      <c r="BS19" s="58">
        <f>Sheet2!BV29</f>
        <v>0.31</v>
      </c>
      <c r="BT19" s="58">
        <f>Sheet2!BW29</f>
        <v>0.31</v>
      </c>
      <c r="BU19" s="58">
        <f>Sheet2!BX29</f>
        <v>0.31</v>
      </c>
      <c r="BV19" s="58">
        <f>Sheet2!BY29</f>
        <v>0.31</v>
      </c>
      <c r="BW19" s="58">
        <f>Sheet2!BZ29</f>
        <v>0.31</v>
      </c>
      <c r="BX19" s="58">
        <f>Sheet2!CA29</f>
        <v>0.31</v>
      </c>
      <c r="BY19" s="58">
        <f>Sheet2!CB29</f>
        <v>0.31</v>
      </c>
      <c r="BZ19" s="58">
        <f>Sheet2!CC29</f>
        <v>0.31</v>
      </c>
      <c r="CA19" s="58">
        <f>Sheet2!CD29</f>
        <v>0.31</v>
      </c>
      <c r="CB19" s="58">
        <f>Sheet2!CE29</f>
        <v>0.31</v>
      </c>
      <c r="CC19" s="58">
        <f>Sheet2!CF29</f>
        <v>0.31</v>
      </c>
      <c r="CD19" s="58">
        <f>Sheet2!CG29</f>
        <v>0.31</v>
      </c>
      <c r="CE19" s="58">
        <f>Sheet2!CH29</f>
        <v>0.31</v>
      </c>
      <c r="CF19" s="58">
        <f>Sheet2!CI29</f>
        <v>0.31</v>
      </c>
      <c r="CG19" s="58">
        <f>Sheet2!CJ29</f>
        <v>0.31</v>
      </c>
      <c r="CH19" s="58">
        <f>Sheet2!CK29</f>
        <v>0.31</v>
      </c>
      <c r="CI19" s="58">
        <f>Sheet2!CL29</f>
        <v>0.31</v>
      </c>
      <c r="CJ19" s="58">
        <f>Sheet2!CM29</f>
        <v>0.3</v>
      </c>
      <c r="CK19" s="58">
        <f>Sheet2!CN29</f>
        <v>0.28000000000000003</v>
      </c>
      <c r="CL19" s="58">
        <f>Sheet2!CO29</f>
        <v>0.28000000000000003</v>
      </c>
      <c r="CM19" s="58">
        <f>Sheet2!CP29</f>
        <v>0.28000000000000003</v>
      </c>
      <c r="CN19" s="58">
        <f>Sheet2!CQ29</f>
        <v>0.28000000000000003</v>
      </c>
      <c r="CO19" s="58">
        <f>Sheet2!CR29</f>
        <v>0.28000000000000003</v>
      </c>
      <c r="CP19" s="58">
        <f>Sheet2!CS29</f>
        <v>0.28000000000000003</v>
      </c>
      <c r="CQ19" s="59">
        <f>Sheet2!CT29</f>
        <v>0.27500000000000002</v>
      </c>
      <c r="CR19" s="58">
        <f>Sheet2!CU29</f>
        <v>0.27500000000000002</v>
      </c>
      <c r="CS19" s="58">
        <f>Sheet2!CV29</f>
        <v>0.27500000000000002</v>
      </c>
      <c r="CT19" s="58">
        <f>Sheet2!CW29</f>
        <v>0.27500000000000002</v>
      </c>
      <c r="CU19" s="58">
        <f>Sheet2!CX29</f>
        <v>0.27500000000000002</v>
      </c>
      <c r="CV19" s="58">
        <f>Sheet2!CY29</f>
        <v>0.27500000000000002</v>
      </c>
      <c r="CW19" s="58">
        <f>Sheet2!CZ29</f>
        <v>0.27500000000000002</v>
      </c>
      <c r="CX19" s="58">
        <f>Sheet2!DA29</f>
        <v>0.27500000000000002</v>
      </c>
      <c r="CY19" s="58">
        <f>Sheet2!DB29</f>
        <v>0.27500000000000002</v>
      </c>
      <c r="CZ19" s="58">
        <f>Sheet2!DC29</f>
        <v>0.27500000000000002</v>
      </c>
      <c r="DA19" s="58">
        <f>Sheet2!DD29</f>
        <v>0.27500000000000002</v>
      </c>
      <c r="DB19" s="58">
        <f>Sheet2!DE29</f>
        <v>0.27500000000000002</v>
      </c>
      <c r="DC19" s="58">
        <f>Sheet2!DF29</f>
        <v>0.27500000000000002</v>
      </c>
      <c r="DD19" s="58">
        <f>Sheet2!DG29</f>
        <v>0.27500000000000002</v>
      </c>
      <c r="DE19" s="58">
        <f>Sheet2!DH29</f>
        <v>0.27500000000000002</v>
      </c>
      <c r="DF19" s="68">
        <f>Sheet2!DI29</f>
        <v>0.27500000000000002</v>
      </c>
      <c r="DG19" s="68">
        <f>Sheet2!DJ29</f>
        <v>0.27500000000000002</v>
      </c>
      <c r="DH19" s="68">
        <f>Sheet2!DK29</f>
        <v>0.27500000000000002</v>
      </c>
      <c r="DI19" s="68">
        <v>0.27500000000000002</v>
      </c>
      <c r="DJ19" s="68">
        <f>Sheet2!DN29</f>
        <v>0.27500000000000002</v>
      </c>
      <c r="DK19" s="68">
        <f>Sheet2!DO29</f>
        <v>0.27500000000000002</v>
      </c>
      <c r="DL19" s="68">
        <f>Sheet2!DP29</f>
        <v>0.27500000000000002</v>
      </c>
      <c r="DM19" s="68">
        <f>Sheet2!DQ29</f>
        <v>0.27500000000000002</v>
      </c>
      <c r="DN19" s="68">
        <f>Sheet2!DR29</f>
        <v>0.27500000000000002</v>
      </c>
      <c r="DO19" s="68">
        <f>Sheet2!DS29</f>
        <v>0.27500000000000002</v>
      </c>
      <c r="DP19" s="68">
        <v>0.27</v>
      </c>
      <c r="DQ19" s="68">
        <f>Sheet2!DV29</f>
        <v>0.27</v>
      </c>
      <c r="DR19" s="68">
        <f>Sheet2!DW29</f>
        <v>0.27</v>
      </c>
      <c r="DS19" s="68">
        <v>0.27</v>
      </c>
      <c r="DT19" s="68">
        <f>Sheet2!DZ29</f>
        <v>0.27</v>
      </c>
      <c r="DU19" s="68">
        <f>Sheet2!EA29</f>
        <v>0.27</v>
      </c>
      <c r="DV19" s="68">
        <f>Sheet2!EB29</f>
        <v>0.27</v>
      </c>
      <c r="DW19" s="68"/>
      <c r="DX19" s="66"/>
      <c r="DY19" s="69"/>
      <c r="DZ19" s="66"/>
      <c r="EA19" s="66"/>
      <c r="EB19" s="66"/>
      <c r="EC19" s="66"/>
      <c r="ED19" s="66"/>
      <c r="EE19" s="66"/>
      <c r="EF19" s="66"/>
      <c r="EG19" s="66"/>
      <c r="EH19" s="66"/>
      <c r="EI19" s="66"/>
      <c r="EJ19" s="66"/>
      <c r="EK19" s="66"/>
      <c r="EL19" s="66"/>
      <c r="EM19" s="66"/>
      <c r="EN19" s="66"/>
      <c r="EO19" s="66"/>
      <c r="EP19" s="66"/>
      <c r="EQ19" s="69"/>
      <c r="ER19" s="66"/>
      <c r="ES19" s="66"/>
      <c r="ET19" s="66"/>
      <c r="EU19" s="66"/>
      <c r="EV19" s="66"/>
      <c r="EW19" s="66"/>
      <c r="EX19" s="70" t="s">
        <v>204</v>
      </c>
      <c r="EY19" s="70"/>
      <c r="EZ19" s="70"/>
      <c r="FA19" s="66"/>
      <c r="FB19" s="66"/>
      <c r="FC19" s="66"/>
      <c r="FD19" s="66"/>
      <c r="FE19" s="66"/>
      <c r="FF19" s="69"/>
      <c r="FG19" s="66"/>
      <c r="FH19" s="66"/>
      <c r="FI19" s="66"/>
      <c r="FJ19" s="66"/>
      <c r="FK19" s="66"/>
      <c r="FL19" s="66"/>
      <c r="FM19" s="66"/>
      <c r="FN19" s="66"/>
      <c r="FO19" s="67"/>
      <c r="FP19" s="66"/>
      <c r="FQ19" s="66"/>
      <c r="FR19" s="66"/>
      <c r="FS19" s="66"/>
      <c r="FT19" s="66"/>
      <c r="FU19" s="66"/>
      <c r="FV19" s="66"/>
      <c r="FW19" s="66"/>
      <c r="FX19" s="66"/>
      <c r="FY19" s="66"/>
      <c r="FZ19" s="66"/>
      <c r="GA19" s="66"/>
      <c r="GB19" s="66"/>
      <c r="GC19" s="66"/>
      <c r="GD19" s="66"/>
      <c r="GE19" s="63"/>
      <c r="GF19" s="63"/>
      <c r="GG19" s="63"/>
      <c r="GH19" s="64"/>
      <c r="GI19" s="65"/>
    </row>
    <row r="20" spans="1:198" ht="15.75">
      <c r="A20" t="s">
        <v>212</v>
      </c>
      <c r="B20" s="52">
        <v>0.8</v>
      </c>
      <c r="C20" s="52">
        <v>0.83</v>
      </c>
      <c r="D20" s="52">
        <v>0.92</v>
      </c>
      <c r="E20" s="52">
        <v>0.97</v>
      </c>
      <c r="F20" s="52">
        <v>1.1399999999999999</v>
      </c>
      <c r="G20" s="52">
        <v>1.1399999999999999</v>
      </c>
      <c r="H20" s="52">
        <v>1.1299999999999999</v>
      </c>
      <c r="I20" s="52">
        <v>1.1000000000000001</v>
      </c>
      <c r="J20" s="52">
        <v>1.1000000000000001</v>
      </c>
      <c r="K20" s="52">
        <v>1.1000000000000001</v>
      </c>
      <c r="L20" s="52">
        <v>1.1000000000000001</v>
      </c>
      <c r="M20" s="52">
        <v>1.1299999999999999</v>
      </c>
      <c r="N20" s="52">
        <v>1.1299999999999999</v>
      </c>
      <c r="O20" s="52">
        <v>1.1299999999999999</v>
      </c>
      <c r="P20" s="52">
        <v>1.1299999999999999</v>
      </c>
      <c r="Q20" s="52">
        <v>1.1299999999999999</v>
      </c>
      <c r="R20" s="52">
        <v>1.1299999999999999</v>
      </c>
      <c r="S20" s="52">
        <v>1.1000000000000001</v>
      </c>
      <c r="T20" s="52">
        <v>1.06</v>
      </c>
      <c r="U20" s="52">
        <v>1.02</v>
      </c>
      <c r="V20" s="52">
        <v>0.9</v>
      </c>
      <c r="W20" s="52">
        <v>0.9</v>
      </c>
      <c r="X20" s="52">
        <v>0.83</v>
      </c>
      <c r="Y20" s="52">
        <v>0.75</v>
      </c>
      <c r="Z20" s="52">
        <v>0.74</v>
      </c>
      <c r="AA20" s="52">
        <v>0.74</v>
      </c>
      <c r="AB20" s="52">
        <v>0.73</v>
      </c>
      <c r="AC20" s="52">
        <v>0.73</v>
      </c>
      <c r="AD20" s="52">
        <v>0.73</v>
      </c>
      <c r="AE20" s="52">
        <v>0.74</v>
      </c>
      <c r="AF20" s="52">
        <v>0.74</v>
      </c>
      <c r="AG20" s="52">
        <v>0.74</v>
      </c>
      <c r="AH20" s="52">
        <v>0.74</v>
      </c>
      <c r="AI20" s="52">
        <v>0.74</v>
      </c>
      <c r="AJ20" s="52">
        <v>0.74</v>
      </c>
      <c r="AK20" s="52">
        <v>0.74</v>
      </c>
      <c r="AL20" s="52">
        <v>0.72</v>
      </c>
      <c r="AM20" s="52">
        <v>0.68</v>
      </c>
      <c r="AN20" s="52">
        <v>0.62</v>
      </c>
      <c r="AO20" s="52">
        <v>0.6</v>
      </c>
      <c r="AP20" s="52">
        <v>0.53</v>
      </c>
      <c r="AQ20" s="52">
        <v>0.53</v>
      </c>
      <c r="AR20" s="52">
        <v>0.54</v>
      </c>
      <c r="AS20" s="52">
        <v>0.6</v>
      </c>
      <c r="AT20" s="52">
        <v>0.6</v>
      </c>
      <c r="AU20" s="52">
        <v>0.49</v>
      </c>
      <c r="AV20" s="52">
        <v>0.48</v>
      </c>
      <c r="AW20" s="52">
        <v>0.44</v>
      </c>
      <c r="AX20" s="52">
        <v>0.43</v>
      </c>
      <c r="AY20" s="57">
        <f>Sheet2!BB30</f>
        <v>0.42</v>
      </c>
      <c r="AZ20" s="58">
        <f>Sheet2!BC30</f>
        <v>0.42</v>
      </c>
      <c r="BA20" s="58">
        <f>Sheet2!BD30</f>
        <v>0.42</v>
      </c>
      <c r="BB20" s="58">
        <f>Sheet2!BE30</f>
        <v>0.4</v>
      </c>
      <c r="BC20" s="58">
        <f>Sheet2!BF30</f>
        <v>0.39</v>
      </c>
      <c r="BD20" s="58">
        <f>Sheet2!BG30</f>
        <v>0.39</v>
      </c>
      <c r="BE20" s="58">
        <f>Sheet2!BH30</f>
        <v>0.39</v>
      </c>
      <c r="BF20" s="58">
        <f>Sheet2!BI30</f>
        <v>0.39</v>
      </c>
      <c r="BG20" s="58">
        <f>Sheet2!BJ30</f>
        <v>0.39</v>
      </c>
      <c r="BH20" s="58">
        <f>Sheet2!BK30</f>
        <v>0.39</v>
      </c>
      <c r="BI20" s="58">
        <f>Sheet2!BL30</f>
        <v>0.39</v>
      </c>
      <c r="BJ20" s="58">
        <f>Sheet2!BM30</f>
        <v>0.39</v>
      </c>
      <c r="BK20" s="58">
        <f>Sheet2!BN30</f>
        <v>0.37</v>
      </c>
      <c r="BL20" s="58">
        <f>Sheet2!BO30</f>
        <v>0.37</v>
      </c>
      <c r="BM20" s="58">
        <f>Sheet2!BP30</f>
        <v>0.36</v>
      </c>
      <c r="BN20" s="58">
        <f>Sheet2!BQ30</f>
        <v>0.36</v>
      </c>
      <c r="BO20" s="58">
        <f>Sheet2!BR30</f>
        <v>0.35</v>
      </c>
      <c r="BP20" s="58">
        <f>Sheet2!BS30</f>
        <v>0.35</v>
      </c>
      <c r="BQ20" s="58">
        <f>Sheet2!BT30</f>
        <v>0.35</v>
      </c>
      <c r="BR20" s="58">
        <f>Sheet2!BU30</f>
        <v>0.32</v>
      </c>
      <c r="BS20" s="58">
        <f>Sheet2!BV30</f>
        <v>0.32</v>
      </c>
      <c r="BT20" s="58">
        <f>Sheet2!BW30</f>
        <v>0.32</v>
      </c>
      <c r="BU20" s="58">
        <f>Sheet2!BX30</f>
        <v>0.32</v>
      </c>
      <c r="BV20" s="58">
        <f>Sheet2!BY30</f>
        <v>0.32</v>
      </c>
      <c r="BW20" s="58">
        <f>Sheet2!BZ30</f>
        <v>0.32</v>
      </c>
      <c r="BX20" s="58">
        <f>Sheet2!CA30</f>
        <v>0.32</v>
      </c>
      <c r="BY20" s="58">
        <f>Sheet2!CB30</f>
        <v>0.32</v>
      </c>
      <c r="BZ20" s="58">
        <f>Sheet2!CC30</f>
        <v>0.32</v>
      </c>
      <c r="CA20" s="58">
        <f>Sheet2!CD30</f>
        <v>0.32</v>
      </c>
      <c r="CB20" s="58">
        <f>Sheet2!CE30</f>
        <v>0.32</v>
      </c>
      <c r="CC20" s="58">
        <f>Sheet2!CF30</f>
        <v>0.32</v>
      </c>
      <c r="CD20" s="58">
        <f>Sheet2!CG30</f>
        <v>0.32</v>
      </c>
      <c r="CE20" s="58">
        <f>Sheet2!CH30</f>
        <v>0.32</v>
      </c>
      <c r="CF20" s="58">
        <f>Sheet2!CI30</f>
        <v>0.32</v>
      </c>
      <c r="CG20" s="58">
        <f>Sheet2!CJ30</f>
        <v>0.32</v>
      </c>
      <c r="CH20" s="58">
        <f>Sheet2!CK30</f>
        <v>0.32</v>
      </c>
      <c r="CI20" s="58">
        <f>Sheet2!CL30</f>
        <v>0.32</v>
      </c>
      <c r="CJ20" s="58">
        <f>Sheet2!CM30</f>
        <v>0.31</v>
      </c>
      <c r="CK20" s="58">
        <f>Sheet2!CN30</f>
        <v>0.28999999999999998</v>
      </c>
      <c r="CL20" s="58">
        <f>Sheet2!CO30</f>
        <v>0.28999999999999998</v>
      </c>
      <c r="CM20" s="58">
        <f>Sheet2!CP30</f>
        <v>0.28999999999999998</v>
      </c>
      <c r="CN20" s="58">
        <f>Sheet2!CQ30</f>
        <v>0.28999999999999998</v>
      </c>
      <c r="CO20" s="58">
        <f>Sheet2!CR30</f>
        <v>0.28999999999999998</v>
      </c>
      <c r="CP20" s="58">
        <f>Sheet2!CS30</f>
        <v>0.28999999999999998</v>
      </c>
      <c r="CQ20" s="59">
        <f>Sheet2!CT30</f>
        <v>0.28000000000000003</v>
      </c>
      <c r="CR20" s="58">
        <f>Sheet2!CU30</f>
        <v>0.28000000000000003</v>
      </c>
      <c r="CS20" s="58">
        <f>Sheet2!CV30</f>
        <v>0.28000000000000003</v>
      </c>
      <c r="CT20" s="58">
        <f>Sheet2!CW30</f>
        <v>0.28000000000000003</v>
      </c>
      <c r="CU20" s="58">
        <f>Sheet2!CX30</f>
        <v>0.28000000000000003</v>
      </c>
      <c r="CV20" s="58">
        <f>Sheet2!CY30</f>
        <v>0.28000000000000003</v>
      </c>
      <c r="CW20" s="58">
        <f>Sheet2!CZ30</f>
        <v>0.28000000000000003</v>
      </c>
      <c r="CX20" s="58">
        <f>Sheet2!DA30</f>
        <v>0.28000000000000003</v>
      </c>
      <c r="CY20" s="58">
        <f>Sheet2!DB30</f>
        <v>0.28000000000000003</v>
      </c>
      <c r="CZ20" s="58">
        <f>Sheet2!DC30</f>
        <v>0.28000000000000003</v>
      </c>
      <c r="DA20" s="58">
        <f>Sheet2!DD30</f>
        <v>0.28000000000000003</v>
      </c>
      <c r="DB20" s="58">
        <f>Sheet2!DE30</f>
        <v>0.28000000000000003</v>
      </c>
      <c r="DC20" s="58">
        <f>Sheet2!DF30</f>
        <v>0.28000000000000003</v>
      </c>
      <c r="DD20" s="58">
        <f>Sheet2!DG30</f>
        <v>0.28000000000000003</v>
      </c>
      <c r="DE20" s="58">
        <f>Sheet2!DH30</f>
        <v>0.28000000000000003</v>
      </c>
      <c r="DF20" s="68">
        <f>Sheet2!DI30</f>
        <v>0.28000000000000003</v>
      </c>
      <c r="DG20" s="68">
        <f>Sheet2!DJ30</f>
        <v>0.28000000000000003</v>
      </c>
      <c r="DH20" s="68">
        <f>Sheet2!DK30</f>
        <v>0.28000000000000003</v>
      </c>
      <c r="DI20" s="68">
        <v>0.28000000000000003</v>
      </c>
      <c r="DJ20" s="68">
        <f>Sheet2!DN30</f>
        <v>0.28000000000000003</v>
      </c>
      <c r="DK20" s="68">
        <f>Sheet2!DO30</f>
        <v>0.28000000000000003</v>
      </c>
      <c r="DL20" s="68">
        <f>Sheet2!DP30</f>
        <v>0.28000000000000003</v>
      </c>
      <c r="DM20" s="68">
        <f>Sheet2!DQ30</f>
        <v>0.28000000000000003</v>
      </c>
      <c r="DN20" s="68">
        <f>Sheet2!DR30</f>
        <v>0.28000000000000003</v>
      </c>
      <c r="DO20" s="68">
        <f>Sheet2!DS30</f>
        <v>0.28000000000000003</v>
      </c>
      <c r="DP20" s="68">
        <v>0.28000000000000003</v>
      </c>
      <c r="DQ20" s="68">
        <f>Sheet2!DV30</f>
        <v>0.28000000000000003</v>
      </c>
      <c r="DR20" s="68">
        <f>Sheet2!DW30</f>
        <v>0.28000000000000003</v>
      </c>
      <c r="DS20" s="68">
        <v>0.28000000000000003</v>
      </c>
      <c r="DT20" s="68">
        <f>Sheet2!DZ30</f>
        <v>0.28000000000000003</v>
      </c>
      <c r="DU20" s="68">
        <f>Sheet2!EA30</f>
        <v>0.28000000000000003</v>
      </c>
      <c r="DV20" s="68">
        <f>Sheet2!EB30</f>
        <v>0.28000000000000003</v>
      </c>
      <c r="DW20" s="68"/>
      <c r="DX20" s="66"/>
      <c r="DY20" s="69"/>
      <c r="DZ20" s="66"/>
      <c r="EA20" s="66"/>
      <c r="EB20" s="66"/>
      <c r="EC20" s="66"/>
      <c r="ED20" s="66"/>
      <c r="EE20" s="66"/>
      <c r="EF20" s="66"/>
      <c r="EG20" s="66"/>
      <c r="EH20" s="66"/>
      <c r="EI20" s="66"/>
      <c r="EJ20" s="66"/>
      <c r="EK20" s="66"/>
      <c r="EL20" s="66"/>
      <c r="EM20" s="66"/>
      <c r="EN20" s="66"/>
      <c r="EO20" s="66"/>
      <c r="EP20" s="66"/>
      <c r="EQ20" s="69"/>
      <c r="ER20" s="66"/>
      <c r="ES20" s="66"/>
      <c r="ET20" s="66"/>
      <c r="EU20" s="66"/>
      <c r="EV20" s="66"/>
      <c r="EW20" s="66"/>
      <c r="EX20" s="70" t="s">
        <v>204</v>
      </c>
      <c r="EY20" s="70"/>
      <c r="EZ20" s="70"/>
      <c r="FA20" s="66"/>
      <c r="FB20" s="66"/>
      <c r="FC20" s="66"/>
      <c r="FD20" s="66"/>
      <c r="FE20" s="66"/>
      <c r="FF20" s="69"/>
      <c r="FG20" s="66"/>
      <c r="FH20" s="66"/>
      <c r="FI20" s="66"/>
      <c r="FJ20" s="66"/>
      <c r="FK20" s="66"/>
      <c r="FL20" s="66"/>
      <c r="FM20" s="66"/>
      <c r="FN20" s="66"/>
      <c r="FO20" s="67"/>
      <c r="FP20" s="66"/>
      <c r="FQ20" s="66"/>
      <c r="FR20" s="66"/>
      <c r="FS20" s="66"/>
      <c r="FT20" s="66"/>
      <c r="FU20" s="66"/>
      <c r="FV20" s="66"/>
      <c r="FW20" s="66"/>
      <c r="FX20" s="66"/>
      <c r="FY20" s="66"/>
      <c r="FZ20" s="66"/>
      <c r="GA20" s="66"/>
      <c r="GB20" s="66"/>
      <c r="GC20" s="66"/>
      <c r="GD20" s="66"/>
      <c r="GE20" s="63"/>
      <c r="GF20" s="63"/>
      <c r="GG20" s="63"/>
      <c r="GH20" s="64"/>
      <c r="GI20" s="65"/>
    </row>
    <row r="21" spans="1:198" ht="15.75">
      <c r="A21" t="s">
        <v>213</v>
      </c>
      <c r="B21" s="52">
        <v>0.89</v>
      </c>
      <c r="C21" s="52">
        <v>0.92</v>
      </c>
      <c r="D21" s="52">
        <v>0.98</v>
      </c>
      <c r="E21" s="52">
        <v>1.03</v>
      </c>
      <c r="F21" s="52">
        <v>1.2</v>
      </c>
      <c r="G21" s="52">
        <v>1.2</v>
      </c>
      <c r="H21" s="52">
        <v>1.18</v>
      </c>
      <c r="I21" s="52">
        <v>1.1499999999999999</v>
      </c>
      <c r="J21" s="52">
        <v>1.1499999999999999</v>
      </c>
      <c r="K21" s="52">
        <v>1.21</v>
      </c>
      <c r="L21" s="52">
        <v>1.22</v>
      </c>
      <c r="M21" s="52">
        <v>1.22</v>
      </c>
      <c r="N21" s="52">
        <v>1.22</v>
      </c>
      <c r="O21" s="52">
        <v>1.22</v>
      </c>
      <c r="P21" s="52">
        <v>1.22</v>
      </c>
      <c r="Q21" s="52">
        <v>1.22</v>
      </c>
      <c r="R21" s="52">
        <v>1.22</v>
      </c>
      <c r="S21" s="52">
        <v>1.18</v>
      </c>
      <c r="T21" s="52">
        <v>1.1200000000000001</v>
      </c>
      <c r="U21" s="52">
        <v>1.1000000000000001</v>
      </c>
      <c r="V21" s="52">
        <v>0.99</v>
      </c>
      <c r="W21" s="52">
        <v>0.96</v>
      </c>
      <c r="X21" s="52">
        <v>0.88</v>
      </c>
      <c r="Y21" s="52">
        <v>0.83</v>
      </c>
      <c r="Z21" s="52">
        <v>0.8</v>
      </c>
      <c r="AA21" s="52">
        <v>0.81</v>
      </c>
      <c r="AB21" s="52">
        <v>0.79</v>
      </c>
      <c r="AC21" s="52">
        <v>0.79</v>
      </c>
      <c r="AD21" s="52">
        <v>0.79</v>
      </c>
      <c r="AE21" s="52">
        <v>0.8</v>
      </c>
      <c r="AF21" s="52">
        <v>0.8</v>
      </c>
      <c r="AG21" s="52">
        <v>0.81</v>
      </c>
      <c r="AH21" s="52">
        <v>0.81</v>
      </c>
      <c r="AI21" s="52">
        <v>0.81</v>
      </c>
      <c r="AJ21" s="52">
        <v>0.81</v>
      </c>
      <c r="AK21" s="52">
        <v>0.81</v>
      </c>
      <c r="AL21" s="52">
        <v>0.74</v>
      </c>
      <c r="AM21" s="52">
        <v>0.68</v>
      </c>
      <c r="AN21" s="52">
        <v>0.68</v>
      </c>
      <c r="AO21" s="52">
        <v>0.6</v>
      </c>
      <c r="AP21" s="52">
        <v>0.57999999999999996</v>
      </c>
      <c r="AQ21" s="52">
        <v>0.53</v>
      </c>
      <c r="AR21" s="52">
        <v>0.5</v>
      </c>
      <c r="AS21" s="52">
        <v>0.5</v>
      </c>
      <c r="AT21" s="52">
        <v>0.5</v>
      </c>
      <c r="AU21" s="52">
        <v>0.49</v>
      </c>
      <c r="AV21" s="52">
        <v>0.49</v>
      </c>
      <c r="AW21" s="52">
        <v>0.49</v>
      </c>
      <c r="AX21" s="52">
        <v>0.48</v>
      </c>
      <c r="AY21" s="57">
        <f>Sheet2!BB31</f>
        <v>0.48</v>
      </c>
      <c r="AZ21" s="58">
        <f>Sheet2!BC31</f>
        <v>0.48</v>
      </c>
      <c r="BA21" s="58">
        <f>Sheet2!BD31</f>
        <v>0.48</v>
      </c>
      <c r="BB21" s="58">
        <f>Sheet2!BE31</f>
        <v>0.48</v>
      </c>
      <c r="BC21" s="58">
        <f>Sheet2!BF31</f>
        <v>0.48</v>
      </c>
      <c r="BD21" s="58">
        <f>Sheet2!BG31</f>
        <v>0.48</v>
      </c>
      <c r="BE21" s="58">
        <f>Sheet2!BH31</f>
        <v>0.48</v>
      </c>
      <c r="BF21" s="58">
        <f>Sheet2!BI31</f>
        <v>0.48</v>
      </c>
      <c r="BG21" s="58">
        <f>Sheet2!BJ31</f>
        <v>0.48499999999999999</v>
      </c>
      <c r="BH21" s="58">
        <f>Sheet2!BK31</f>
        <v>0.48</v>
      </c>
      <c r="BI21" s="58">
        <f>Sheet2!BL31</f>
        <v>0.48</v>
      </c>
      <c r="BJ21" s="58">
        <f>Sheet2!BM31</f>
        <v>0.48</v>
      </c>
      <c r="BK21" s="58">
        <f>Sheet2!BN31</f>
        <v>0.47</v>
      </c>
      <c r="BL21" s="58">
        <f>Sheet2!BO31</f>
        <v>0.46</v>
      </c>
      <c r="BM21" s="58">
        <f>Sheet2!BP31</f>
        <v>0.42</v>
      </c>
      <c r="BN21" s="58">
        <f>Sheet2!BQ31</f>
        <v>0.42</v>
      </c>
      <c r="BO21" s="58">
        <f>Sheet2!BR31</f>
        <v>0.39500000000000002</v>
      </c>
      <c r="BP21" s="58">
        <f>Sheet2!BS31</f>
        <v>0.375</v>
      </c>
      <c r="BQ21" s="58">
        <f>Sheet2!BT31</f>
        <v>0.34</v>
      </c>
      <c r="BR21" s="58">
        <f>Sheet2!BU31</f>
        <v>0.31</v>
      </c>
      <c r="BS21" s="58">
        <f>Sheet2!BV31</f>
        <v>0.3</v>
      </c>
      <c r="BT21" s="58">
        <f>Sheet2!BW31</f>
        <v>0.3</v>
      </c>
      <c r="BU21" s="58">
        <f>Sheet2!BX31</f>
        <v>0.3</v>
      </c>
      <c r="BV21" s="58">
        <f>Sheet2!BY31</f>
        <v>0.3</v>
      </c>
      <c r="BW21" s="58">
        <f>Sheet2!BZ31</f>
        <v>0.3</v>
      </c>
      <c r="BX21" s="58">
        <f>Sheet2!CA31</f>
        <v>0.3</v>
      </c>
      <c r="BY21" s="58">
        <f>Sheet2!CB31</f>
        <v>0.3</v>
      </c>
      <c r="BZ21" s="58">
        <f>Sheet2!CC31</f>
        <v>0.28999999999999998</v>
      </c>
      <c r="CA21" s="58">
        <f>Sheet2!CD31</f>
        <v>0.28999999999999998</v>
      </c>
      <c r="CB21" s="58">
        <f>Sheet2!CE31</f>
        <v>0.28999999999999998</v>
      </c>
      <c r="CC21" s="58">
        <f>Sheet2!CF31</f>
        <v>0.28999999999999998</v>
      </c>
      <c r="CD21" s="58">
        <f>Sheet2!CG31</f>
        <v>0.28999999999999998</v>
      </c>
      <c r="CE21" s="58">
        <f>Sheet2!CH31</f>
        <v>0.28999999999999998</v>
      </c>
      <c r="CF21" s="58">
        <f>Sheet2!CI31</f>
        <v>0.28999999999999998</v>
      </c>
      <c r="CG21" s="58">
        <f>Sheet2!CJ31</f>
        <v>0.28499999999999998</v>
      </c>
      <c r="CH21" s="58">
        <f>Sheet2!CK31</f>
        <v>0.28000000000000003</v>
      </c>
      <c r="CI21" s="58">
        <f>Sheet2!CL31</f>
        <v>0.28000000000000003</v>
      </c>
      <c r="CJ21" s="58">
        <f>Sheet2!CM31</f>
        <v>0.27</v>
      </c>
      <c r="CK21" s="58">
        <f>Sheet2!CN31</f>
        <v>0.27</v>
      </c>
      <c r="CL21" s="58">
        <f>Sheet2!CO31</f>
        <v>0.27</v>
      </c>
      <c r="CM21" s="58">
        <f>Sheet2!CP31</f>
        <v>0.27</v>
      </c>
      <c r="CN21" s="58">
        <f>Sheet2!CQ31</f>
        <v>0.27</v>
      </c>
      <c r="CO21" s="58">
        <f>Sheet2!CR31</f>
        <v>0.27</v>
      </c>
      <c r="CP21" s="58">
        <f>Sheet2!CS31</f>
        <v>0.27</v>
      </c>
      <c r="CQ21" s="59">
        <f>Sheet2!CT31</f>
        <v>0.27</v>
      </c>
      <c r="CR21" s="68">
        <f>Sheet2!CU31</f>
        <v>0.27500000000000002</v>
      </c>
      <c r="CS21" s="57">
        <f>Sheet2!CV31</f>
        <v>0.28000000000000003</v>
      </c>
      <c r="CT21" s="57">
        <f>Sheet2!CW31</f>
        <v>0.28000000000000003</v>
      </c>
      <c r="CU21" s="57">
        <f>Sheet2!CX31</f>
        <v>0.28000000000000003</v>
      </c>
      <c r="CV21" s="57">
        <f>Sheet2!CY31</f>
        <v>0.28000000000000003</v>
      </c>
      <c r="CW21" s="57">
        <f>Sheet2!CZ31</f>
        <v>0.28499999999999998</v>
      </c>
      <c r="CX21" s="57">
        <f>Sheet2!DA31</f>
        <v>0.28499999999999998</v>
      </c>
      <c r="CY21" s="57">
        <f>Sheet2!DB31</f>
        <v>0.28999999999999998</v>
      </c>
      <c r="CZ21" s="57">
        <f>Sheet2!DC31</f>
        <v>0.28999999999999998</v>
      </c>
      <c r="DA21" s="57">
        <f>Sheet2!DD31</f>
        <v>0.28999999999999998</v>
      </c>
      <c r="DB21" s="57">
        <f>Sheet2!DE31</f>
        <v>0.28999999999999998</v>
      </c>
      <c r="DC21" s="57">
        <f>Sheet2!DF31</f>
        <v>0.29499999999999998</v>
      </c>
      <c r="DD21" s="57">
        <f>Sheet2!DG31</f>
        <v>0.29499999999999998</v>
      </c>
      <c r="DE21" s="57">
        <f>Sheet2!DH31</f>
        <v>0.29499999999999998</v>
      </c>
      <c r="DF21" s="68">
        <f>Sheet2!DI31</f>
        <v>0.29799999999999999</v>
      </c>
      <c r="DG21" s="68">
        <f>Sheet2!DJ31</f>
        <v>0.29799999999999999</v>
      </c>
      <c r="DH21" s="68">
        <f>Sheet2!DK31</f>
        <v>0.3</v>
      </c>
      <c r="DI21" s="68">
        <v>0.3</v>
      </c>
      <c r="DJ21" s="68">
        <f>Sheet2!DN31</f>
        <v>0.3</v>
      </c>
      <c r="DK21" s="68">
        <f>Sheet2!DO31</f>
        <v>0.3</v>
      </c>
      <c r="DL21" s="68">
        <f>Sheet2!DP31</f>
        <v>0.29499999999999998</v>
      </c>
      <c r="DM21" s="68">
        <f>Sheet2!DQ31</f>
        <v>0.28000000000000003</v>
      </c>
      <c r="DN21" s="68">
        <f>Sheet2!DR31</f>
        <v>0.28000000000000003</v>
      </c>
      <c r="DO21" s="68">
        <f>Sheet2!DS31</f>
        <v>0.26800000000000002</v>
      </c>
      <c r="DP21" s="68">
        <v>0.26500000000000001</v>
      </c>
      <c r="DQ21" s="68">
        <f>Sheet2!DV31</f>
        <v>0.26</v>
      </c>
      <c r="DR21" s="68">
        <f>Sheet2!DW31</f>
        <v>0.255</v>
      </c>
      <c r="DS21" s="68">
        <v>0.255</v>
      </c>
      <c r="DT21" s="68">
        <f>Sheet2!DZ31</f>
        <v>0.255</v>
      </c>
      <c r="DU21" s="68">
        <f>Sheet2!EA31</f>
        <v>0.24</v>
      </c>
      <c r="DV21" s="68">
        <f>Sheet2!EB31</f>
        <v>0.23499999999999999</v>
      </c>
      <c r="DW21" s="68">
        <f>Sheet2!EC31</f>
        <v>0.22500000000000001</v>
      </c>
      <c r="DX21" s="68">
        <f>Sheet2!ED31</f>
        <v>0.23</v>
      </c>
      <c r="DY21" s="71">
        <f>Sheet2!EE31</f>
        <v>0.25</v>
      </c>
      <c r="DZ21" s="68">
        <f>Sheet2!EF31</f>
        <v>0.28000000000000003</v>
      </c>
      <c r="EA21" s="68">
        <f>Sheet2!EG31</f>
        <v>0.30499999999999999</v>
      </c>
      <c r="EB21" s="68">
        <f>Sheet2!EH31</f>
        <v>0.315</v>
      </c>
      <c r="EC21" s="68">
        <f>Sheet2!EI31</f>
        <v>0.29499999999999998</v>
      </c>
      <c r="ED21" s="68">
        <f>Sheet2!EJ31</f>
        <v>0.29499999999999998</v>
      </c>
      <c r="EE21" s="68">
        <f>Sheet2!EK31</f>
        <v>0.29799999999999999</v>
      </c>
      <c r="EF21" s="68">
        <f>Sheet2!EL31</f>
        <v>0.29799999999999999</v>
      </c>
      <c r="EG21" s="68">
        <f>Sheet2!EM31</f>
        <v>0.30499999999999999</v>
      </c>
      <c r="EH21" s="68">
        <f>Sheet2!EN31</f>
        <v>0.315</v>
      </c>
      <c r="EI21" s="68">
        <f>Sheet2!EO31</f>
        <v>0.32500000000000001</v>
      </c>
      <c r="EJ21" s="68">
        <f>Sheet2!EP31</f>
        <v>0.32500000000000001</v>
      </c>
      <c r="EK21" s="68">
        <f>Sheet2!EQ31</f>
        <v>0.32500000000000001</v>
      </c>
      <c r="EL21" s="68">
        <f>Sheet2!ER31</f>
        <v>0.32500000000000001</v>
      </c>
      <c r="EM21" s="68">
        <f>Sheet2!ES31</f>
        <v>0.32500000000000001</v>
      </c>
      <c r="EN21" s="68">
        <f>Sheet2!ET31</f>
        <v>0.31</v>
      </c>
      <c r="EO21" s="68">
        <f>Sheet2!EU31</f>
        <v>0.31</v>
      </c>
      <c r="EP21" s="68">
        <f>Sheet2!EV31</f>
        <v>0.308</v>
      </c>
      <c r="EQ21" s="71">
        <f>Sheet2!EW31</f>
        <v>0.29499999999999998</v>
      </c>
      <c r="ER21" s="68">
        <f>Sheet2!EX31</f>
        <v>0.29199999999999998</v>
      </c>
      <c r="ES21" s="68">
        <f>Sheet2!EY31</f>
        <v>0.28499999999999998</v>
      </c>
      <c r="ET21" s="68">
        <f>Sheet2!EZ31</f>
        <v>0.29499999999999998</v>
      </c>
      <c r="EU21" s="68">
        <f>Sheet2!FA31</f>
        <v>0.32</v>
      </c>
      <c r="EV21" s="68">
        <f>Sheet2!FB31</f>
        <v>0.32</v>
      </c>
      <c r="EW21" s="68">
        <f>Sheet2!FC31</f>
        <v>0.37</v>
      </c>
      <c r="EX21" s="68">
        <f>Sheet2!FD31</f>
        <v>0.38</v>
      </c>
      <c r="EY21" s="68">
        <f>Sheet2!FE31</f>
        <v>0.41</v>
      </c>
      <c r="EZ21" s="68">
        <f>Sheet2!FF31</f>
        <v>0.435</v>
      </c>
      <c r="FA21" s="68">
        <f>Sheet2!FG31</f>
        <v>0.435</v>
      </c>
      <c r="FB21" s="68">
        <f>Sheet2!FH31</f>
        <v>0.435</v>
      </c>
      <c r="FC21" s="68">
        <f>Sheet2!FI31</f>
        <v>0.435</v>
      </c>
      <c r="FD21" s="68">
        <f>Sheet2!FJ31</f>
        <v>0.42</v>
      </c>
      <c r="FE21" s="68">
        <f>Sheet2!FK31</f>
        <v>0.42</v>
      </c>
      <c r="FF21" s="71">
        <f>Sheet2!FL31</f>
        <v>0.4</v>
      </c>
      <c r="FG21" s="68">
        <f>Sheet2!FM31</f>
        <v>0.38</v>
      </c>
      <c r="FH21" s="68">
        <f>Sheet2!FN31</f>
        <v>0.37</v>
      </c>
      <c r="FI21" s="68">
        <f>Sheet2!FO31</f>
        <v>0.35</v>
      </c>
      <c r="FJ21" s="68">
        <f>Sheet2!FP31</f>
        <v>0.34499999999999997</v>
      </c>
      <c r="FK21" s="68">
        <f>Sheet2!FQ31</f>
        <v>0.32500000000000001</v>
      </c>
      <c r="FL21" s="68">
        <f>Sheet2!FR31</f>
        <v>0.32500000000000001</v>
      </c>
      <c r="FM21" s="68">
        <f>Sheet2!FS31</f>
        <v>0.32500000000000001</v>
      </c>
      <c r="FN21" s="68">
        <f>Sheet2!FT31</f>
        <v>0.32500000000000001</v>
      </c>
      <c r="FO21" s="72">
        <f>Sheet2!FU31</f>
        <v>0.32500000000000001</v>
      </c>
      <c r="FP21" s="68">
        <f>Sheet2!FV31</f>
        <v>0.32500000000000001</v>
      </c>
      <c r="FQ21" s="68">
        <f>Sheet2!FW31</f>
        <v>0.32500000000000001</v>
      </c>
      <c r="FR21" s="68">
        <f>Sheet2!FX31</f>
        <v>0.31</v>
      </c>
      <c r="FS21" s="68">
        <f>Sheet2!FY31</f>
        <v>0.31</v>
      </c>
      <c r="FT21" s="68">
        <f>Sheet2!FZ31</f>
        <v>0.28499999999999998</v>
      </c>
      <c r="FU21" s="68">
        <f>Sheet2!GA31</f>
        <v>0.27</v>
      </c>
      <c r="FV21" s="68">
        <f>Sheet2!GB31</f>
        <v>0.26800000000000002</v>
      </c>
      <c r="FW21" s="68">
        <f>Sheet2!GC31</f>
        <v>0.26500000000000001</v>
      </c>
      <c r="FX21" s="68">
        <f>Sheet2!GD31</f>
        <v>0.26500000000000001</v>
      </c>
      <c r="FY21" s="68">
        <f>Sheet2!GE31</f>
        <v>0.26500000000000001</v>
      </c>
      <c r="FZ21" s="68">
        <f>Sheet2!GF31</f>
        <v>0.27500000000000002</v>
      </c>
      <c r="GA21" s="68">
        <f>Sheet2!GG31</f>
        <v>0.3</v>
      </c>
      <c r="GB21" s="68">
        <f>Sheet2!GH31</f>
        <v>0.38</v>
      </c>
      <c r="GC21" s="68">
        <f>Sheet2!GI31</f>
        <v>0.33500000000000002</v>
      </c>
      <c r="GD21" s="68">
        <f>Sheet2!GJ31</f>
        <v>0.31</v>
      </c>
      <c r="GE21" s="73">
        <f>Sheet2!GK31</f>
        <v>0.31</v>
      </c>
      <c r="GF21" s="73">
        <f>Sheet2!GL31</f>
        <v>0.3</v>
      </c>
      <c r="GG21" s="63">
        <f t="shared" si="0"/>
        <v>-3.2258064516128968</v>
      </c>
      <c r="GH21" s="64">
        <f t="shared" si="1"/>
        <v>2.8688524590163866</v>
      </c>
      <c r="GI21" s="65">
        <f t="shared" si="2"/>
        <v>-18.918918918918919</v>
      </c>
    </row>
    <row r="22" spans="1:198" ht="15.75">
      <c r="A22" t="s">
        <v>214</v>
      </c>
      <c r="B22" s="52"/>
      <c r="C22" s="52"/>
      <c r="D22" s="52"/>
      <c r="E22" s="52"/>
      <c r="F22" s="52"/>
      <c r="G22" s="52"/>
      <c r="H22" s="52"/>
      <c r="I22" s="52"/>
      <c r="J22" s="52"/>
      <c r="K22" s="52"/>
      <c r="L22" s="52"/>
      <c r="M22" s="52"/>
      <c r="N22" s="52"/>
      <c r="O22" s="52"/>
      <c r="P22" s="52"/>
      <c r="Q22" s="52"/>
      <c r="R22" s="52"/>
      <c r="S22" s="52"/>
      <c r="T22" s="52"/>
      <c r="U22" s="52"/>
      <c r="V22" s="52"/>
      <c r="W22" s="52"/>
      <c r="X22" s="52"/>
      <c r="Y22" s="52"/>
      <c r="Z22" s="52"/>
      <c r="AA22" s="52"/>
      <c r="AB22" s="52"/>
      <c r="AC22" s="52"/>
      <c r="AD22" s="52"/>
      <c r="AE22" s="52"/>
      <c r="AF22" s="52"/>
      <c r="AG22" s="52"/>
      <c r="AH22" s="52"/>
      <c r="AI22" s="52"/>
      <c r="AJ22" s="52"/>
      <c r="AK22" s="52"/>
      <c r="AL22" s="52"/>
      <c r="AM22" s="52"/>
      <c r="AN22" s="52"/>
      <c r="AO22" s="52"/>
      <c r="AP22" s="52"/>
      <c r="AQ22" s="52"/>
      <c r="AR22" s="52"/>
      <c r="AS22" s="52"/>
      <c r="AT22" s="52"/>
      <c r="AU22" s="52"/>
      <c r="AV22" s="49" t="s">
        <v>204</v>
      </c>
      <c r="AW22" s="49" t="s">
        <v>204</v>
      </c>
      <c r="AX22" s="49" t="s">
        <v>204</v>
      </c>
      <c r="AY22" s="49" t="s">
        <v>204</v>
      </c>
      <c r="AZ22" s="49" t="s">
        <v>204</v>
      </c>
      <c r="BA22" s="49" t="s">
        <v>204</v>
      </c>
      <c r="BB22" s="49" t="s">
        <v>204</v>
      </c>
      <c r="BC22" s="49" t="s">
        <v>204</v>
      </c>
      <c r="BD22" s="49" t="s">
        <v>204</v>
      </c>
      <c r="BE22" s="49" t="s">
        <v>204</v>
      </c>
      <c r="BF22" s="49" t="s">
        <v>204</v>
      </c>
      <c r="BG22" s="49" t="s">
        <v>204</v>
      </c>
      <c r="BH22" s="49" t="s">
        <v>204</v>
      </c>
      <c r="BI22" s="49" t="s">
        <v>204</v>
      </c>
      <c r="BJ22" s="49" t="s">
        <v>204</v>
      </c>
      <c r="BK22" s="49" t="s">
        <v>204</v>
      </c>
      <c r="BL22" s="49" t="s">
        <v>204</v>
      </c>
      <c r="BM22" s="49" t="s">
        <v>204</v>
      </c>
      <c r="BN22" s="49" t="s">
        <v>204</v>
      </c>
      <c r="BO22" s="49" t="s">
        <v>204</v>
      </c>
      <c r="BP22" s="49" t="s">
        <v>204</v>
      </c>
      <c r="BQ22" s="49" t="s">
        <v>204</v>
      </c>
      <c r="BR22" s="49" t="s">
        <v>204</v>
      </c>
      <c r="BS22" s="49" t="s">
        <v>204</v>
      </c>
      <c r="BT22" s="49" t="s">
        <v>204</v>
      </c>
      <c r="BU22" s="58">
        <f>Sheet2!BX32</f>
        <v>0.36</v>
      </c>
      <c r="BV22" s="58">
        <f>Sheet2!BY32</f>
        <v>0.35</v>
      </c>
      <c r="BW22" s="58">
        <f>Sheet2!BZ32</f>
        <v>0.35</v>
      </c>
      <c r="BX22" s="58">
        <f>Sheet2!CA32</f>
        <v>0.35</v>
      </c>
      <c r="BY22" s="58">
        <f>Sheet2!CB32</f>
        <v>0.35</v>
      </c>
      <c r="BZ22" s="58">
        <f>Sheet2!CC32</f>
        <v>0.33</v>
      </c>
      <c r="CA22" s="58">
        <f>Sheet2!CD32</f>
        <v>0.33</v>
      </c>
      <c r="CB22" s="58">
        <f>Sheet2!CE32</f>
        <v>0.32</v>
      </c>
      <c r="CC22" s="58">
        <f>Sheet2!CF32</f>
        <v>0.32</v>
      </c>
      <c r="CD22" s="58">
        <f>Sheet2!CG32</f>
        <v>0.32</v>
      </c>
      <c r="CE22" s="58">
        <f>Sheet2!CH32</f>
        <v>0.32</v>
      </c>
      <c r="CF22" s="58">
        <f>Sheet2!CI32</f>
        <v>0.32</v>
      </c>
      <c r="CG22" s="58">
        <f>Sheet2!CJ32</f>
        <v>0.3</v>
      </c>
      <c r="CH22" s="58">
        <f>Sheet2!CK32</f>
        <v>0.28999999999999998</v>
      </c>
      <c r="CI22" s="58">
        <f>Sheet2!CL32</f>
        <v>0.28999999999999998</v>
      </c>
      <c r="CJ22" s="58">
        <f>Sheet2!CM32</f>
        <v>0.28499999999999998</v>
      </c>
      <c r="CK22" s="58">
        <f>Sheet2!CN32</f>
        <v>0.28999999999999998</v>
      </c>
      <c r="CL22" s="58">
        <f>Sheet2!CO32</f>
        <v>0.28999999999999998</v>
      </c>
      <c r="CM22" s="58">
        <f>Sheet2!CP32</f>
        <v>0.28999999999999998</v>
      </c>
      <c r="CN22" s="58">
        <f>Sheet2!CQ32</f>
        <v>0.28999999999999998</v>
      </c>
      <c r="CO22" s="58">
        <f>Sheet2!CR32</f>
        <v>0.28999999999999998</v>
      </c>
      <c r="CP22" s="58">
        <f>Sheet2!CS32</f>
        <v>0.28999999999999998</v>
      </c>
      <c r="CQ22" s="59">
        <f>Sheet2!CT32</f>
        <v>0.28499999999999998</v>
      </c>
      <c r="CR22" s="58">
        <f>Sheet2!CU32</f>
        <v>0.28499999999999998</v>
      </c>
      <c r="CS22" s="58">
        <f>Sheet2!CV32</f>
        <v>0.28499999999999998</v>
      </c>
      <c r="CT22" s="58">
        <f>Sheet2!CW32</f>
        <v>0.28499999999999998</v>
      </c>
      <c r="CU22" s="58">
        <f>Sheet2!CX32</f>
        <v>0.28499999999999998</v>
      </c>
      <c r="CV22" s="58">
        <f>Sheet2!CY32</f>
        <v>0.28499999999999998</v>
      </c>
      <c r="CW22" s="58">
        <f>Sheet2!CZ32</f>
        <v>0.28499999999999998</v>
      </c>
      <c r="CX22" s="58">
        <f>Sheet2!DA32</f>
        <v>0.28999999999999998</v>
      </c>
      <c r="CY22" s="58">
        <f>Sheet2!DB32</f>
        <v>0.28999999999999998</v>
      </c>
      <c r="CZ22" s="58">
        <f>Sheet2!DC32</f>
        <v>0.28999999999999998</v>
      </c>
      <c r="DA22" s="58">
        <f>Sheet2!DD32</f>
        <v>0.28999999999999998</v>
      </c>
      <c r="DB22" s="58">
        <f>Sheet2!DE32</f>
        <v>0.28999999999999998</v>
      </c>
      <c r="DC22" s="58">
        <f>Sheet2!DF32</f>
        <v>0.29499999999999998</v>
      </c>
      <c r="DD22" s="58">
        <f>Sheet2!DG32</f>
        <v>0.29499999999999998</v>
      </c>
      <c r="DE22" s="58">
        <f>Sheet2!DH32</f>
        <v>0.29499999999999998</v>
      </c>
      <c r="DF22" s="68">
        <f>Sheet2!DI32</f>
        <v>0.29499999999999998</v>
      </c>
      <c r="DG22" s="68">
        <f>Sheet2!DJ32</f>
        <v>0.29499999999999998</v>
      </c>
      <c r="DH22" s="68">
        <f>Sheet2!DK32</f>
        <v>0.30499999999999999</v>
      </c>
      <c r="DI22" s="68">
        <v>0.30499999999999999</v>
      </c>
      <c r="DJ22" s="68">
        <f>Sheet2!DN32</f>
        <v>0.30499999999999999</v>
      </c>
      <c r="DK22" s="68">
        <f>Sheet2!DO32</f>
        <v>0.30499999999999999</v>
      </c>
      <c r="DL22" s="68">
        <f>Sheet2!DP32</f>
        <v>0.3</v>
      </c>
      <c r="DM22" s="68">
        <f>Sheet2!DQ32</f>
        <v>0.28999999999999998</v>
      </c>
      <c r="DN22" s="68">
        <f>Sheet2!DR32</f>
        <v>0.28999999999999998</v>
      </c>
      <c r="DO22" s="68">
        <f>Sheet2!DS32</f>
        <v>0.28000000000000003</v>
      </c>
      <c r="DP22" s="68">
        <v>0.28000000000000003</v>
      </c>
      <c r="DQ22" s="68">
        <f>Sheet2!DV32</f>
        <v>0.28000000000000003</v>
      </c>
      <c r="DR22" s="68">
        <f>Sheet2!DW32</f>
        <v>0.27</v>
      </c>
      <c r="DS22" s="68">
        <v>0.27</v>
      </c>
      <c r="DT22" s="68">
        <f>Sheet2!DZ32</f>
        <v>0.27</v>
      </c>
      <c r="DU22" s="68">
        <f>Sheet2!EA32</f>
        <v>0.26</v>
      </c>
      <c r="DV22" s="68">
        <f>Sheet2!EB32</f>
        <v>0.255</v>
      </c>
      <c r="DW22" s="68">
        <f>Sheet2!EC32</f>
        <v>0.245</v>
      </c>
      <c r="DX22" s="68">
        <f>Sheet2!ED32</f>
        <v>0.245</v>
      </c>
      <c r="DY22" s="71">
        <f>Sheet2!EE32</f>
        <v>0.255</v>
      </c>
      <c r="DZ22" s="68">
        <f>Sheet2!EF32</f>
        <v>0.27500000000000002</v>
      </c>
      <c r="EA22" s="68">
        <f>Sheet2!EG32</f>
        <v>0.28999999999999998</v>
      </c>
      <c r="EB22" s="68">
        <f>Sheet2!EH32</f>
        <v>0.28999999999999998</v>
      </c>
      <c r="EC22" s="68">
        <f>Sheet2!EI32</f>
        <v>0.28499999999999998</v>
      </c>
      <c r="ED22" s="68">
        <f>Sheet2!EJ32</f>
        <v>0.28499999999999998</v>
      </c>
      <c r="EE22" s="68">
        <f>Sheet2!EK32</f>
        <v>0.28799999999999998</v>
      </c>
      <c r="EF22" s="68">
        <f>Sheet2!EL32</f>
        <v>0.28799999999999998</v>
      </c>
      <c r="EG22" s="68">
        <f>Sheet2!EM32</f>
        <v>0.28999999999999998</v>
      </c>
      <c r="EH22" s="68">
        <f>Sheet2!EN32</f>
        <v>0.3</v>
      </c>
      <c r="EI22" s="68">
        <f>Sheet2!EO32</f>
        <v>0.3</v>
      </c>
      <c r="EJ22" s="68">
        <f>Sheet2!EP32</f>
        <v>0.3</v>
      </c>
      <c r="EK22" s="68">
        <f>Sheet2!EQ32</f>
        <v>0.3</v>
      </c>
      <c r="EL22" s="68">
        <f>Sheet2!ER32</f>
        <v>0.31</v>
      </c>
      <c r="EM22" s="68">
        <f>Sheet2!ES32</f>
        <v>0.31</v>
      </c>
      <c r="EN22" s="68">
        <f>Sheet2!ET32</f>
        <v>0.3</v>
      </c>
      <c r="EO22" s="68">
        <f>Sheet2!EU32</f>
        <v>0.3</v>
      </c>
      <c r="EP22" s="68">
        <f>Sheet2!EV32</f>
        <v>0.29799999999999999</v>
      </c>
      <c r="EQ22" s="71">
        <f>Sheet2!EW32</f>
        <v>0.28799999999999998</v>
      </c>
      <c r="ER22" s="68">
        <f>Sheet2!EX32</f>
        <v>0.28499999999999998</v>
      </c>
      <c r="ES22" s="68">
        <f>Sheet2!EY32</f>
        <v>0.28299999999999997</v>
      </c>
      <c r="ET22" s="68">
        <f>Sheet2!EZ32</f>
        <v>0.29499999999999998</v>
      </c>
      <c r="EU22" s="68">
        <f>Sheet2!FA32</f>
        <v>0.32</v>
      </c>
      <c r="EV22" s="68">
        <f>Sheet2!FB32</f>
        <v>0.32</v>
      </c>
      <c r="EW22" s="68">
        <f>Sheet2!FC32</f>
        <v>0.38</v>
      </c>
      <c r="EX22" s="68">
        <f>Sheet2!FD32</f>
        <v>0.38</v>
      </c>
      <c r="EY22" s="68">
        <f>Sheet2!FE32</f>
        <v>0.41</v>
      </c>
      <c r="EZ22" s="68">
        <f>Sheet2!FF32</f>
        <v>0.435</v>
      </c>
      <c r="FA22" s="68">
        <f>Sheet2!FG32</f>
        <v>0.435</v>
      </c>
      <c r="FB22" s="68">
        <f>Sheet2!FH32</f>
        <v>0.435</v>
      </c>
      <c r="FC22" s="68">
        <f>Sheet2!FI32</f>
        <v>0.435</v>
      </c>
      <c r="FD22" s="68">
        <f>Sheet2!FJ32</f>
        <v>0.42199999999999999</v>
      </c>
      <c r="FE22" s="68">
        <f>Sheet2!FK32</f>
        <v>0.42199999999999999</v>
      </c>
      <c r="FF22" s="71">
        <f>Sheet2!FL32</f>
        <v>0.4</v>
      </c>
      <c r="FG22" s="68">
        <f>Sheet2!FM32</f>
        <v>0.39</v>
      </c>
      <c r="FH22" s="68">
        <f>Sheet2!FN32</f>
        <v>0.37</v>
      </c>
      <c r="FI22" s="68">
        <f>Sheet2!FO32</f>
        <v>0.36</v>
      </c>
      <c r="FJ22" s="68">
        <f>Sheet2!FP32</f>
        <v>0.35399999999999998</v>
      </c>
      <c r="FK22" s="68">
        <f>Sheet2!FQ32</f>
        <v>0.34</v>
      </c>
      <c r="FL22" s="68">
        <f>Sheet2!FR32</f>
        <v>0.34</v>
      </c>
      <c r="FM22" s="68">
        <f>Sheet2!FS32</f>
        <v>0.34</v>
      </c>
      <c r="FN22" s="68">
        <f>Sheet2!FT32</f>
        <v>0.34</v>
      </c>
      <c r="FO22" s="72">
        <f>Sheet2!FU32</f>
        <v>0.34</v>
      </c>
      <c r="FP22" s="68">
        <f>Sheet2!FV32</f>
        <v>0.33</v>
      </c>
      <c r="FQ22" s="68">
        <f>Sheet2!FW32</f>
        <v>0.33</v>
      </c>
      <c r="FR22" s="68">
        <f>Sheet2!FX32</f>
        <v>0.315</v>
      </c>
      <c r="FS22" s="68">
        <f>Sheet2!FY32</f>
        <v>0.315</v>
      </c>
      <c r="FT22" s="68">
        <f>Sheet2!FZ32</f>
        <v>0.29499999999999998</v>
      </c>
      <c r="FU22" s="68">
        <f>Sheet2!GA32</f>
        <v>0.27500000000000002</v>
      </c>
      <c r="FV22" s="68">
        <f>Sheet2!GB32</f>
        <v>0.27200000000000002</v>
      </c>
      <c r="FW22" s="68">
        <f>Sheet2!GC32</f>
        <v>0.27</v>
      </c>
      <c r="FX22" s="68">
        <f>Sheet2!GD32</f>
        <v>0.27</v>
      </c>
      <c r="FY22" s="68">
        <f>Sheet2!GE32</f>
        <v>0.27</v>
      </c>
      <c r="FZ22" s="68">
        <f>Sheet2!GF32</f>
        <v>0.27</v>
      </c>
      <c r="GA22" s="68">
        <f>Sheet2!GG32</f>
        <v>0.29499999999999998</v>
      </c>
      <c r="GB22" s="68">
        <f>Sheet2!GH32</f>
        <v>0.36</v>
      </c>
      <c r="GC22" s="68">
        <f>Sheet2!GI32</f>
        <v>0.31</v>
      </c>
      <c r="GD22" s="68">
        <f>Sheet2!GJ32</f>
        <v>0.31</v>
      </c>
      <c r="GE22" s="73">
        <f>Sheet2!GK32</f>
        <v>0.31</v>
      </c>
      <c r="GF22" s="73">
        <f>Sheet2!GL32</f>
        <v>0.29499999999999998</v>
      </c>
      <c r="GG22" s="63">
        <f t="shared" si="0"/>
        <v>-4.8387096774193594</v>
      </c>
      <c r="GH22" s="64">
        <f t="shared" si="1"/>
        <v>2.5104602510460277</v>
      </c>
      <c r="GI22" s="65">
        <f t="shared" si="2"/>
        <v>-22.368421052631575</v>
      </c>
    </row>
    <row r="23" spans="1:198" ht="15.75">
      <c r="A23" t="s">
        <v>215</v>
      </c>
      <c r="B23" s="52"/>
      <c r="C23" s="52"/>
      <c r="D23" s="52"/>
      <c r="E23" s="52"/>
      <c r="F23" s="52"/>
      <c r="G23" s="52"/>
      <c r="H23" s="52"/>
      <c r="I23" s="52"/>
      <c r="J23" s="52"/>
      <c r="K23" s="52"/>
      <c r="L23" s="52"/>
      <c r="M23" s="52"/>
      <c r="N23" s="52"/>
      <c r="O23" s="52"/>
      <c r="P23" s="52"/>
      <c r="Q23" s="52"/>
      <c r="R23" s="52"/>
      <c r="S23" s="52"/>
      <c r="T23" s="52"/>
      <c r="U23" s="52"/>
      <c r="V23" s="52"/>
      <c r="W23" s="52"/>
      <c r="X23" s="52"/>
      <c r="Y23" s="52"/>
      <c r="Z23" s="52"/>
      <c r="AA23" s="52"/>
      <c r="AB23" s="52"/>
      <c r="AC23" s="52"/>
      <c r="AD23" s="52"/>
      <c r="AE23" s="52"/>
      <c r="AF23" s="52"/>
      <c r="AG23" s="52"/>
      <c r="AH23" s="52"/>
      <c r="AI23" s="52"/>
      <c r="AJ23" s="52"/>
      <c r="AK23" s="52"/>
      <c r="AL23" s="52"/>
      <c r="AM23" s="52"/>
      <c r="AN23" s="52"/>
      <c r="AO23" s="52"/>
      <c r="AP23" s="52"/>
      <c r="AQ23" s="52"/>
      <c r="AR23" s="52"/>
      <c r="AS23" s="52"/>
      <c r="AT23" s="52"/>
      <c r="AU23" s="52"/>
      <c r="AV23" s="49"/>
      <c r="AW23" s="49"/>
      <c r="AX23" s="49"/>
      <c r="AY23" s="49"/>
      <c r="AZ23" s="49"/>
      <c r="BA23" s="49"/>
      <c r="BB23" s="49"/>
      <c r="BC23" s="49"/>
      <c r="BD23" s="49"/>
      <c r="BE23" s="49"/>
      <c r="BF23" s="49"/>
      <c r="BG23" s="49"/>
      <c r="BH23" s="49"/>
      <c r="BI23" s="49"/>
      <c r="BJ23" s="49"/>
      <c r="BK23" s="49"/>
      <c r="BL23" s="49"/>
      <c r="BM23" s="49"/>
      <c r="BN23" s="49"/>
      <c r="BO23" s="49"/>
      <c r="BP23" s="49"/>
      <c r="BQ23" s="49"/>
      <c r="BR23" s="49"/>
      <c r="BS23" s="49"/>
      <c r="BT23" s="49"/>
      <c r="BU23" s="58"/>
      <c r="BV23" s="58"/>
      <c r="BW23" s="58"/>
      <c r="BX23" s="58"/>
      <c r="BY23" s="58"/>
      <c r="BZ23" s="58"/>
      <c r="CA23" s="58"/>
      <c r="CB23" s="58"/>
      <c r="CC23" s="58"/>
      <c r="CD23" s="58"/>
      <c r="CE23" s="58"/>
      <c r="CF23" s="58"/>
      <c r="CG23" s="58"/>
      <c r="CH23" s="58"/>
      <c r="CI23" s="58">
        <f>Sheet2!CL55</f>
        <v>0.28999999999999998</v>
      </c>
      <c r="CJ23" s="58">
        <f>Sheet2!CM55</f>
        <v>0.28000000000000003</v>
      </c>
      <c r="CK23" s="58">
        <f>Sheet2!CN55</f>
        <v>0.28499999999999998</v>
      </c>
      <c r="CL23" s="58">
        <f>Sheet2!CO55</f>
        <v>0.28499999999999998</v>
      </c>
      <c r="CM23" s="58">
        <f>Sheet2!CP55</f>
        <v>0.28499999999999998</v>
      </c>
      <c r="CN23" s="58">
        <f>Sheet2!CQ55</f>
        <v>0.28499999999999998</v>
      </c>
      <c r="CO23" s="58">
        <f>Sheet2!CR55</f>
        <v>0.28499999999999998</v>
      </c>
      <c r="CP23" s="58">
        <f>Sheet2!CS55</f>
        <v>0.28499999999999998</v>
      </c>
      <c r="CQ23" s="59">
        <f>Sheet2!CT55</f>
        <v>0.27500000000000002</v>
      </c>
      <c r="CR23" s="58">
        <f>Sheet2!CU55</f>
        <v>0.27500000000000002</v>
      </c>
      <c r="CS23" s="58">
        <f>Sheet2!CV55</f>
        <v>0.27500000000000002</v>
      </c>
      <c r="CT23" s="58">
        <f>Sheet2!CW55</f>
        <v>0.27500000000000002</v>
      </c>
      <c r="CU23" s="58">
        <f>Sheet2!CX55</f>
        <v>0.27500000000000002</v>
      </c>
      <c r="CV23" s="58">
        <f>Sheet2!CY55</f>
        <v>0.27500000000000002</v>
      </c>
      <c r="CW23" s="58">
        <f>Sheet2!CZ55</f>
        <v>0.28000000000000003</v>
      </c>
      <c r="CX23" s="58">
        <f>Sheet2!DA55</f>
        <v>0.28499999999999998</v>
      </c>
      <c r="CY23" s="58">
        <f>Sheet2!DB55</f>
        <v>0.28499999999999998</v>
      </c>
      <c r="CZ23" s="58">
        <f>Sheet2!DC55</f>
        <v>0.28499999999999998</v>
      </c>
      <c r="DA23" s="58">
        <f>Sheet2!DD55</f>
        <v>0.28499999999999998</v>
      </c>
      <c r="DB23" s="58">
        <f>Sheet2!DE55</f>
        <v>0.28499999999999998</v>
      </c>
      <c r="DC23" s="58">
        <f>Sheet2!DF55</f>
        <v>0.28499999999999998</v>
      </c>
      <c r="DD23" s="58">
        <f>Sheet2!DG55</f>
        <v>0.28499999999999998</v>
      </c>
      <c r="DE23" s="58">
        <f>Sheet2!DH55</f>
        <v>0.28499999999999998</v>
      </c>
      <c r="DF23" s="68">
        <f>Sheet2!DI55</f>
        <v>0.29799999999999999</v>
      </c>
      <c r="DG23" s="68">
        <f>Sheet2!DJ55</f>
        <v>0.31</v>
      </c>
      <c r="DH23" s="68">
        <f>Sheet2!DK55</f>
        <v>0.35</v>
      </c>
      <c r="DI23" s="68">
        <v>0.34</v>
      </c>
      <c r="DJ23" s="68">
        <f>Sheet2!DN55</f>
        <v>0.34</v>
      </c>
      <c r="DK23" s="68">
        <f>Sheet2!DO55</f>
        <v>0.33</v>
      </c>
      <c r="DL23" s="68">
        <f>Sheet2!DP55</f>
        <v>0.29499999999999998</v>
      </c>
      <c r="DM23" s="68">
        <f>Sheet2!DQ55</f>
        <v>0.28000000000000003</v>
      </c>
      <c r="DN23" s="68">
        <f>Sheet2!DR55</f>
        <v>0.28000000000000003</v>
      </c>
      <c r="DO23" s="68">
        <f>Sheet2!DS55</f>
        <v>0.26800000000000002</v>
      </c>
      <c r="DP23" s="68">
        <v>0.26500000000000001</v>
      </c>
      <c r="DQ23" s="68">
        <f>Sheet2!DV55</f>
        <v>0.26</v>
      </c>
      <c r="DR23" s="68">
        <f>Sheet2!DW55</f>
        <v>0.26</v>
      </c>
      <c r="DS23" s="68">
        <v>0.26</v>
      </c>
      <c r="DT23" s="68">
        <f>Sheet2!DZ55</f>
        <v>0.26</v>
      </c>
      <c r="DU23" s="68">
        <f>Sheet2!EA55</f>
        <v>0.26</v>
      </c>
      <c r="DV23" s="68">
        <f>Sheet2!EB55</f>
        <v>0.255</v>
      </c>
      <c r="DW23" s="68">
        <f>Sheet2!EC55</f>
        <v>0.245</v>
      </c>
      <c r="DX23" s="68">
        <f>Sheet2!ED55</f>
        <v>0.245</v>
      </c>
      <c r="DY23" s="71">
        <f>Sheet2!EE55</f>
        <v>0.26200000000000001</v>
      </c>
      <c r="DZ23" s="68">
        <f>Sheet2!EF55</f>
        <v>0.27500000000000002</v>
      </c>
      <c r="EA23" s="68">
        <f>Sheet2!EG55</f>
        <v>0.28999999999999998</v>
      </c>
      <c r="EB23" s="68">
        <f>Sheet2!EH55</f>
        <v>0.28999999999999998</v>
      </c>
      <c r="EC23" s="68">
        <f>Sheet2!EI55</f>
        <v>0.28999999999999998</v>
      </c>
      <c r="ED23" s="68">
        <f>Sheet2!EJ55</f>
        <v>0.28999999999999998</v>
      </c>
      <c r="EE23" s="68">
        <f>Sheet2!EK55</f>
        <v>0.29099999999999998</v>
      </c>
      <c r="EF23" s="68">
        <f>Sheet2!EL55</f>
        <v>0.29099999999999998</v>
      </c>
      <c r="EG23" s="68">
        <f>Sheet2!EM55</f>
        <v>0.28899999999999998</v>
      </c>
      <c r="EH23" s="68">
        <f>Sheet2!EN55</f>
        <v>0.28999999999999998</v>
      </c>
      <c r="EI23" s="68">
        <f>Sheet2!EO55</f>
        <v>0.28999999999999998</v>
      </c>
      <c r="EJ23" s="68">
        <f>Sheet2!EP55</f>
        <v>0.28999999999999998</v>
      </c>
      <c r="EK23" s="68">
        <f>Sheet2!EQ55</f>
        <v>0.28999999999999998</v>
      </c>
      <c r="EL23" s="68">
        <f>Sheet2!ER55</f>
        <v>0.28399999999999997</v>
      </c>
      <c r="EM23" s="68">
        <f>Sheet2!ES55</f>
        <v>0.28399999999999997</v>
      </c>
      <c r="EN23" s="68">
        <f>Sheet2!ET55</f>
        <v>0.28399999999999997</v>
      </c>
      <c r="EO23" s="68">
        <f>Sheet2!EU55</f>
        <v>0.28399999999999997</v>
      </c>
      <c r="EP23" s="68">
        <f>Sheet2!EV55</f>
        <v>0.28199999999999997</v>
      </c>
      <c r="EQ23" s="71">
        <f>Sheet2!EW55</f>
        <v>0.27800000000000002</v>
      </c>
      <c r="ER23" s="68">
        <f>Sheet2!EX55</f>
        <v>0.27500000000000002</v>
      </c>
      <c r="ES23" s="68">
        <f>Sheet2!EY55</f>
        <v>0.27300000000000002</v>
      </c>
      <c r="ET23" s="68">
        <f>Sheet2!EZ55</f>
        <v>0.28999999999999998</v>
      </c>
      <c r="EU23" s="68">
        <f>Sheet2!FA55</f>
        <v>0.31</v>
      </c>
      <c r="EV23" s="68">
        <f>Sheet2!FB55</f>
        <v>0.31</v>
      </c>
      <c r="EW23" s="68">
        <f>Sheet2!FC55</f>
        <v>0.37</v>
      </c>
      <c r="EX23" s="68">
        <f>Sheet2!FD55</f>
        <v>0.38</v>
      </c>
      <c r="EY23" s="68">
        <f>Sheet2!FE55</f>
        <v>0.41</v>
      </c>
      <c r="EZ23" s="68">
        <f>Sheet2!FF55</f>
        <v>0.435</v>
      </c>
      <c r="FA23" s="68">
        <f>Sheet2!FG55</f>
        <v>0.435</v>
      </c>
      <c r="FB23" s="68">
        <f>Sheet2!FH55</f>
        <v>0.435</v>
      </c>
      <c r="FC23" s="68">
        <f>Sheet2!FI55</f>
        <v>0.435</v>
      </c>
      <c r="FD23" s="68">
        <f>Sheet2!FJ55</f>
        <v>0.42</v>
      </c>
      <c r="FE23" s="68">
        <f>Sheet2!FK55</f>
        <v>0.42</v>
      </c>
      <c r="FF23" s="71">
        <f>Sheet2!FL55</f>
        <v>0.41</v>
      </c>
      <c r="FG23" s="68">
        <f>Sheet2!FM55</f>
        <v>0.39</v>
      </c>
      <c r="FH23" s="68">
        <f>Sheet2!FN55</f>
        <v>0.375</v>
      </c>
      <c r="FI23" s="68">
        <f>Sheet2!FO55</f>
        <v>0.36</v>
      </c>
      <c r="FJ23" s="68">
        <f>Sheet2!FP55</f>
        <v>0.35499999999999998</v>
      </c>
      <c r="FK23" s="68">
        <f>Sheet2!FQ55</f>
        <v>0.34</v>
      </c>
      <c r="FL23" s="68">
        <f>Sheet2!FR55</f>
        <v>0.34</v>
      </c>
      <c r="FM23" s="68">
        <f>Sheet2!FS55</f>
        <v>0.34</v>
      </c>
      <c r="FN23" s="68">
        <f>Sheet2!FT55</f>
        <v>0.34</v>
      </c>
      <c r="FO23" s="72">
        <f>Sheet2!FU55</f>
        <v>0.34</v>
      </c>
      <c r="FP23" s="68">
        <f>Sheet2!FV55</f>
        <v>0.33</v>
      </c>
      <c r="FQ23" s="68">
        <f>Sheet2!FW55</f>
        <v>0.33</v>
      </c>
      <c r="FR23" s="68">
        <f>Sheet2!FX55</f>
        <v>0.315</v>
      </c>
      <c r="FS23" s="68">
        <f>Sheet2!FY55</f>
        <v>0.31</v>
      </c>
      <c r="FT23" s="68">
        <f>Sheet2!FZ55</f>
        <v>0.28999999999999998</v>
      </c>
      <c r="FU23" s="68">
        <f>Sheet2!GA55</f>
        <v>0.27</v>
      </c>
      <c r="FV23" s="68">
        <f>Sheet2!GB55</f>
        <v>0.26800000000000002</v>
      </c>
      <c r="FW23" s="68">
        <f>Sheet2!GC55</f>
        <v>0.26800000000000002</v>
      </c>
      <c r="FX23" s="68">
        <f>Sheet2!GD55</f>
        <v>0.26800000000000002</v>
      </c>
      <c r="FY23" s="68">
        <f>Sheet2!GE55</f>
        <v>0.26800000000000002</v>
      </c>
      <c r="FZ23" s="68">
        <f>Sheet2!GF55</f>
        <v>0.26800000000000002</v>
      </c>
      <c r="GA23" s="68">
        <f>Sheet2!GG55</f>
        <v>0.28999999999999998</v>
      </c>
      <c r="GB23" s="68">
        <f>Sheet2!GH55</f>
        <v>0.38</v>
      </c>
      <c r="GC23" s="68">
        <f>Sheet2!GI55</f>
        <v>0.30499999999999999</v>
      </c>
      <c r="GD23" s="68">
        <f>Sheet2!GJ55</f>
        <v>0.3</v>
      </c>
      <c r="GE23" s="73">
        <f>Sheet2!GK55</f>
        <v>0.3</v>
      </c>
      <c r="GF23" s="73">
        <f>Sheet2!GL55</f>
        <v>0.315</v>
      </c>
      <c r="GG23" s="63">
        <f t="shared" si="0"/>
        <v>5</v>
      </c>
      <c r="GH23" s="64">
        <f t="shared" si="1"/>
        <v>1.1608623548922068</v>
      </c>
      <c r="GI23" s="65">
        <f t="shared" si="2"/>
        <v>-14.86486486486487</v>
      </c>
    </row>
    <row r="24" spans="1:198" s="37" customFormat="1" ht="15.75">
      <c r="A24" s="44" t="s">
        <v>216</v>
      </c>
      <c r="B24" s="45"/>
      <c r="C24" s="45"/>
      <c r="D24" s="45"/>
      <c r="E24" s="45"/>
      <c r="F24" s="45"/>
      <c r="G24" s="45"/>
      <c r="H24" s="45"/>
      <c r="I24" s="45"/>
      <c r="J24" s="45"/>
      <c r="K24" s="45"/>
      <c r="L24" s="45"/>
      <c r="M24" s="45"/>
      <c r="N24" s="45"/>
      <c r="O24" s="45"/>
      <c r="P24" s="45"/>
      <c r="Q24" s="45"/>
      <c r="R24" s="45"/>
      <c r="S24" s="45"/>
      <c r="T24" s="45"/>
      <c r="U24" s="45"/>
      <c r="V24" s="45"/>
      <c r="W24" s="45"/>
      <c r="X24" s="45"/>
      <c r="Y24" s="45"/>
      <c r="Z24" s="45"/>
      <c r="AA24" s="45"/>
      <c r="AB24" s="45"/>
      <c r="AC24" s="45"/>
      <c r="AD24" s="45"/>
      <c r="AE24" s="45"/>
      <c r="AF24" s="45"/>
      <c r="AG24" s="45"/>
      <c r="AH24" s="45"/>
      <c r="AI24" s="45"/>
      <c r="AJ24" s="45"/>
      <c r="AK24" s="45"/>
      <c r="AL24" s="45"/>
      <c r="AM24" s="45"/>
      <c r="AN24" s="45"/>
      <c r="AO24" s="45"/>
      <c r="AP24" s="45"/>
      <c r="AQ24" s="45"/>
      <c r="AR24" s="45"/>
      <c r="AS24" s="45"/>
      <c r="AT24" s="45"/>
      <c r="AU24" s="45"/>
      <c r="AV24" s="45"/>
      <c r="AW24" s="45"/>
      <c r="AX24" s="45"/>
      <c r="AY24" s="52"/>
      <c r="AZ24" s="58"/>
      <c r="BA24" s="58"/>
      <c r="BB24" s="58"/>
      <c r="BC24" s="58"/>
      <c r="BD24" s="58"/>
      <c r="BE24" s="58"/>
      <c r="BF24" s="58"/>
      <c r="BG24" s="58"/>
      <c r="BH24" s="58"/>
      <c r="BI24" s="58"/>
      <c r="BJ24" s="58"/>
      <c r="BK24" s="58"/>
      <c r="BL24" s="58"/>
      <c r="BM24" s="58"/>
      <c r="BN24" s="58"/>
      <c r="BO24" s="58"/>
      <c r="BP24" s="58"/>
      <c r="BQ24" s="58"/>
      <c r="BR24" s="58"/>
      <c r="BS24" s="58"/>
      <c r="BT24" s="58"/>
      <c r="BU24" s="58"/>
      <c r="BV24" s="58"/>
      <c r="BW24" s="58"/>
      <c r="BX24" s="58"/>
      <c r="BY24" s="58"/>
      <c r="BZ24" s="58"/>
      <c r="CA24" s="58"/>
      <c r="CB24" s="58"/>
      <c r="CC24" s="58"/>
      <c r="CD24" s="58"/>
      <c r="CE24" s="58"/>
      <c r="CF24" s="58"/>
      <c r="CG24" s="58"/>
      <c r="CH24" s="58"/>
      <c r="CI24" s="58"/>
      <c r="CJ24" s="58"/>
      <c r="CK24" s="58"/>
      <c r="CL24" s="58"/>
      <c r="CM24" s="58"/>
      <c r="CN24" s="58"/>
      <c r="CO24" s="58"/>
      <c r="CP24" s="58"/>
      <c r="CQ24" s="59"/>
      <c r="CR24" s="58"/>
      <c r="CS24" s="58"/>
      <c r="CT24" s="58"/>
      <c r="CU24" s="58"/>
      <c r="CV24" s="58"/>
      <c r="CW24" s="58"/>
      <c r="CX24" s="57"/>
      <c r="CY24" s="57"/>
      <c r="CZ24" s="57"/>
      <c r="DA24" s="57"/>
      <c r="DB24" s="57"/>
      <c r="DC24" s="57"/>
      <c r="DD24" s="57"/>
      <c r="DE24" s="57"/>
      <c r="DF24" s="68"/>
      <c r="DG24" s="57"/>
      <c r="DH24" s="57"/>
      <c r="DI24" s="57"/>
      <c r="DJ24" s="57"/>
      <c r="DK24" s="57"/>
      <c r="DL24" s="57"/>
      <c r="DM24" s="57"/>
      <c r="DN24" s="57"/>
      <c r="DO24" s="57"/>
      <c r="DP24" s="57"/>
      <c r="DQ24" s="57"/>
      <c r="DR24" s="57"/>
      <c r="DS24" s="57"/>
      <c r="DT24" s="57"/>
      <c r="DU24" s="57"/>
      <c r="DV24" s="57"/>
      <c r="DW24" s="57"/>
      <c r="DX24" s="66"/>
      <c r="DY24" s="69"/>
      <c r="DZ24" s="66"/>
      <c r="EA24" s="66"/>
      <c r="EB24" s="66"/>
      <c r="EC24" s="66"/>
      <c r="ED24" s="66"/>
      <c r="EE24" s="66"/>
      <c r="EF24" s="66"/>
      <c r="EG24" s="66"/>
      <c r="EH24" s="66"/>
      <c r="EI24" s="66"/>
      <c r="EJ24" s="66"/>
      <c r="EK24" s="66"/>
      <c r="EL24" s="66"/>
      <c r="EM24" s="66"/>
      <c r="EN24" s="66"/>
      <c r="EO24" s="66"/>
      <c r="EP24" s="66"/>
      <c r="EQ24" s="69"/>
      <c r="ER24" s="66"/>
      <c r="ES24" s="66"/>
      <c r="ET24" s="66"/>
      <c r="EU24" s="66"/>
      <c r="EV24" s="66"/>
      <c r="EW24" s="66"/>
      <c r="EX24" s="66"/>
      <c r="EY24" s="70"/>
      <c r="EZ24" s="70"/>
      <c r="FA24" s="66"/>
      <c r="FB24" s="66"/>
      <c r="FC24" s="66"/>
      <c r="FD24" s="66"/>
      <c r="FE24" s="66"/>
      <c r="FF24" s="69"/>
      <c r="FG24" s="66"/>
      <c r="FH24" s="66"/>
      <c r="FI24" s="66"/>
      <c r="FJ24" s="66"/>
      <c r="FK24" s="66"/>
      <c r="FL24" s="66"/>
      <c r="FM24" s="66"/>
      <c r="FN24" s="66"/>
      <c r="FO24" s="67"/>
      <c r="FP24" s="66"/>
      <c r="FQ24" s="66"/>
      <c r="FR24" s="66"/>
      <c r="FS24" s="66"/>
      <c r="FT24" s="66"/>
      <c r="FU24" s="66"/>
      <c r="FV24" s="66"/>
      <c r="FW24" s="66"/>
      <c r="FX24" s="66"/>
      <c r="FY24" s="66"/>
      <c r="FZ24" s="66"/>
      <c r="GA24" s="66"/>
      <c r="GB24" s="66"/>
      <c r="GC24" s="66"/>
      <c r="GD24" s="66"/>
      <c r="GE24" s="63"/>
      <c r="GF24" s="63"/>
      <c r="GG24" s="63"/>
      <c r="GH24" s="64"/>
      <c r="GI24" s="65"/>
    </row>
    <row r="25" spans="1:198" ht="15.75">
      <c r="A25" t="s">
        <v>217</v>
      </c>
      <c r="B25" s="52">
        <v>1.83</v>
      </c>
      <c r="C25" s="52">
        <v>1.79</v>
      </c>
      <c r="D25" s="52">
        <v>1.79</v>
      </c>
      <c r="E25" s="52">
        <v>1.79</v>
      </c>
      <c r="F25" s="52">
        <v>1.79</v>
      </c>
      <c r="G25" s="52">
        <v>1.78</v>
      </c>
      <c r="H25" s="52">
        <v>1.78</v>
      </c>
      <c r="I25" s="52">
        <v>1.76</v>
      </c>
      <c r="J25" s="52">
        <v>1.76</v>
      </c>
      <c r="K25" s="52">
        <v>1.76</v>
      </c>
      <c r="L25" s="52">
        <v>1.74</v>
      </c>
      <c r="M25" s="52">
        <v>1.73</v>
      </c>
      <c r="N25" s="52">
        <v>1.73</v>
      </c>
      <c r="O25" s="52">
        <v>1.73</v>
      </c>
      <c r="P25" s="52">
        <v>1.73</v>
      </c>
      <c r="Q25" s="52">
        <v>1.71</v>
      </c>
      <c r="R25" s="52">
        <v>1.71</v>
      </c>
      <c r="S25" s="52">
        <v>1.68</v>
      </c>
      <c r="T25" s="52">
        <v>1.62</v>
      </c>
      <c r="U25" s="52">
        <v>1.62</v>
      </c>
      <c r="V25" s="52">
        <v>1.6</v>
      </c>
      <c r="W25" s="52">
        <v>1.57</v>
      </c>
      <c r="X25" s="52">
        <v>1.4</v>
      </c>
      <c r="Y25" s="52">
        <v>1.38</v>
      </c>
      <c r="Z25" s="52">
        <v>1.375</v>
      </c>
      <c r="AA25" s="52">
        <v>1.36</v>
      </c>
      <c r="AB25" s="52">
        <v>1.33</v>
      </c>
      <c r="AC25" s="52">
        <v>1.31</v>
      </c>
      <c r="AD25" s="52">
        <v>1.31</v>
      </c>
      <c r="AE25" s="52">
        <v>1.27</v>
      </c>
      <c r="AF25" s="52">
        <v>1.27</v>
      </c>
      <c r="AG25" s="52">
        <v>1.27</v>
      </c>
      <c r="AH25" s="52">
        <v>1.27</v>
      </c>
      <c r="AI25" s="52">
        <v>1.27</v>
      </c>
      <c r="AJ25" s="52">
        <v>1.27</v>
      </c>
      <c r="AK25" s="52">
        <v>1.2549999999999999</v>
      </c>
      <c r="AL25" s="52">
        <v>1.22</v>
      </c>
      <c r="AM25" s="52">
        <v>1.1599999999999999</v>
      </c>
      <c r="AN25" s="52">
        <v>1.1299999999999999</v>
      </c>
      <c r="AO25" s="52">
        <v>1.1000000000000001</v>
      </c>
      <c r="AP25" s="52">
        <v>1.08</v>
      </c>
      <c r="AQ25" s="52">
        <v>1.02</v>
      </c>
      <c r="AR25" s="52">
        <v>1</v>
      </c>
      <c r="AS25" s="52">
        <v>1</v>
      </c>
      <c r="AT25" s="52">
        <v>0.98</v>
      </c>
      <c r="AU25" s="52">
        <v>0.98</v>
      </c>
      <c r="AV25" s="52">
        <v>0.93</v>
      </c>
      <c r="AW25" s="52">
        <v>0.92</v>
      </c>
      <c r="AX25" s="52">
        <v>0.88</v>
      </c>
      <c r="AY25" s="57">
        <f>Sheet2!BB37</f>
        <v>0.87</v>
      </c>
      <c r="AZ25" s="58">
        <f>Sheet2!BC37</f>
        <v>0.87</v>
      </c>
      <c r="BA25" s="58">
        <f>Sheet2!BD37</f>
        <v>0.87</v>
      </c>
      <c r="BB25" s="58">
        <f>Sheet2!BE37</f>
        <v>0.86</v>
      </c>
      <c r="BC25" s="58">
        <f>Sheet2!BF37</f>
        <v>0.86</v>
      </c>
      <c r="BD25" s="58">
        <f>Sheet2!BG37</f>
        <v>0.86</v>
      </c>
      <c r="BE25" s="58">
        <f>Sheet2!BH37</f>
        <v>0.86</v>
      </c>
      <c r="BF25" s="58">
        <f>Sheet2!BI37</f>
        <v>0.86</v>
      </c>
      <c r="BG25" s="58">
        <f>Sheet2!BJ37</f>
        <v>0.86</v>
      </c>
      <c r="BH25" s="58">
        <f>Sheet2!BK37</f>
        <v>0.86</v>
      </c>
      <c r="BI25" s="58">
        <f>Sheet2!BL37</f>
        <v>0.86</v>
      </c>
      <c r="BJ25" s="58">
        <f>Sheet2!BM37</f>
        <v>0.86</v>
      </c>
      <c r="BK25" s="58">
        <f>Sheet2!BN37</f>
        <v>0.85</v>
      </c>
      <c r="BL25" s="58">
        <f>Sheet2!BO37</f>
        <v>0.85</v>
      </c>
      <c r="BM25" s="58">
        <f>Sheet2!BP37</f>
        <v>0.85</v>
      </c>
      <c r="BN25" s="58">
        <f>Sheet2!BQ37</f>
        <v>0.85</v>
      </c>
      <c r="BO25" s="58">
        <f>Sheet2!BR37</f>
        <v>0.84</v>
      </c>
      <c r="BP25" s="58">
        <f>Sheet2!BS37</f>
        <v>0.83</v>
      </c>
      <c r="BQ25" s="58">
        <f>Sheet2!BT37</f>
        <v>0.82</v>
      </c>
      <c r="BR25" s="58">
        <f>Sheet2!BU37</f>
        <v>0.8</v>
      </c>
      <c r="BS25" s="58">
        <f>Sheet2!BV37</f>
        <v>0.8</v>
      </c>
      <c r="BT25" s="58">
        <f>Sheet2!BW37</f>
        <v>0.8</v>
      </c>
      <c r="BU25" s="58">
        <f>Sheet2!BX37</f>
        <v>0.8</v>
      </c>
      <c r="BV25" s="58">
        <f>Sheet2!BY37</f>
        <v>0.78</v>
      </c>
      <c r="BW25" s="58">
        <f>Sheet2!BZ37</f>
        <v>0.78</v>
      </c>
      <c r="BX25" s="58">
        <f>Sheet2!CA37</f>
        <v>0.75</v>
      </c>
      <c r="BY25" s="58">
        <f>Sheet2!CB37</f>
        <v>0.74</v>
      </c>
      <c r="BZ25" s="58">
        <f>Sheet2!CC37</f>
        <v>0.74</v>
      </c>
      <c r="CA25" s="58">
        <f>Sheet2!CD37</f>
        <v>0.74</v>
      </c>
      <c r="CB25" s="58">
        <f>Sheet2!CE37</f>
        <v>0.74</v>
      </c>
      <c r="CC25" s="58">
        <f>Sheet2!CF37</f>
        <v>0.74</v>
      </c>
      <c r="CD25" s="58">
        <f>Sheet2!CG37</f>
        <v>0.74</v>
      </c>
      <c r="CE25" s="58">
        <f>Sheet2!CH37</f>
        <v>0.74</v>
      </c>
      <c r="CF25" s="58">
        <f>Sheet2!CI37</f>
        <v>0.74</v>
      </c>
      <c r="CG25" s="57">
        <f>Sheet2!CJ37</f>
        <v>0.74</v>
      </c>
      <c r="CH25" s="57">
        <f>Sheet2!CK37</f>
        <v>0.74</v>
      </c>
      <c r="CI25" s="57">
        <f>Sheet2!CL37</f>
        <v>0.74</v>
      </c>
      <c r="CJ25" s="57">
        <f>Sheet2!CM37</f>
        <v>0.72</v>
      </c>
      <c r="CK25" s="57">
        <f>Sheet2!CN37</f>
        <v>0.68</v>
      </c>
      <c r="CL25" s="57">
        <f>Sheet2!CO37</f>
        <v>0.68</v>
      </c>
      <c r="CM25" s="57">
        <f>Sheet2!CP37</f>
        <v>0.68</v>
      </c>
      <c r="CN25" s="57">
        <f>Sheet2!CQ37</f>
        <v>0.68</v>
      </c>
      <c r="CO25" s="57">
        <f>Sheet2!CR37</f>
        <v>0.68</v>
      </c>
      <c r="CP25" s="57">
        <f>Sheet2!CS37</f>
        <v>0.68</v>
      </c>
      <c r="CQ25" s="60">
        <f>Sheet2!CT37</f>
        <v>0.68</v>
      </c>
      <c r="CR25" s="57">
        <f>Sheet2!CU37</f>
        <v>0.67</v>
      </c>
      <c r="CS25" s="57">
        <f>Sheet2!CV37</f>
        <v>0.67</v>
      </c>
      <c r="CT25" s="57">
        <f>Sheet2!CW37</f>
        <v>0.67</v>
      </c>
      <c r="CU25" s="57">
        <f>Sheet2!CX37</f>
        <v>0.67</v>
      </c>
      <c r="CV25" s="57">
        <f>Sheet2!CY37</f>
        <v>0.67</v>
      </c>
      <c r="CW25" s="57">
        <f>Sheet2!CZ37</f>
        <v>0.67</v>
      </c>
      <c r="CX25" s="57">
        <f>Sheet2!DA37</f>
        <v>0.65</v>
      </c>
      <c r="CY25" s="57">
        <f>Sheet2!DB37</f>
        <v>0.65</v>
      </c>
      <c r="CZ25" s="57">
        <f>Sheet2!DC37</f>
        <v>0.65</v>
      </c>
      <c r="DA25" s="57">
        <f>Sheet2!DD37</f>
        <v>0.65</v>
      </c>
      <c r="DB25" s="57">
        <f>Sheet2!DE37</f>
        <v>0.65</v>
      </c>
      <c r="DC25" s="57">
        <f>Sheet2!DF37</f>
        <v>0.65</v>
      </c>
      <c r="DD25" s="57">
        <f>Sheet2!DG37</f>
        <v>0.65</v>
      </c>
      <c r="DE25" s="57">
        <f>Sheet2!DH37</f>
        <v>0.65</v>
      </c>
      <c r="DF25" s="68">
        <f>Sheet2!DI37</f>
        <v>0.65</v>
      </c>
      <c r="DG25" s="68">
        <f>Sheet2!DJ37</f>
        <v>0.65</v>
      </c>
      <c r="DH25" s="68">
        <f>Sheet2!DK37</f>
        <v>0.65</v>
      </c>
      <c r="DI25" s="68">
        <v>0.65</v>
      </c>
      <c r="DJ25" s="68">
        <f>Sheet2!DN37</f>
        <v>0.65</v>
      </c>
      <c r="DK25" s="68">
        <f>Sheet2!DO37</f>
        <v>0.65</v>
      </c>
      <c r="DL25" s="68">
        <f>Sheet2!DP37</f>
        <v>0.65</v>
      </c>
      <c r="DM25" s="68">
        <f>Sheet2!DQ37</f>
        <v>0.65</v>
      </c>
      <c r="DN25" s="68">
        <f>Sheet2!DR37</f>
        <v>0.65</v>
      </c>
      <c r="DO25" s="68">
        <f>Sheet2!DS37</f>
        <v>0.65</v>
      </c>
      <c r="DP25" s="68">
        <v>0.65</v>
      </c>
      <c r="DQ25" s="68">
        <f>Sheet2!DV37</f>
        <v>0.65</v>
      </c>
      <c r="DR25" s="68">
        <f>Sheet2!DW37</f>
        <v>0.65</v>
      </c>
      <c r="DS25" s="68">
        <v>0.65</v>
      </c>
      <c r="DT25" s="68">
        <f>Sheet2!DZ37</f>
        <v>0.65</v>
      </c>
      <c r="DU25" s="68">
        <f>Sheet2!EA37</f>
        <v>0.65</v>
      </c>
      <c r="DV25" s="68">
        <f>Sheet2!EB37</f>
        <v>0.65</v>
      </c>
      <c r="DW25" s="68">
        <f>Sheet2!EC37</f>
        <v>0.65</v>
      </c>
      <c r="DX25" s="68">
        <f>Sheet2!ED37</f>
        <v>0.65</v>
      </c>
      <c r="DY25" s="71">
        <f>Sheet2!EE37</f>
        <v>0.65</v>
      </c>
      <c r="DZ25" s="68">
        <f>Sheet2!EF37</f>
        <v>0.65</v>
      </c>
      <c r="EA25" s="68">
        <f>Sheet2!EG37</f>
        <v>0.65</v>
      </c>
      <c r="EB25" s="68">
        <f>Sheet2!EH37</f>
        <v>0.65</v>
      </c>
      <c r="EC25" s="68">
        <f>Sheet2!EI37</f>
        <v>0.65</v>
      </c>
      <c r="ED25" s="68">
        <f>Sheet2!EJ37</f>
        <v>0.65</v>
      </c>
      <c r="EE25" s="68">
        <f>Sheet2!EK37</f>
        <v>0.65</v>
      </c>
      <c r="EF25" s="68">
        <f>Sheet2!EL37</f>
        <v>0.65</v>
      </c>
      <c r="EG25" s="68">
        <f>Sheet2!EM37</f>
        <v>0.65</v>
      </c>
      <c r="EH25" s="68">
        <f>Sheet2!EN37</f>
        <v>0.65</v>
      </c>
      <c r="EI25" s="68"/>
      <c r="EJ25" s="66"/>
      <c r="EK25" s="66"/>
      <c r="EL25" s="66"/>
      <c r="EM25" s="66"/>
      <c r="EN25" s="66"/>
      <c r="EO25" s="66"/>
      <c r="EP25" s="66"/>
      <c r="EQ25" s="69"/>
      <c r="ER25" s="66"/>
      <c r="ES25" s="66"/>
      <c r="ET25" s="66"/>
      <c r="EU25" s="66"/>
      <c r="EV25" s="66"/>
      <c r="EW25" s="66"/>
      <c r="EX25" s="70" t="s">
        <v>204</v>
      </c>
      <c r="EY25" s="70"/>
      <c r="EZ25" s="70"/>
      <c r="FA25" s="66"/>
      <c r="FB25" s="66"/>
      <c r="FC25" s="66"/>
      <c r="FD25" s="66"/>
      <c r="FE25" s="66"/>
      <c r="FF25" s="69"/>
      <c r="FG25" s="66"/>
      <c r="FH25" s="66"/>
      <c r="FI25" s="66"/>
      <c r="FJ25" s="66"/>
      <c r="FK25" s="66"/>
      <c r="FL25" s="66"/>
      <c r="FM25" s="66"/>
      <c r="FN25" s="66"/>
      <c r="FO25" s="67"/>
      <c r="FP25" s="66"/>
      <c r="FQ25" s="66"/>
      <c r="FR25" s="66"/>
      <c r="FS25" s="66"/>
      <c r="FT25" s="66"/>
      <c r="FU25" s="66"/>
      <c r="FV25" s="66"/>
      <c r="FW25" s="66"/>
      <c r="FX25" s="66"/>
      <c r="FY25" s="66"/>
      <c r="FZ25" s="66"/>
      <c r="GA25" s="66"/>
      <c r="GB25" s="66"/>
      <c r="GC25" s="66"/>
      <c r="GD25" s="66"/>
      <c r="GE25" s="63"/>
      <c r="GF25" s="63"/>
      <c r="GG25" s="63"/>
      <c r="GH25" s="64"/>
      <c r="GI25" s="65"/>
    </row>
    <row r="26" spans="1:198" ht="15.75">
      <c r="A26" t="s">
        <v>218</v>
      </c>
      <c r="B26" s="52">
        <v>1.85</v>
      </c>
      <c r="C26" s="52">
        <v>1.81</v>
      </c>
      <c r="D26" s="52">
        <v>1.81</v>
      </c>
      <c r="E26" s="52">
        <v>1.81</v>
      </c>
      <c r="F26" s="52">
        <v>1.81</v>
      </c>
      <c r="G26" s="52">
        <v>1.8</v>
      </c>
      <c r="H26" s="52">
        <v>1.8</v>
      </c>
      <c r="I26" s="52">
        <v>1.78</v>
      </c>
      <c r="J26" s="52">
        <v>1.78</v>
      </c>
      <c r="K26" s="52">
        <v>1.78</v>
      </c>
      <c r="L26" s="52">
        <v>1.76</v>
      </c>
      <c r="M26" s="52">
        <v>1.75</v>
      </c>
      <c r="N26" s="52">
        <v>1.75</v>
      </c>
      <c r="O26" s="52">
        <v>1.75</v>
      </c>
      <c r="P26" s="52">
        <v>1.75</v>
      </c>
      <c r="Q26" s="52">
        <v>1.73</v>
      </c>
      <c r="R26" s="52">
        <v>1.73</v>
      </c>
      <c r="S26" s="52">
        <v>1.7</v>
      </c>
      <c r="T26" s="52">
        <v>1.65</v>
      </c>
      <c r="U26" s="52">
        <v>1.65</v>
      </c>
      <c r="V26" s="52">
        <v>1.62</v>
      </c>
      <c r="W26" s="52">
        <v>1.59</v>
      </c>
      <c r="X26" s="52">
        <v>1.42</v>
      </c>
      <c r="Y26" s="52">
        <v>1.4</v>
      </c>
      <c r="Z26" s="52">
        <v>1.395</v>
      </c>
      <c r="AA26" s="52">
        <v>1.39</v>
      </c>
      <c r="AB26" s="52">
        <v>1.355</v>
      </c>
      <c r="AC26" s="52">
        <v>1.33</v>
      </c>
      <c r="AD26" s="52">
        <v>1.33</v>
      </c>
      <c r="AE26" s="52">
        <v>1.28</v>
      </c>
      <c r="AF26" s="52">
        <v>1.28</v>
      </c>
      <c r="AG26" s="52">
        <v>1.28</v>
      </c>
      <c r="AH26" s="52">
        <v>1.28</v>
      </c>
      <c r="AI26" s="52">
        <v>1.28</v>
      </c>
      <c r="AJ26" s="52">
        <v>1.28</v>
      </c>
      <c r="AK26" s="52">
        <v>1.2649999999999999</v>
      </c>
      <c r="AL26" s="52">
        <v>1.24</v>
      </c>
      <c r="AM26" s="52">
        <v>1.18</v>
      </c>
      <c r="AN26" s="52">
        <v>1.1499999999999999</v>
      </c>
      <c r="AO26" s="52">
        <v>1.1200000000000001</v>
      </c>
      <c r="AP26" s="52">
        <v>1.1000000000000001</v>
      </c>
      <c r="AQ26" s="52">
        <v>1.05</v>
      </c>
      <c r="AR26" s="52">
        <v>1.04</v>
      </c>
      <c r="AS26" s="52">
        <v>1.04</v>
      </c>
      <c r="AT26" s="52">
        <v>1.03</v>
      </c>
      <c r="AU26" s="52">
        <v>1.03</v>
      </c>
      <c r="AV26" s="52">
        <v>0.95</v>
      </c>
      <c r="AW26" s="52">
        <v>0.94</v>
      </c>
      <c r="AX26" s="52">
        <v>0.92</v>
      </c>
      <c r="AY26" s="57">
        <f>Sheet2!BB38</f>
        <v>0.91</v>
      </c>
      <c r="AZ26" s="58">
        <f>Sheet2!BC38</f>
        <v>0.91</v>
      </c>
      <c r="BA26" s="58">
        <f>Sheet2!BD38</f>
        <v>0.91</v>
      </c>
      <c r="BB26" s="58">
        <f>Sheet2!BE38</f>
        <v>0.89</v>
      </c>
      <c r="BC26" s="58">
        <f>Sheet2!BF38</f>
        <v>0.89</v>
      </c>
      <c r="BD26" s="58">
        <f>Sheet2!BG38</f>
        <v>0.89</v>
      </c>
      <c r="BE26" s="58">
        <f>Sheet2!BH38</f>
        <v>0.89</v>
      </c>
      <c r="BF26" s="58">
        <f>Sheet2!BI38</f>
        <v>0.89</v>
      </c>
      <c r="BG26" s="58">
        <f>Sheet2!BJ38</f>
        <v>0.89</v>
      </c>
      <c r="BH26" s="58">
        <f>Sheet2!BK38</f>
        <v>0.89</v>
      </c>
      <c r="BI26" s="58">
        <f>Sheet2!BL38</f>
        <v>0.89</v>
      </c>
      <c r="BJ26" s="58">
        <f>Sheet2!BM38</f>
        <v>0.89</v>
      </c>
      <c r="BK26" s="58">
        <f>Sheet2!BN38</f>
        <v>0.88</v>
      </c>
      <c r="BL26" s="58">
        <f>Sheet2!BO38</f>
        <v>0.88</v>
      </c>
      <c r="BM26" s="58">
        <f>Sheet2!BP38</f>
        <v>0.88</v>
      </c>
      <c r="BN26" s="58">
        <f>Sheet2!BQ38</f>
        <v>0.88</v>
      </c>
      <c r="BO26" s="58">
        <f>Sheet2!BR38</f>
        <v>0.87</v>
      </c>
      <c r="BP26" s="58">
        <f>Sheet2!BS38</f>
        <v>0.86</v>
      </c>
      <c r="BQ26" s="58">
        <f>Sheet2!BT38</f>
        <v>0.85</v>
      </c>
      <c r="BR26" s="58">
        <f>Sheet2!BU38</f>
        <v>0.82</v>
      </c>
      <c r="BS26" s="58">
        <f>Sheet2!BV38</f>
        <v>0.82</v>
      </c>
      <c r="BT26" s="58">
        <f>Sheet2!BW38</f>
        <v>0.82</v>
      </c>
      <c r="BU26" s="58">
        <f>Sheet2!BX38</f>
        <v>0.82</v>
      </c>
      <c r="BV26" s="58">
        <f>Sheet2!BY38</f>
        <v>0.8</v>
      </c>
      <c r="BW26" s="58">
        <f>Sheet2!BZ38</f>
        <v>0.8</v>
      </c>
      <c r="BX26" s="58">
        <f>Sheet2!CA38</f>
        <v>0.8</v>
      </c>
      <c r="BY26" s="58">
        <f>Sheet2!CB38</f>
        <v>0.78</v>
      </c>
      <c r="BZ26" s="58">
        <f>Sheet2!CC38</f>
        <v>0.78</v>
      </c>
      <c r="CA26" s="58">
        <f>Sheet2!CD38</f>
        <v>0.78</v>
      </c>
      <c r="CB26" s="58">
        <f>Sheet2!CE38</f>
        <v>0.78</v>
      </c>
      <c r="CC26" s="58">
        <f>Sheet2!CF38</f>
        <v>0.78</v>
      </c>
      <c r="CD26" s="58">
        <f>Sheet2!CG38</f>
        <v>0.78</v>
      </c>
      <c r="CE26" s="58">
        <f>Sheet2!CH38</f>
        <v>0.78</v>
      </c>
      <c r="CF26" s="58">
        <f>Sheet2!CI38</f>
        <v>0.78</v>
      </c>
      <c r="CG26" s="57">
        <f>Sheet2!CJ38</f>
        <v>0.78</v>
      </c>
      <c r="CH26" s="57">
        <f>Sheet2!CK38</f>
        <v>0.76</v>
      </c>
      <c r="CI26" s="57">
        <f>Sheet2!CL38</f>
        <v>0.76</v>
      </c>
      <c r="CJ26" s="57">
        <f>Sheet2!CM38</f>
        <v>0.74</v>
      </c>
      <c r="CK26" s="57">
        <f>Sheet2!CN38</f>
        <v>0.71</v>
      </c>
      <c r="CL26" s="57">
        <f>Sheet2!CO38</f>
        <v>0.71</v>
      </c>
      <c r="CM26" s="57">
        <f>Sheet2!CP38</f>
        <v>0.71</v>
      </c>
      <c r="CN26" s="57">
        <f>Sheet2!CQ38</f>
        <v>0.69</v>
      </c>
      <c r="CO26" s="57">
        <f>Sheet2!CR38</f>
        <v>0.68</v>
      </c>
      <c r="CP26" s="57">
        <f>Sheet2!CS38</f>
        <v>0.68</v>
      </c>
      <c r="CQ26" s="60">
        <f>Sheet2!CT38</f>
        <v>0.68</v>
      </c>
      <c r="CR26" s="57">
        <f>Sheet2!CU38</f>
        <v>0.67</v>
      </c>
      <c r="CS26" s="57">
        <f>Sheet2!CV38</f>
        <v>0.67</v>
      </c>
      <c r="CT26" s="57">
        <f>Sheet2!CW38</f>
        <v>0.67</v>
      </c>
      <c r="CU26" s="57">
        <f>Sheet2!CX38</f>
        <v>0.67</v>
      </c>
      <c r="CV26" s="57">
        <f>Sheet2!CY38</f>
        <v>0.67</v>
      </c>
      <c r="CW26" s="57">
        <f>Sheet2!CZ38</f>
        <v>0.67</v>
      </c>
      <c r="CX26" s="57">
        <f>Sheet2!DA38</f>
        <v>0.66500000000000004</v>
      </c>
      <c r="CY26" s="57">
        <f>Sheet2!DB38</f>
        <v>0.66500000000000004</v>
      </c>
      <c r="CZ26" s="57">
        <f>Sheet2!DC38</f>
        <v>0.66500000000000004</v>
      </c>
      <c r="DA26" s="57">
        <f>Sheet2!DD38</f>
        <v>0.66500000000000004</v>
      </c>
      <c r="DB26" s="57">
        <f>Sheet2!DE38</f>
        <v>0.66500000000000004</v>
      </c>
      <c r="DC26" s="57">
        <f>Sheet2!DF38</f>
        <v>0.66500000000000004</v>
      </c>
      <c r="DD26" s="57">
        <f>Sheet2!DG38</f>
        <v>0.66500000000000004</v>
      </c>
      <c r="DE26" s="57">
        <f>Sheet2!DH38</f>
        <v>0.66500000000000004</v>
      </c>
      <c r="DF26" s="68">
        <f>Sheet2!DI38</f>
        <v>0.66500000000000004</v>
      </c>
      <c r="DG26" s="68">
        <f>Sheet2!DJ38</f>
        <v>0.66500000000000004</v>
      </c>
      <c r="DH26" s="68">
        <f>Sheet2!DK38</f>
        <v>0.66500000000000004</v>
      </c>
      <c r="DI26" s="68">
        <v>0.66500000000000004</v>
      </c>
      <c r="DJ26" s="68">
        <f>Sheet2!DN38</f>
        <v>0.66500000000000004</v>
      </c>
      <c r="DK26" s="68">
        <f>Sheet2!DO38</f>
        <v>0.66500000000000004</v>
      </c>
      <c r="DL26" s="68">
        <f>Sheet2!DP38</f>
        <v>0.66500000000000004</v>
      </c>
      <c r="DM26" s="68">
        <f>Sheet2!DQ38</f>
        <v>0.66500000000000004</v>
      </c>
      <c r="DN26" s="68">
        <f>Sheet2!DR38</f>
        <v>0.66500000000000004</v>
      </c>
      <c r="DO26" s="68">
        <f>Sheet2!DS38</f>
        <v>0.66500000000000004</v>
      </c>
      <c r="DP26" s="68">
        <v>0.66500000000000004</v>
      </c>
      <c r="DQ26" s="68">
        <f>Sheet2!DV38</f>
        <v>0.66500000000000004</v>
      </c>
      <c r="DR26" s="68">
        <f>Sheet2!DW38</f>
        <v>0.66500000000000004</v>
      </c>
      <c r="DS26" s="68">
        <v>0.66500000000000004</v>
      </c>
      <c r="DT26" s="68">
        <f>Sheet2!DZ38</f>
        <v>0.66500000000000004</v>
      </c>
      <c r="DU26" s="68">
        <f>Sheet2!EA38</f>
        <v>0.66500000000000004</v>
      </c>
      <c r="DV26" s="68">
        <f>Sheet2!EB38</f>
        <v>0.66500000000000004</v>
      </c>
      <c r="DW26" s="68">
        <f>Sheet2!EC38</f>
        <v>0.66500000000000004</v>
      </c>
      <c r="DX26" s="68">
        <f>Sheet2!ED38</f>
        <v>0.66500000000000004</v>
      </c>
      <c r="DY26" s="71">
        <f>Sheet2!EE38</f>
        <v>0.66500000000000004</v>
      </c>
      <c r="DZ26" s="68">
        <f>Sheet2!EF38</f>
        <v>0.66500000000000004</v>
      </c>
      <c r="EA26" s="68">
        <f>Sheet2!EG38</f>
        <v>0.66500000000000004</v>
      </c>
      <c r="EB26" s="68">
        <f>Sheet2!EH38</f>
        <v>0.66500000000000004</v>
      </c>
      <c r="EC26" s="68">
        <f>Sheet2!EI38</f>
        <v>0.66500000000000004</v>
      </c>
      <c r="ED26" s="68">
        <f>Sheet2!EJ38</f>
        <v>0.66500000000000004</v>
      </c>
      <c r="EE26" s="68">
        <f>Sheet2!EK38</f>
        <v>0.66500000000000004</v>
      </c>
      <c r="EF26" s="68">
        <f>Sheet2!EL38</f>
        <v>0.66500000000000004</v>
      </c>
      <c r="EG26" s="68">
        <f>Sheet2!EM38</f>
        <v>0.66500000000000004</v>
      </c>
      <c r="EH26" s="68">
        <f>Sheet2!EN38</f>
        <v>0.66500000000000004</v>
      </c>
      <c r="EI26" s="68"/>
      <c r="EJ26" s="66"/>
      <c r="EK26" s="66"/>
      <c r="EL26" s="66"/>
      <c r="EM26" s="66"/>
      <c r="EN26" s="66"/>
      <c r="EO26" s="66"/>
      <c r="EP26" s="66"/>
      <c r="EQ26" s="69"/>
      <c r="ER26" s="66"/>
      <c r="ES26" s="66"/>
      <c r="ET26" s="66"/>
      <c r="EU26" s="66"/>
      <c r="EV26" s="66"/>
      <c r="EW26" s="66"/>
      <c r="EX26" s="70" t="s">
        <v>204</v>
      </c>
      <c r="EY26" s="70"/>
      <c r="EZ26" s="70"/>
      <c r="FA26" s="66"/>
      <c r="FB26" s="66"/>
      <c r="FC26" s="66"/>
      <c r="FD26" s="66"/>
      <c r="FE26" s="66"/>
      <c r="FF26" s="69"/>
      <c r="FG26" s="66"/>
      <c r="FH26" s="66"/>
      <c r="FI26" s="66"/>
      <c r="FJ26" s="66"/>
      <c r="FK26" s="66"/>
      <c r="FL26" s="66"/>
      <c r="FM26" s="66"/>
      <c r="FN26" s="66"/>
      <c r="FO26" s="67"/>
      <c r="FP26" s="66"/>
      <c r="FQ26" s="66"/>
      <c r="FR26" s="66"/>
      <c r="FS26" s="66"/>
      <c r="FT26" s="66"/>
      <c r="FU26" s="66"/>
      <c r="FV26" s="66"/>
      <c r="FW26" s="66"/>
      <c r="FX26" s="66"/>
      <c r="FY26" s="66"/>
      <c r="FZ26" s="66"/>
      <c r="GA26" s="66"/>
      <c r="GB26" s="66"/>
      <c r="GC26" s="66"/>
      <c r="GD26" s="66"/>
      <c r="GE26" s="63"/>
      <c r="GF26" s="63"/>
      <c r="GG26" s="63"/>
      <c r="GH26" s="64"/>
      <c r="GI26" s="65"/>
    </row>
    <row r="27" spans="1:198" ht="15.75">
      <c r="A27" t="s">
        <v>219</v>
      </c>
      <c r="B27" s="52">
        <v>1.85</v>
      </c>
      <c r="C27" s="52">
        <v>1.81</v>
      </c>
      <c r="D27" s="52">
        <v>1.81</v>
      </c>
      <c r="E27" s="52">
        <v>1.81</v>
      </c>
      <c r="F27" s="52">
        <v>1.81</v>
      </c>
      <c r="G27" s="52">
        <v>1.8</v>
      </c>
      <c r="H27" s="52">
        <v>1.8</v>
      </c>
      <c r="I27" s="52">
        <v>1.78</v>
      </c>
      <c r="J27" s="52">
        <v>1.78</v>
      </c>
      <c r="K27" s="52">
        <v>1.78</v>
      </c>
      <c r="L27" s="52">
        <v>1.76</v>
      </c>
      <c r="M27" s="52">
        <v>1.75</v>
      </c>
      <c r="N27" s="52">
        <v>1.75</v>
      </c>
      <c r="O27" s="52">
        <v>1.75</v>
      </c>
      <c r="P27" s="52">
        <v>1.75</v>
      </c>
      <c r="Q27" s="52">
        <v>1.73</v>
      </c>
      <c r="R27" s="52">
        <v>1.73</v>
      </c>
      <c r="S27" s="52">
        <v>1.7</v>
      </c>
      <c r="T27" s="52">
        <v>1.66</v>
      </c>
      <c r="U27" s="52">
        <v>1.66</v>
      </c>
      <c r="V27" s="52">
        <v>1.63</v>
      </c>
      <c r="W27" s="52">
        <v>1.61</v>
      </c>
      <c r="X27" s="52">
        <v>1.44</v>
      </c>
      <c r="Y27" s="52">
        <v>1.42</v>
      </c>
      <c r="Z27" s="52">
        <v>1.415</v>
      </c>
      <c r="AA27" s="52">
        <v>1.41</v>
      </c>
      <c r="AB27" s="52">
        <v>1.36</v>
      </c>
      <c r="AC27" s="52">
        <v>1.33</v>
      </c>
      <c r="AD27" s="52">
        <v>1.33</v>
      </c>
      <c r="AE27" s="52">
        <v>1.28</v>
      </c>
      <c r="AF27" s="52">
        <v>1.28</v>
      </c>
      <c r="AG27" s="52">
        <v>1.28</v>
      </c>
      <c r="AH27" s="52">
        <v>1.28</v>
      </c>
      <c r="AI27" s="52">
        <v>1.28</v>
      </c>
      <c r="AJ27" s="52">
        <v>1.28</v>
      </c>
      <c r="AK27" s="52">
        <v>1.2649999999999999</v>
      </c>
      <c r="AL27" s="52">
        <v>1.24</v>
      </c>
      <c r="AM27" s="52">
        <v>1.18</v>
      </c>
      <c r="AN27" s="52">
        <v>1.1499999999999999</v>
      </c>
      <c r="AO27" s="52">
        <v>1.1399999999999999</v>
      </c>
      <c r="AP27" s="52">
        <v>1.1200000000000001</v>
      </c>
      <c r="AQ27" s="52">
        <v>1.05</v>
      </c>
      <c r="AR27" s="52">
        <v>1.04</v>
      </c>
      <c r="AS27" s="52">
        <v>1.1299999999999999</v>
      </c>
      <c r="AT27" s="52">
        <v>1.1299999999999999</v>
      </c>
      <c r="AU27" s="52">
        <v>1.1299999999999999</v>
      </c>
      <c r="AV27" s="52">
        <v>0.98</v>
      </c>
      <c r="AW27" s="52">
        <v>0.96</v>
      </c>
      <c r="AX27" s="52">
        <v>0.94</v>
      </c>
      <c r="AY27" s="57">
        <f>Sheet2!BB39</f>
        <v>0.93</v>
      </c>
      <c r="AZ27" s="58">
        <f>Sheet2!BC39</f>
        <v>0.93</v>
      </c>
      <c r="BA27" s="58">
        <f>Sheet2!BD39</f>
        <v>0.93</v>
      </c>
      <c r="BB27" s="58">
        <f>Sheet2!BE39</f>
        <v>0.92</v>
      </c>
      <c r="BC27" s="58">
        <f>Sheet2!BF39</f>
        <v>0.92</v>
      </c>
      <c r="BD27" s="58">
        <f>Sheet2!BG39</f>
        <v>0.92</v>
      </c>
      <c r="BE27" s="58">
        <f>Sheet2!BH39</f>
        <v>0.92</v>
      </c>
      <c r="BF27" s="58">
        <f>Sheet2!BI39</f>
        <v>0.92</v>
      </c>
      <c r="BG27" s="58">
        <f>Sheet2!BJ39</f>
        <v>0.92</v>
      </c>
      <c r="BH27" s="58">
        <f>Sheet2!BK39</f>
        <v>0.92</v>
      </c>
      <c r="BI27" s="58">
        <f>Sheet2!BL39</f>
        <v>0.92</v>
      </c>
      <c r="BJ27" s="58">
        <f>Sheet2!BM39</f>
        <v>0.92</v>
      </c>
      <c r="BK27" s="58">
        <f>Sheet2!BN39</f>
        <v>0.9</v>
      </c>
      <c r="BL27" s="58">
        <f>Sheet2!BO39</f>
        <v>0.9</v>
      </c>
      <c r="BM27" s="58">
        <f>Sheet2!BP39</f>
        <v>0.9</v>
      </c>
      <c r="BN27" s="58">
        <f>Sheet2!BQ39</f>
        <v>0.9</v>
      </c>
      <c r="BO27" s="58">
        <f>Sheet2!BR39</f>
        <v>0.88</v>
      </c>
      <c r="BP27" s="58">
        <f>Sheet2!BS39</f>
        <v>0.87</v>
      </c>
      <c r="BQ27" s="58">
        <f>Sheet2!BT39</f>
        <v>0.86</v>
      </c>
      <c r="BR27" s="58">
        <f>Sheet2!BU39</f>
        <v>0.83</v>
      </c>
      <c r="BS27" s="58">
        <f>Sheet2!BV39</f>
        <v>0.83</v>
      </c>
      <c r="BT27" s="58">
        <f>Sheet2!BW39</f>
        <v>0.83</v>
      </c>
      <c r="BU27" s="58">
        <f>Sheet2!BX39</f>
        <v>0.83</v>
      </c>
      <c r="BV27" s="58">
        <f>Sheet2!BY39</f>
        <v>0.82</v>
      </c>
      <c r="BW27" s="58">
        <f>Sheet2!BZ39</f>
        <v>0.82</v>
      </c>
      <c r="BX27" s="58">
        <f>Sheet2!CA39</f>
        <v>0.82</v>
      </c>
      <c r="BY27" s="58">
        <f>Sheet2!CB39</f>
        <v>0.8</v>
      </c>
      <c r="BZ27" s="58">
        <f>Sheet2!CC39</f>
        <v>0.8</v>
      </c>
      <c r="CA27" s="58">
        <f>Sheet2!CD39</f>
        <v>0.8</v>
      </c>
      <c r="CB27" s="58">
        <f>Sheet2!CE39</f>
        <v>0.79</v>
      </c>
      <c r="CC27" s="58">
        <f>Sheet2!CF39</f>
        <v>0.79</v>
      </c>
      <c r="CD27" s="58">
        <f>Sheet2!CG39</f>
        <v>0.79</v>
      </c>
      <c r="CE27" s="58">
        <f>Sheet2!CH39</f>
        <v>0.79</v>
      </c>
      <c r="CF27" s="58">
        <f>Sheet2!CI39</f>
        <v>0.79</v>
      </c>
      <c r="CG27" s="57">
        <f>Sheet2!CJ39</f>
        <v>0.79</v>
      </c>
      <c r="CH27" s="57">
        <f>Sheet2!CK39</f>
        <v>0.78</v>
      </c>
      <c r="CI27" s="57">
        <f>Sheet2!CL39</f>
        <v>0.78</v>
      </c>
      <c r="CJ27" s="57">
        <f>Sheet2!CM39</f>
        <v>0.75</v>
      </c>
      <c r="CK27" s="57">
        <f>Sheet2!CN39</f>
        <v>0.72</v>
      </c>
      <c r="CL27" s="57">
        <f>Sheet2!CO39</f>
        <v>0.72</v>
      </c>
      <c r="CM27" s="57">
        <f>Sheet2!CP39</f>
        <v>0.72</v>
      </c>
      <c r="CN27" s="57">
        <f>Sheet2!CQ39</f>
        <v>0.7</v>
      </c>
      <c r="CO27" s="57">
        <f>Sheet2!CR39</f>
        <v>0.69</v>
      </c>
      <c r="CP27" s="57">
        <f>Sheet2!CS39</f>
        <v>0.69</v>
      </c>
      <c r="CQ27" s="60">
        <f>Sheet2!CT39</f>
        <v>0.69</v>
      </c>
      <c r="CR27" s="57">
        <f>Sheet2!CU39</f>
        <v>0.68</v>
      </c>
      <c r="CS27" s="57">
        <f>Sheet2!CV39</f>
        <v>0.68</v>
      </c>
      <c r="CT27" s="57">
        <f>Sheet2!CW39</f>
        <v>0.68</v>
      </c>
      <c r="CU27" s="57">
        <f>Sheet2!CX39</f>
        <v>0.68</v>
      </c>
      <c r="CV27" s="57">
        <f>Sheet2!CY39</f>
        <v>0.68</v>
      </c>
      <c r="CW27" s="57">
        <f>Sheet2!CZ39</f>
        <v>0.68</v>
      </c>
      <c r="CX27" s="57">
        <f>Sheet2!DA39</f>
        <v>0.67</v>
      </c>
      <c r="CY27" s="57">
        <f>Sheet2!DB39</f>
        <v>0.67</v>
      </c>
      <c r="CZ27" s="57">
        <f>Sheet2!DC39</f>
        <v>0.67</v>
      </c>
      <c r="DA27" s="57">
        <f>Sheet2!DD39</f>
        <v>0.67</v>
      </c>
      <c r="DB27" s="57">
        <f>Sheet2!DE39</f>
        <v>0.67</v>
      </c>
      <c r="DC27" s="57">
        <f>Sheet2!DF39</f>
        <v>0.67</v>
      </c>
      <c r="DD27" s="57">
        <f>Sheet2!DG39</f>
        <v>0.67</v>
      </c>
      <c r="DE27" s="57">
        <f>Sheet2!DH39</f>
        <v>0.67</v>
      </c>
      <c r="DF27" s="68">
        <f>Sheet2!DI39</f>
        <v>0.67</v>
      </c>
      <c r="DG27" s="68">
        <f>Sheet2!DJ39</f>
        <v>0.67</v>
      </c>
      <c r="DH27" s="68">
        <f>Sheet2!DK39</f>
        <v>0.67</v>
      </c>
      <c r="DI27" s="68">
        <v>0.67</v>
      </c>
      <c r="DJ27" s="68">
        <f>Sheet2!DN39</f>
        <v>0.67</v>
      </c>
      <c r="DK27" s="68">
        <f>Sheet2!DO39</f>
        <v>0.67</v>
      </c>
      <c r="DL27" s="68">
        <f>Sheet2!DP39</f>
        <v>0.67</v>
      </c>
      <c r="DM27" s="68">
        <f>Sheet2!DQ39</f>
        <v>0.67</v>
      </c>
      <c r="DN27" s="68">
        <f>Sheet2!DR39</f>
        <v>0.67</v>
      </c>
      <c r="DO27" s="68">
        <f>Sheet2!DS39</f>
        <v>0.67</v>
      </c>
      <c r="DP27" s="68">
        <v>0.67</v>
      </c>
      <c r="DQ27" s="68">
        <f>Sheet2!DV39</f>
        <v>0.67</v>
      </c>
      <c r="DR27" s="68">
        <f>Sheet2!DW39</f>
        <v>0.67</v>
      </c>
      <c r="DS27" s="68">
        <v>0.67</v>
      </c>
      <c r="DT27" s="68">
        <f>Sheet2!DZ39</f>
        <v>0.67</v>
      </c>
      <c r="DU27" s="68">
        <f>Sheet2!EA39</f>
        <v>0.67</v>
      </c>
      <c r="DV27" s="68">
        <f>Sheet2!EB39</f>
        <v>0.67</v>
      </c>
      <c r="DW27" s="68">
        <f>Sheet2!EC39</f>
        <v>0.67</v>
      </c>
      <c r="DX27" s="68">
        <f>Sheet2!ED39</f>
        <v>0.67</v>
      </c>
      <c r="DY27" s="71">
        <f>Sheet2!EE39</f>
        <v>0.67</v>
      </c>
      <c r="DZ27" s="68">
        <f>Sheet2!EF39</f>
        <v>0.67</v>
      </c>
      <c r="EA27" s="68">
        <f>Sheet2!EG39</f>
        <v>0.67</v>
      </c>
      <c r="EB27" s="68">
        <f>Sheet2!EH39</f>
        <v>0.67</v>
      </c>
      <c r="EC27" s="68">
        <f>Sheet2!EI39</f>
        <v>0.67</v>
      </c>
      <c r="ED27" s="68">
        <f>Sheet2!EJ39</f>
        <v>0.67</v>
      </c>
      <c r="EE27" s="68">
        <f>Sheet2!EK39</f>
        <v>0.67</v>
      </c>
      <c r="EF27" s="68">
        <f>Sheet2!EL39</f>
        <v>0.67</v>
      </c>
      <c r="EG27" s="68">
        <f>Sheet2!EM39</f>
        <v>0.67</v>
      </c>
      <c r="EH27" s="68">
        <f>Sheet2!EN39</f>
        <v>0.67</v>
      </c>
      <c r="EI27" s="68"/>
      <c r="EJ27" s="66"/>
      <c r="EK27" s="66"/>
      <c r="EL27" s="66"/>
      <c r="EM27" s="66"/>
      <c r="EN27" s="66"/>
      <c r="EO27" s="66"/>
      <c r="EP27" s="66"/>
      <c r="EQ27" s="69"/>
      <c r="ER27" s="66"/>
      <c r="ES27" s="66"/>
      <c r="ET27" s="66"/>
      <c r="EU27" s="66"/>
      <c r="EV27" s="66"/>
      <c r="EW27" s="66"/>
      <c r="EX27" s="70" t="s">
        <v>204</v>
      </c>
      <c r="EY27" s="70"/>
      <c r="EZ27" s="70"/>
      <c r="FA27" s="66"/>
      <c r="FB27" s="66"/>
      <c r="FC27" s="66"/>
      <c r="FD27" s="66"/>
      <c r="FE27" s="66"/>
      <c r="FF27" s="69"/>
      <c r="FG27" s="66"/>
      <c r="FH27" s="66"/>
      <c r="FI27" s="66"/>
      <c r="FJ27" s="66"/>
      <c r="FK27" s="66"/>
      <c r="FL27" s="66"/>
      <c r="FM27" s="66"/>
      <c r="FN27" s="66"/>
      <c r="FO27" s="67"/>
      <c r="FP27" s="66"/>
      <c r="FQ27" s="66"/>
      <c r="FR27" s="66"/>
      <c r="FS27" s="66"/>
      <c r="FT27" s="66"/>
      <c r="FU27" s="66"/>
      <c r="FV27" s="66"/>
      <c r="FW27" s="66"/>
      <c r="FX27" s="66"/>
      <c r="FY27" s="66"/>
      <c r="FZ27" s="66"/>
      <c r="GA27" s="66"/>
      <c r="GB27" s="66"/>
      <c r="GC27" s="66"/>
      <c r="GD27" s="66"/>
      <c r="GE27" s="63"/>
      <c r="GF27" s="63"/>
      <c r="GG27" s="63"/>
      <c r="GH27" s="64"/>
      <c r="GI27" s="65"/>
      <c r="GP27" t="s">
        <v>220</v>
      </c>
    </row>
    <row r="28" spans="1:198" ht="15.75">
      <c r="A28" t="s">
        <v>221</v>
      </c>
      <c r="B28" s="52">
        <v>1.92</v>
      </c>
      <c r="C28" s="52">
        <v>1.87</v>
      </c>
      <c r="D28" s="52">
        <v>1.87</v>
      </c>
      <c r="E28" s="52">
        <v>1.87</v>
      </c>
      <c r="F28" s="52">
        <v>1.87</v>
      </c>
      <c r="G28" s="52">
        <v>1.87</v>
      </c>
      <c r="H28" s="52">
        <v>1.85</v>
      </c>
      <c r="I28" s="52">
        <v>1.85</v>
      </c>
      <c r="J28" s="52">
        <v>1.85</v>
      </c>
      <c r="K28" s="52">
        <v>1.85</v>
      </c>
      <c r="L28" s="52">
        <v>1.85</v>
      </c>
      <c r="M28" s="52">
        <v>1.85</v>
      </c>
      <c r="N28" s="52">
        <v>1.85</v>
      </c>
      <c r="O28" s="52">
        <v>1.85</v>
      </c>
      <c r="P28" s="52">
        <v>1.85</v>
      </c>
      <c r="Q28" s="52">
        <v>1.83</v>
      </c>
      <c r="R28" s="52">
        <v>1.83</v>
      </c>
      <c r="S28" s="52">
        <v>1.78</v>
      </c>
      <c r="T28" s="52">
        <v>1.74</v>
      </c>
      <c r="U28" s="52">
        <v>1.74</v>
      </c>
      <c r="V28" s="52">
        <v>1.7</v>
      </c>
      <c r="W28" s="52">
        <v>1.69</v>
      </c>
      <c r="X28" s="52">
        <v>1.5</v>
      </c>
      <c r="Y28" s="52">
        <v>1.48</v>
      </c>
      <c r="Z28" s="52">
        <v>1.4550000000000001</v>
      </c>
      <c r="AA28" s="52">
        <v>1.4550000000000001</v>
      </c>
      <c r="AB28" s="52">
        <v>1.397</v>
      </c>
      <c r="AC28" s="52">
        <v>1.38</v>
      </c>
      <c r="AD28" s="52">
        <v>1.38</v>
      </c>
      <c r="AE28" s="52">
        <v>1.33</v>
      </c>
      <c r="AF28" s="52">
        <v>1.33</v>
      </c>
      <c r="AG28" s="52">
        <v>1.33</v>
      </c>
      <c r="AH28" s="52">
        <v>1.33</v>
      </c>
      <c r="AI28" s="52">
        <v>1.33</v>
      </c>
      <c r="AJ28" s="52">
        <v>1.33</v>
      </c>
      <c r="AK28" s="52">
        <v>1.33</v>
      </c>
      <c r="AL28" s="52">
        <v>1.28</v>
      </c>
      <c r="AM28" s="52">
        <v>1.24</v>
      </c>
      <c r="AN28" s="52">
        <v>1.18</v>
      </c>
      <c r="AO28" s="52">
        <v>1.17</v>
      </c>
      <c r="AP28" s="52">
        <v>1.1499999999999999</v>
      </c>
      <c r="AQ28" s="52">
        <v>1.1299999999999999</v>
      </c>
      <c r="AR28" s="52">
        <v>1.1000000000000001</v>
      </c>
      <c r="AS28" s="52">
        <v>1.1000000000000001</v>
      </c>
      <c r="AT28" s="52">
        <v>1.0900000000000001</v>
      </c>
      <c r="AU28" s="52">
        <v>1.0900000000000001</v>
      </c>
      <c r="AV28" s="52">
        <v>1.03</v>
      </c>
      <c r="AW28" s="52">
        <v>1.03</v>
      </c>
      <c r="AX28" s="52">
        <v>1.02</v>
      </c>
      <c r="AY28" s="57">
        <f>Sheet2!BB40</f>
        <v>1.02</v>
      </c>
      <c r="AZ28" s="58">
        <f>Sheet2!BC40</f>
        <v>1.02</v>
      </c>
      <c r="BA28" s="58">
        <f>Sheet2!BD40</f>
        <v>1.02</v>
      </c>
      <c r="BB28" s="58">
        <f>Sheet2!BE40</f>
        <v>1.02</v>
      </c>
      <c r="BC28" s="58">
        <f>Sheet2!BF40</f>
        <v>0.96</v>
      </c>
      <c r="BD28" s="58">
        <f>Sheet2!BG40</f>
        <v>0.96</v>
      </c>
      <c r="BE28" s="58">
        <f>Sheet2!BH40</f>
        <v>0.96</v>
      </c>
      <c r="BF28" s="58">
        <f>Sheet2!BI40</f>
        <v>0.96</v>
      </c>
      <c r="BG28" s="58">
        <f>Sheet2!BJ40</f>
        <v>0.96</v>
      </c>
      <c r="BH28" s="58">
        <f>Sheet2!BK40</f>
        <v>0.96</v>
      </c>
      <c r="BI28" s="58">
        <f>Sheet2!BL40</f>
        <v>0.96</v>
      </c>
      <c r="BJ28" s="58">
        <f>Sheet2!BM40</f>
        <v>0.96</v>
      </c>
      <c r="BK28" s="58">
        <f>Sheet2!BN40</f>
        <v>0.96</v>
      </c>
      <c r="BL28" s="58">
        <f>Sheet2!BO40</f>
        <v>0.96</v>
      </c>
      <c r="BM28" s="58">
        <f>Sheet2!BP40</f>
        <v>0.96</v>
      </c>
      <c r="BN28" s="58">
        <f>Sheet2!BQ40</f>
        <v>0.96</v>
      </c>
      <c r="BO28" s="58">
        <f>Sheet2!BR40</f>
        <v>0.94</v>
      </c>
      <c r="BP28" s="58">
        <f>Sheet2!BS40</f>
        <v>0.92</v>
      </c>
      <c r="BQ28" s="58">
        <f>Sheet2!BT40</f>
        <v>0.9</v>
      </c>
      <c r="BR28" s="58">
        <f>Sheet2!BU40</f>
        <v>0.88</v>
      </c>
      <c r="BS28" s="58">
        <f>Sheet2!BV40</f>
        <v>0.86</v>
      </c>
      <c r="BT28" s="58">
        <f>Sheet2!BW40</f>
        <v>0.86</v>
      </c>
      <c r="BU28" s="58">
        <f>Sheet2!BX40</f>
        <v>0.86</v>
      </c>
      <c r="BV28" s="58">
        <f>Sheet2!BY40</f>
        <v>0.83</v>
      </c>
      <c r="BW28" s="58">
        <f>Sheet2!BZ40</f>
        <v>0.81</v>
      </c>
      <c r="BX28" s="58">
        <f>Sheet2!CA40</f>
        <v>0.81</v>
      </c>
      <c r="BY28" s="58">
        <f>Sheet2!CB40</f>
        <v>0.81</v>
      </c>
      <c r="BZ28" s="58">
        <f>Sheet2!CC40</f>
        <v>0.8</v>
      </c>
      <c r="CA28" s="58">
        <f>Sheet2!CD40</f>
        <v>0.8</v>
      </c>
      <c r="CB28" s="58">
        <f>Sheet2!CE40</f>
        <v>0.8</v>
      </c>
      <c r="CC28" s="58">
        <f>Sheet2!CF40</f>
        <v>0.8</v>
      </c>
      <c r="CD28" s="58">
        <f>Sheet2!CG40</f>
        <v>0.78</v>
      </c>
      <c r="CE28" s="58">
        <f>Sheet2!CH40</f>
        <v>0.77500000000000002</v>
      </c>
      <c r="CF28" s="58">
        <f>Sheet2!CI40</f>
        <v>0.77500000000000002</v>
      </c>
      <c r="CG28" s="57">
        <f>Sheet2!CJ40</f>
        <v>0.75</v>
      </c>
      <c r="CH28" s="57">
        <f>Sheet2!CK40</f>
        <v>0.75</v>
      </c>
      <c r="CI28" s="57">
        <f>Sheet2!CL40</f>
        <v>0.75</v>
      </c>
      <c r="CJ28" s="57">
        <f>Sheet2!CM40</f>
        <v>0.75</v>
      </c>
      <c r="CK28" s="57">
        <f>Sheet2!CN40</f>
        <v>0.74</v>
      </c>
      <c r="CL28" s="57">
        <f>Sheet2!CO40</f>
        <v>0.74</v>
      </c>
      <c r="CM28" s="57">
        <f>Sheet2!CP40</f>
        <v>0.72</v>
      </c>
      <c r="CN28" s="57">
        <f>Sheet2!CQ40</f>
        <v>0.72</v>
      </c>
      <c r="CO28" s="57">
        <f>Sheet2!CR40</f>
        <v>0.72</v>
      </c>
      <c r="CP28" s="57">
        <f>Sheet2!CS40</f>
        <v>0.72</v>
      </c>
      <c r="CQ28" s="60">
        <f>Sheet2!CT40</f>
        <v>0.7</v>
      </c>
      <c r="CR28" s="57">
        <f>Sheet2!CU40</f>
        <v>0.7</v>
      </c>
      <c r="CS28" s="57">
        <f>Sheet2!CV40</f>
        <v>0.7</v>
      </c>
      <c r="CT28" s="57">
        <f>Sheet2!CW40</f>
        <v>0.7</v>
      </c>
      <c r="CU28" s="57">
        <f>Sheet2!CX40</f>
        <v>0.7</v>
      </c>
      <c r="CV28" s="57">
        <f>Sheet2!CY40</f>
        <v>0.7</v>
      </c>
      <c r="CW28" s="57">
        <f>Sheet2!CZ40</f>
        <v>0.7</v>
      </c>
      <c r="CX28" s="57">
        <f>Sheet2!DA40</f>
        <v>0.7</v>
      </c>
      <c r="CY28" s="57">
        <f>Sheet2!DB40</f>
        <v>0.7</v>
      </c>
      <c r="CZ28" s="57">
        <f>Sheet2!DC40</f>
        <v>0.7</v>
      </c>
      <c r="DA28" s="57">
        <f>Sheet2!DD40</f>
        <v>0.69</v>
      </c>
      <c r="DB28" s="57">
        <f>Sheet2!DE40</f>
        <v>0.69</v>
      </c>
      <c r="DC28" s="57">
        <f>Sheet2!DF40</f>
        <v>0.69</v>
      </c>
      <c r="DD28" s="57">
        <f>Sheet2!DG40</f>
        <v>0.69</v>
      </c>
      <c r="DE28" s="57">
        <f>Sheet2!DH40</f>
        <v>0.69</v>
      </c>
      <c r="DF28" s="68">
        <f>Sheet2!DI40</f>
        <v>0.69</v>
      </c>
      <c r="DG28" s="68">
        <f>Sheet2!DJ40</f>
        <v>0.71</v>
      </c>
      <c r="DH28" s="68">
        <f>Sheet2!DK40</f>
        <v>0.72</v>
      </c>
      <c r="DI28" s="68">
        <v>0.75</v>
      </c>
      <c r="DJ28" s="68">
        <f>Sheet2!DN40</f>
        <v>0.75</v>
      </c>
      <c r="DK28" s="68">
        <f>Sheet2!DO40</f>
        <v>0.75</v>
      </c>
      <c r="DL28" s="68">
        <f>Sheet2!DP40</f>
        <v>0.73</v>
      </c>
      <c r="DM28" s="68">
        <f>Sheet2!DQ40</f>
        <v>0.73</v>
      </c>
      <c r="DN28" s="68">
        <f>Sheet2!DR40</f>
        <v>0.71499999999999997</v>
      </c>
      <c r="DO28" s="68">
        <f>Sheet2!DS40</f>
        <v>0.70499999999999996</v>
      </c>
      <c r="DP28" s="68">
        <v>0.68500000000000005</v>
      </c>
      <c r="DQ28" s="68">
        <f>Sheet2!DV40</f>
        <v>0.68500000000000005</v>
      </c>
      <c r="DR28" s="68">
        <f>Sheet2!DW40</f>
        <v>0.68</v>
      </c>
      <c r="DS28" s="68">
        <v>0.68</v>
      </c>
      <c r="DT28" s="68">
        <f>Sheet2!DZ40</f>
        <v>0.68</v>
      </c>
      <c r="DU28" s="68">
        <f>Sheet2!EA40</f>
        <v>0.68</v>
      </c>
      <c r="DV28" s="68">
        <f>Sheet2!EB40</f>
        <v>0.67</v>
      </c>
      <c r="DW28" s="68">
        <f>Sheet2!EC40</f>
        <v>0.67</v>
      </c>
      <c r="DX28" s="68">
        <f>Sheet2!ED40</f>
        <v>0.67</v>
      </c>
      <c r="DY28" s="71">
        <f>Sheet2!EE40</f>
        <v>0.67500000000000004</v>
      </c>
      <c r="DZ28" s="68">
        <f>Sheet2!EF40</f>
        <v>0.7</v>
      </c>
      <c r="EA28" s="68">
        <f>Sheet2!EG40</f>
        <v>0.7</v>
      </c>
      <c r="EB28" s="68">
        <f>Sheet2!EH40</f>
        <v>0.7</v>
      </c>
      <c r="EC28" s="68">
        <f>Sheet2!EI40</f>
        <v>0.7</v>
      </c>
      <c r="ED28" s="68">
        <f>Sheet2!EJ40</f>
        <v>0.7</v>
      </c>
      <c r="EE28" s="68">
        <f>Sheet2!EK40</f>
        <v>0.7</v>
      </c>
      <c r="EF28" s="68">
        <f>Sheet2!EL40</f>
        <v>0.7</v>
      </c>
      <c r="EG28" s="68">
        <f>Sheet2!EM40</f>
        <v>0.7</v>
      </c>
      <c r="EH28" s="68">
        <f>Sheet2!EN40</f>
        <v>0.7</v>
      </c>
      <c r="EI28" s="68">
        <f>Sheet2!EO40</f>
        <v>0.69</v>
      </c>
      <c r="EJ28" s="68">
        <f>Sheet2!EP40</f>
        <v>0.69</v>
      </c>
      <c r="EK28" s="68">
        <f>Sheet2!EQ40</f>
        <v>0.69</v>
      </c>
      <c r="EL28" s="68">
        <f>Sheet2!ER40</f>
        <v>0.69</v>
      </c>
      <c r="EM28" s="68">
        <f>Sheet2!ES40</f>
        <v>0.69</v>
      </c>
      <c r="EN28" s="68">
        <f>Sheet2!ET40</f>
        <v>0.69</v>
      </c>
      <c r="EO28" s="68">
        <f>Sheet2!EU40</f>
        <v>0.69</v>
      </c>
      <c r="EP28" s="68">
        <f>Sheet2!EV40</f>
        <v>0.69</v>
      </c>
      <c r="EQ28" s="71">
        <f>Sheet2!EW40</f>
        <v>0.69</v>
      </c>
      <c r="ER28" s="68">
        <f>Sheet2!EX40</f>
        <v>0.68</v>
      </c>
      <c r="ES28" s="68">
        <f>Sheet2!EY40</f>
        <v>0.68</v>
      </c>
      <c r="ET28" s="68">
        <f>Sheet2!EZ40</f>
        <v>0.68</v>
      </c>
      <c r="EU28" s="68">
        <f>Sheet2!FA40</f>
        <v>0.68</v>
      </c>
      <c r="EV28" s="68">
        <f>Sheet2!FB40</f>
        <v>0.68</v>
      </c>
      <c r="EW28" s="68">
        <f>Sheet2!FC40</f>
        <v>0.68500000000000005</v>
      </c>
      <c r="EX28" s="68">
        <f>Sheet2!FD40</f>
        <v>0.70799999999999996</v>
      </c>
      <c r="EY28" s="68">
        <f>Sheet2!FE40</f>
        <v>0.74</v>
      </c>
      <c r="EZ28" s="68">
        <f>Sheet2!FF40</f>
        <v>0.8</v>
      </c>
      <c r="FA28" s="68">
        <f>Sheet2!FG40</f>
        <v>0.8</v>
      </c>
      <c r="FB28" s="68">
        <f>Sheet2!FH40</f>
        <v>0.8</v>
      </c>
      <c r="FC28" s="68">
        <f>Sheet2!FI40</f>
        <v>0.83</v>
      </c>
      <c r="FD28" s="68">
        <f>Sheet2!FJ40</f>
        <v>0.83</v>
      </c>
      <c r="FE28" s="68">
        <f>Sheet2!FK40</f>
        <v>0.82</v>
      </c>
      <c r="FF28" s="71">
        <f>Sheet2!FL40</f>
        <v>0.81</v>
      </c>
      <c r="FG28" s="68">
        <f>Sheet2!FM40</f>
        <v>0.81</v>
      </c>
      <c r="FH28" s="68">
        <f>Sheet2!FN40</f>
        <v>0.78</v>
      </c>
      <c r="FI28" s="68">
        <f>Sheet2!FO40</f>
        <v>0.76</v>
      </c>
      <c r="FJ28" s="68">
        <f>Sheet2!FP40</f>
        <v>0.76</v>
      </c>
      <c r="FK28" s="68">
        <f>Sheet2!FQ40</f>
        <v>0.75800000000000001</v>
      </c>
      <c r="FL28" s="68">
        <f>Sheet2!FR40</f>
        <v>0.75800000000000001</v>
      </c>
      <c r="FM28" s="68">
        <f>Sheet2!FS40</f>
        <v>0.75800000000000001</v>
      </c>
      <c r="FN28" s="68">
        <f>Sheet2!FT40</f>
        <v>0.75800000000000001</v>
      </c>
      <c r="FO28" s="72">
        <f>Sheet2!FU40</f>
        <v>0.75</v>
      </c>
      <c r="FP28" s="68">
        <f>Sheet2!FV40</f>
        <v>0.75</v>
      </c>
      <c r="FQ28" s="68">
        <f>Sheet2!FW40</f>
        <v>0.75</v>
      </c>
      <c r="FR28" s="68">
        <f>Sheet2!FX40</f>
        <v>0.74</v>
      </c>
      <c r="FS28" s="68">
        <f>Sheet2!FY40</f>
        <v>0.74</v>
      </c>
      <c r="FT28" s="68">
        <f>Sheet2!FZ40</f>
        <v>0.72</v>
      </c>
      <c r="FU28" s="68">
        <f>Sheet2!GA40</f>
        <v>0.71</v>
      </c>
      <c r="FV28" s="68">
        <f>Sheet2!GB40</f>
        <v>0.7</v>
      </c>
      <c r="FW28" s="68">
        <f>Sheet2!GC40</f>
        <v>0.68</v>
      </c>
      <c r="FX28" s="68">
        <f>Sheet2!GD40</f>
        <v>0.66</v>
      </c>
      <c r="FY28" s="68">
        <f>Sheet2!GE40</f>
        <v>0.65500000000000003</v>
      </c>
      <c r="FZ28" s="68">
        <f>Sheet2!GF40</f>
        <v>0.64500000000000002</v>
      </c>
      <c r="GA28" s="68">
        <f>Sheet2!GG40</f>
        <v>0.64500000000000002</v>
      </c>
      <c r="GB28" s="68">
        <f>Sheet2!GH40</f>
        <v>0.65</v>
      </c>
      <c r="GC28" s="68">
        <f>Sheet2!GI40</f>
        <v>0.66</v>
      </c>
      <c r="GD28" s="68"/>
      <c r="GE28" s="63"/>
      <c r="GF28" s="63"/>
      <c r="GG28" s="63"/>
      <c r="GH28" s="64">
        <f t="shared" si="1"/>
        <v>-74.566473988439313</v>
      </c>
      <c r="GI28" s="65">
        <f t="shared" si="2"/>
        <v>-100</v>
      </c>
    </row>
    <row r="29" spans="1:198" ht="15.75">
      <c r="A29" t="s">
        <v>222</v>
      </c>
      <c r="B29" s="52"/>
      <c r="C29" s="52"/>
      <c r="D29" s="52"/>
      <c r="E29" s="52"/>
      <c r="F29" s="52"/>
      <c r="G29" s="52"/>
      <c r="H29" s="52"/>
      <c r="I29" s="52"/>
      <c r="J29" s="52"/>
      <c r="K29" s="52"/>
      <c r="L29" s="52"/>
      <c r="M29" s="52"/>
      <c r="N29" s="52"/>
      <c r="O29" s="52"/>
      <c r="P29" s="52"/>
      <c r="Q29" s="52"/>
      <c r="R29" s="52"/>
      <c r="S29" s="52"/>
      <c r="T29" s="52"/>
      <c r="U29" s="52"/>
      <c r="V29" s="52"/>
      <c r="W29" s="52"/>
      <c r="X29" s="52"/>
      <c r="Y29" s="52"/>
      <c r="Z29" s="52"/>
      <c r="AA29" s="52"/>
      <c r="AB29" s="52"/>
      <c r="AC29" s="52"/>
      <c r="AD29" s="52"/>
      <c r="AE29" s="52"/>
      <c r="AF29" s="52"/>
      <c r="AG29" s="52"/>
      <c r="AH29" s="52"/>
      <c r="AI29" s="52"/>
      <c r="AJ29" s="52"/>
      <c r="AK29" s="52"/>
      <c r="AL29" s="52"/>
      <c r="AM29" s="52"/>
      <c r="AN29" s="52"/>
      <c r="AO29" s="52"/>
      <c r="AP29" s="52"/>
      <c r="AQ29" s="52"/>
      <c r="AR29" s="52"/>
      <c r="AS29" s="52"/>
      <c r="AT29" s="52"/>
      <c r="AU29" s="52"/>
      <c r="AV29" s="52"/>
      <c r="AW29" s="52"/>
      <c r="AX29" s="52"/>
      <c r="AY29" s="57"/>
      <c r="BA29" s="58"/>
      <c r="BC29" s="58">
        <f>Sheet2!BF52</f>
        <v>0.96</v>
      </c>
      <c r="BD29" s="58">
        <f>Sheet2!BG52</f>
        <v>0.96</v>
      </c>
      <c r="BE29" s="58">
        <f>Sheet2!BH52</f>
        <v>0.96</v>
      </c>
      <c r="BF29" s="58">
        <f>Sheet2!BI52</f>
        <v>0.96</v>
      </c>
      <c r="BG29" s="58">
        <f>Sheet2!BJ52</f>
        <v>0.96</v>
      </c>
      <c r="BH29" s="58">
        <f>Sheet2!BK52</f>
        <v>0.96</v>
      </c>
      <c r="BI29" s="58">
        <f>Sheet2!BL52</f>
        <v>0.96</v>
      </c>
      <c r="BJ29" s="58">
        <f>Sheet2!BM52</f>
        <v>0.96</v>
      </c>
      <c r="BK29" s="58">
        <f>Sheet2!BN52</f>
        <v>0.96</v>
      </c>
      <c r="BL29" s="58">
        <f>Sheet2!BO52</f>
        <v>0.96</v>
      </c>
      <c r="BM29" s="58">
        <f>Sheet2!BP52</f>
        <v>0.96</v>
      </c>
      <c r="BN29" s="58">
        <f>Sheet2!BQ52</f>
        <v>0.96</v>
      </c>
      <c r="BO29" s="58">
        <f>Sheet2!BR52</f>
        <v>0.94</v>
      </c>
      <c r="BP29" s="58">
        <f>Sheet2!BS52</f>
        <v>0.93</v>
      </c>
      <c r="BQ29" s="58">
        <f>Sheet2!BT52</f>
        <v>0.91</v>
      </c>
      <c r="BR29" s="58">
        <f>Sheet2!BU52</f>
        <v>0.89</v>
      </c>
      <c r="BS29" s="58">
        <f>Sheet2!BV52</f>
        <v>0.87</v>
      </c>
      <c r="BT29" s="58">
        <f>Sheet2!BW52</f>
        <v>0.87</v>
      </c>
      <c r="BU29" s="58">
        <f>Sheet2!BX52</f>
        <v>0.87</v>
      </c>
      <c r="BV29" s="58">
        <f>Sheet2!BY52</f>
        <v>0.84</v>
      </c>
      <c r="BW29" s="58">
        <f>Sheet2!BZ52</f>
        <v>0.82</v>
      </c>
      <c r="BX29" s="58">
        <f>Sheet2!CA52</f>
        <v>0.82</v>
      </c>
      <c r="BY29" s="58">
        <f>Sheet2!CB52</f>
        <v>0.82</v>
      </c>
      <c r="BZ29" s="58">
        <f>Sheet2!CC52</f>
        <v>0.81</v>
      </c>
      <c r="CA29" s="58">
        <f>Sheet2!CD52</f>
        <v>0.81</v>
      </c>
      <c r="CB29" s="58">
        <f>Sheet2!CE52</f>
        <v>0.81</v>
      </c>
      <c r="CC29" s="58">
        <f>Sheet2!CF52</f>
        <v>0.81</v>
      </c>
      <c r="CD29" s="58">
        <f>Sheet2!CG52</f>
        <v>0.79</v>
      </c>
      <c r="CE29" s="59">
        <f>Sheet2!CH52</f>
        <v>0.78500000000000003</v>
      </c>
      <c r="CF29" s="59">
        <f>Sheet2!CI52</f>
        <v>0.78500000000000003</v>
      </c>
      <c r="CG29" s="60">
        <f>Sheet2!CJ52</f>
        <v>0.76</v>
      </c>
      <c r="CH29" s="60">
        <f>Sheet2!CK52</f>
        <v>0.76</v>
      </c>
      <c r="CI29" s="60">
        <f>Sheet2!CL52</f>
        <v>0.76</v>
      </c>
      <c r="CJ29" s="60">
        <f>Sheet2!CM52</f>
        <v>0.76</v>
      </c>
      <c r="CK29" s="60">
        <f>Sheet2!CN52</f>
        <v>0.75</v>
      </c>
      <c r="CL29" s="60">
        <f>Sheet2!CO52</f>
        <v>0.75</v>
      </c>
      <c r="CM29" s="60">
        <f>Sheet2!CP52</f>
        <v>0.73</v>
      </c>
      <c r="CN29" s="60">
        <f>Sheet2!CQ52</f>
        <v>0.73</v>
      </c>
      <c r="CO29" s="60">
        <f>Sheet2!CR52</f>
        <v>0.72499999999999998</v>
      </c>
      <c r="CP29" s="60">
        <f>Sheet2!CS52</f>
        <v>0.72499999999999998</v>
      </c>
      <c r="CQ29" s="60">
        <f>Sheet2!CT52</f>
        <v>0.71</v>
      </c>
      <c r="CR29" s="60">
        <f>Sheet2!CU52</f>
        <v>0.71</v>
      </c>
      <c r="CS29" s="60">
        <f>Sheet2!CV52</f>
        <v>0.71</v>
      </c>
      <c r="CT29" s="60">
        <f>Sheet2!CW52</f>
        <v>0.71</v>
      </c>
      <c r="CU29" s="60">
        <f>Sheet2!CX52</f>
        <v>0.71</v>
      </c>
      <c r="CV29" s="60">
        <f>Sheet2!CY52</f>
        <v>0.71</v>
      </c>
      <c r="CW29" s="60">
        <f>Sheet2!CZ52</f>
        <v>0.71</v>
      </c>
      <c r="CX29" s="60">
        <f>Sheet2!DA52</f>
        <v>0.71</v>
      </c>
      <c r="CY29" s="60">
        <f>Sheet2!DB52</f>
        <v>0.71</v>
      </c>
      <c r="CZ29" s="60">
        <f>Sheet2!DC52</f>
        <v>0.71</v>
      </c>
      <c r="DA29" s="60">
        <f>Sheet2!DD52</f>
        <v>0.69499999999999995</v>
      </c>
      <c r="DB29" s="60">
        <f>Sheet2!DE52</f>
        <v>0.69499999999999995</v>
      </c>
      <c r="DC29" s="60">
        <f>Sheet2!DF52</f>
        <v>0.69</v>
      </c>
      <c r="DD29" s="60">
        <f>Sheet2!DG52</f>
        <v>0.69</v>
      </c>
      <c r="DE29" s="60">
        <f>Sheet2!DH52</f>
        <v>0.69499999999999995</v>
      </c>
      <c r="DF29" s="71">
        <f>Sheet2!DI52</f>
        <v>0.69499999999999995</v>
      </c>
      <c r="DG29" s="71">
        <f>Sheet2!DJ52</f>
        <v>0.71</v>
      </c>
      <c r="DH29" s="71">
        <f>Sheet2!DK52</f>
        <v>0.72499999999999998</v>
      </c>
      <c r="DI29" s="71">
        <v>0.75</v>
      </c>
      <c r="DJ29" s="71">
        <f>Sheet2!DN52</f>
        <v>0.75</v>
      </c>
      <c r="DK29" s="71">
        <f>Sheet2!DO52</f>
        <v>0.75</v>
      </c>
      <c r="DL29" s="71">
        <f>Sheet2!DP52</f>
        <v>0.72</v>
      </c>
      <c r="DM29" s="71">
        <f>Sheet2!DQ52</f>
        <v>0.72</v>
      </c>
      <c r="DN29" s="71">
        <f>Sheet2!DR52</f>
        <v>0.71</v>
      </c>
      <c r="DO29" s="71">
        <f>Sheet2!DS52</f>
        <v>0.69499999999999995</v>
      </c>
      <c r="DP29" s="71">
        <v>0.67500000000000004</v>
      </c>
      <c r="DQ29" s="71">
        <f>Sheet2!DV52</f>
        <v>0.67500000000000004</v>
      </c>
      <c r="DR29" s="71">
        <f>Sheet2!DW52</f>
        <v>0.67</v>
      </c>
      <c r="DS29" s="71">
        <v>0.67</v>
      </c>
      <c r="DT29" s="71">
        <f>Sheet2!DZ52</f>
        <v>0.67</v>
      </c>
      <c r="DU29" s="71">
        <f>Sheet2!EA52</f>
        <v>0.67</v>
      </c>
      <c r="DV29" s="71">
        <f>Sheet2!EB52</f>
        <v>0.67</v>
      </c>
      <c r="DW29" s="71">
        <f>Sheet2!EC52</f>
        <v>0.67</v>
      </c>
      <c r="DX29" s="71">
        <f>Sheet2!ED52</f>
        <v>0.67</v>
      </c>
      <c r="DY29" s="71">
        <f>Sheet2!EE52</f>
        <v>0.67800000000000005</v>
      </c>
      <c r="DZ29" s="71">
        <f>Sheet2!EF52</f>
        <v>0.7</v>
      </c>
      <c r="EA29" s="71">
        <f>Sheet2!EG52</f>
        <v>0.7</v>
      </c>
      <c r="EB29" s="71">
        <f>Sheet2!EH52</f>
        <v>0.7</v>
      </c>
      <c r="EC29" s="71">
        <f>Sheet2!EI52</f>
        <v>0.7</v>
      </c>
      <c r="ED29" s="71">
        <f>Sheet2!EJ52</f>
        <v>0.7</v>
      </c>
      <c r="EE29" s="71">
        <f>Sheet2!EK52</f>
        <v>0.7</v>
      </c>
      <c r="EF29" s="71">
        <f>Sheet2!EL52</f>
        <v>0.7</v>
      </c>
      <c r="EG29" s="71">
        <f>Sheet2!EM52</f>
        <v>0.7</v>
      </c>
      <c r="EH29" s="71">
        <f>Sheet2!EN52</f>
        <v>0.7</v>
      </c>
      <c r="EI29" s="71">
        <f>Sheet2!EO52</f>
        <v>0.7</v>
      </c>
      <c r="EJ29" s="71">
        <f>Sheet2!EP52</f>
        <v>0.7</v>
      </c>
      <c r="EK29" s="71">
        <f>Sheet2!EQ52</f>
        <v>0.7</v>
      </c>
      <c r="EL29" s="71">
        <f>Sheet2!ER52</f>
        <v>0.7</v>
      </c>
      <c r="EM29" s="71">
        <f>Sheet2!ES52</f>
        <v>0.7</v>
      </c>
      <c r="EN29" s="71">
        <f>Sheet2!ET52</f>
        <v>0.7</v>
      </c>
      <c r="EO29" s="71">
        <f>Sheet2!EU52</f>
        <v>0.7</v>
      </c>
      <c r="EP29" s="71">
        <f>Sheet2!EV52</f>
        <v>0.7</v>
      </c>
      <c r="EQ29" s="71">
        <f>Sheet2!EW52</f>
        <v>0.7</v>
      </c>
      <c r="ER29" s="71">
        <f>Sheet2!EX52</f>
        <v>0.69</v>
      </c>
      <c r="ES29" s="71">
        <f>Sheet2!EY52</f>
        <v>0.69</v>
      </c>
      <c r="ET29" s="71">
        <f>Sheet2!EZ52</f>
        <v>0.69</v>
      </c>
      <c r="EU29" s="71">
        <f>Sheet2!FA52</f>
        <v>0.69</v>
      </c>
      <c r="EV29" s="71">
        <f>Sheet2!FB52</f>
        <v>0.69</v>
      </c>
      <c r="EW29" s="71">
        <f>Sheet2!FC52</f>
        <v>0.69</v>
      </c>
      <c r="EX29" s="71">
        <f>Sheet2!FD52</f>
        <v>0.73</v>
      </c>
      <c r="EY29" s="71">
        <f>Sheet2!FE52</f>
        <v>0.79</v>
      </c>
      <c r="EZ29" s="71">
        <f>Sheet2!FF52</f>
        <v>0.8</v>
      </c>
      <c r="FA29" s="71">
        <f>Sheet2!FG52</f>
        <v>0.8</v>
      </c>
      <c r="FB29" s="71">
        <f>Sheet2!FH52</f>
        <v>0.8</v>
      </c>
      <c r="FC29" s="71">
        <f>Sheet2!FI52</f>
        <v>0.86</v>
      </c>
      <c r="FD29" s="71">
        <f>Sheet2!FJ52</f>
        <v>0.86</v>
      </c>
      <c r="FE29" s="71">
        <f>Sheet2!FK52</f>
        <v>0.86</v>
      </c>
      <c r="FF29" s="71">
        <f>Sheet2!FL52</f>
        <v>0.83</v>
      </c>
      <c r="FG29" s="71">
        <f>Sheet2!FM52</f>
        <v>0.82</v>
      </c>
      <c r="FH29" s="71">
        <f>Sheet2!FN52</f>
        <v>0.79</v>
      </c>
      <c r="FI29" s="71">
        <f>Sheet2!FO52</f>
        <v>0.78</v>
      </c>
      <c r="FJ29" s="71">
        <f>Sheet2!FP52</f>
        <v>0.78</v>
      </c>
      <c r="FK29" s="71">
        <f>Sheet2!FQ52</f>
        <v>0.76900000000000002</v>
      </c>
      <c r="FL29" s="71">
        <f>Sheet2!FR52</f>
        <v>0.76900000000000002</v>
      </c>
      <c r="FM29" s="71">
        <f>Sheet2!FS52</f>
        <v>0.76900000000000002</v>
      </c>
      <c r="FN29" s="71">
        <f>Sheet2!FT52</f>
        <v>0.76</v>
      </c>
      <c r="FO29" s="74">
        <f>Sheet2!FU52</f>
        <v>0.755</v>
      </c>
      <c r="FP29" s="71">
        <f>Sheet2!FV52</f>
        <v>0.755</v>
      </c>
      <c r="FQ29" s="71">
        <f>Sheet2!FW52</f>
        <v>0.755</v>
      </c>
      <c r="FR29" s="71">
        <f>Sheet2!FX52</f>
        <v>0.745</v>
      </c>
      <c r="FS29" s="71">
        <f>Sheet2!FY52</f>
        <v>0.745</v>
      </c>
      <c r="FT29" s="71">
        <f>Sheet2!FZ52</f>
        <v>0.73</v>
      </c>
      <c r="FU29" s="71">
        <f>Sheet2!GA52</f>
        <v>0.72</v>
      </c>
      <c r="FV29" s="71">
        <f>Sheet2!GB52</f>
        <v>0.70499999999999996</v>
      </c>
      <c r="FW29" s="71">
        <f>Sheet2!GC52</f>
        <v>0.7</v>
      </c>
      <c r="FX29" s="71">
        <f>Sheet2!GD52</f>
        <v>0.7</v>
      </c>
      <c r="FY29" s="71">
        <f>Sheet2!GE52</f>
        <v>0.68500000000000005</v>
      </c>
      <c r="FZ29" s="71">
        <f>Sheet2!GF52</f>
        <v>0.68500000000000005</v>
      </c>
      <c r="GA29" s="71">
        <f>Sheet2!GG52</f>
        <v>0.68500000000000005</v>
      </c>
      <c r="GB29" s="71">
        <f>Sheet2!GH52</f>
        <v>0.69499999999999995</v>
      </c>
      <c r="GC29" s="71">
        <f>Sheet2!GI52</f>
        <v>0.70499999999999996</v>
      </c>
      <c r="GD29" s="71">
        <f>Sheet2!GJ52</f>
        <v>0.70499999999999996</v>
      </c>
      <c r="GE29" s="75">
        <f>Sheet2!GK52</f>
        <v>0.70499999999999996</v>
      </c>
      <c r="GF29" s="75">
        <f>Sheet2!GL52</f>
        <v>0.70499999999999996</v>
      </c>
      <c r="GG29" s="63">
        <f t="shared" si="0"/>
        <v>0</v>
      </c>
      <c r="GH29" s="64">
        <f t="shared" si="1"/>
        <v>2.5454545454545396</v>
      </c>
      <c r="GI29" s="65">
        <f t="shared" si="2"/>
        <v>2.1739130434782652</v>
      </c>
    </row>
    <row r="30" spans="1:198" ht="15.75">
      <c r="A30" t="s">
        <v>223</v>
      </c>
      <c r="B30" s="52"/>
      <c r="C30" s="52"/>
      <c r="D30" s="52"/>
      <c r="E30" s="52"/>
      <c r="F30" s="52"/>
      <c r="G30" s="52"/>
      <c r="H30" s="52"/>
      <c r="I30" s="52"/>
      <c r="J30" s="52"/>
      <c r="K30" s="52"/>
      <c r="L30" s="52"/>
      <c r="M30" s="52"/>
      <c r="N30" s="52"/>
      <c r="O30" s="52"/>
      <c r="P30" s="52"/>
      <c r="Q30" s="52"/>
      <c r="R30" s="52"/>
      <c r="S30" s="52"/>
      <c r="T30" s="52"/>
      <c r="U30" s="52"/>
      <c r="V30" s="52"/>
      <c r="W30" s="52"/>
      <c r="X30" s="52"/>
      <c r="Y30" s="52"/>
      <c r="Z30" s="52"/>
      <c r="AA30" s="52"/>
      <c r="AB30" s="52"/>
      <c r="AC30" s="52"/>
      <c r="AD30" s="52"/>
      <c r="AE30" s="52"/>
      <c r="AF30" s="52"/>
      <c r="AG30" s="52"/>
      <c r="AH30" s="52"/>
      <c r="AI30" s="52"/>
      <c r="AJ30" s="52"/>
      <c r="AK30" s="52"/>
      <c r="AL30" s="52"/>
      <c r="AM30" s="52"/>
      <c r="AN30" s="52"/>
      <c r="AO30" s="52"/>
      <c r="AP30" s="52"/>
      <c r="AQ30" s="52"/>
      <c r="AR30" s="52"/>
      <c r="AS30" s="52"/>
      <c r="AT30" s="52"/>
      <c r="AU30" s="52"/>
      <c r="AV30" s="52"/>
      <c r="AW30" s="52"/>
      <c r="AX30" s="52"/>
      <c r="AY30" s="57"/>
      <c r="BA30" s="58"/>
      <c r="BC30" s="58"/>
      <c r="BD30" s="58"/>
      <c r="BE30" s="58"/>
      <c r="BF30" s="58"/>
      <c r="BG30" s="58"/>
      <c r="BH30" s="58"/>
      <c r="BI30" s="58"/>
      <c r="BJ30" s="58"/>
      <c r="BK30" s="58"/>
      <c r="BL30" s="58"/>
      <c r="BM30" s="58"/>
      <c r="BN30" s="58"/>
      <c r="BO30" s="58"/>
      <c r="BP30" s="58"/>
      <c r="BQ30" s="58"/>
      <c r="BR30" s="58"/>
      <c r="BS30" s="58"/>
      <c r="BT30" s="58"/>
      <c r="BU30" s="58"/>
      <c r="BV30" s="58"/>
      <c r="BW30" s="58"/>
      <c r="BX30" s="58"/>
      <c r="BY30" s="58"/>
      <c r="BZ30" s="58"/>
      <c r="CA30" s="58"/>
      <c r="CB30" s="58"/>
      <c r="CC30" s="58"/>
      <c r="CD30" s="58"/>
      <c r="CE30" s="59"/>
      <c r="CF30" s="59"/>
      <c r="CG30" s="60"/>
      <c r="CH30" s="60"/>
      <c r="CI30" s="60"/>
      <c r="CJ30" s="60"/>
      <c r="CK30" s="60"/>
      <c r="CL30" s="60"/>
      <c r="CM30" s="60"/>
      <c r="CN30" s="60"/>
      <c r="CO30" s="60"/>
      <c r="CP30" s="60"/>
      <c r="CQ30" s="60"/>
      <c r="CR30" s="60"/>
      <c r="CS30" s="60"/>
      <c r="CT30" s="60"/>
      <c r="CU30" s="60"/>
      <c r="CV30" s="60"/>
      <c r="CW30" s="60"/>
      <c r="CX30" s="60"/>
      <c r="CY30" s="60"/>
      <c r="CZ30" s="60"/>
      <c r="DA30" s="60"/>
      <c r="DB30" s="60"/>
      <c r="DC30" s="60"/>
      <c r="DD30" s="60"/>
      <c r="DE30" s="60"/>
      <c r="DF30" s="71"/>
      <c r="DG30" s="71"/>
      <c r="DH30" s="71"/>
      <c r="DI30" s="71"/>
      <c r="DJ30" s="71"/>
      <c r="DK30" s="71"/>
      <c r="DL30" s="71"/>
      <c r="DM30" s="71"/>
      <c r="DN30" s="71"/>
      <c r="DO30" s="71"/>
      <c r="DP30" s="71"/>
      <c r="DQ30" s="71"/>
      <c r="DR30" s="71"/>
      <c r="DS30" s="71"/>
      <c r="DT30" s="71"/>
      <c r="DU30" s="71"/>
      <c r="DV30" s="71"/>
      <c r="DW30" s="71"/>
      <c r="DX30" s="71"/>
      <c r="DY30" s="71"/>
      <c r="DZ30" s="71"/>
      <c r="EA30" s="71"/>
      <c r="EB30" s="71"/>
      <c r="EC30" s="71"/>
      <c r="ED30" s="71"/>
      <c r="EE30" s="71"/>
      <c r="EF30" s="71"/>
      <c r="EG30" s="71"/>
      <c r="EH30" s="71"/>
      <c r="EI30" s="71">
        <f>Sheet2!EO61</f>
        <v>0.7</v>
      </c>
      <c r="EJ30" s="71">
        <f>Sheet2!EP61</f>
        <v>0.68799999999999994</v>
      </c>
      <c r="EK30" s="71">
        <f>Sheet2!EQ61</f>
        <v>0.7</v>
      </c>
      <c r="EL30" s="71">
        <f>Sheet2!ER61</f>
        <v>0.7</v>
      </c>
      <c r="EM30" s="71">
        <f>Sheet2!ES61</f>
        <v>0.7</v>
      </c>
      <c r="EN30" s="71">
        <f>Sheet2!ET61</f>
        <v>0.7</v>
      </c>
      <c r="EO30" s="71">
        <f>Sheet2!EU61</f>
        <v>0.7</v>
      </c>
      <c r="EP30" s="71">
        <f>Sheet2!EV61</f>
        <v>0.7</v>
      </c>
      <c r="EQ30" s="71">
        <f>Sheet2!EW61</f>
        <v>0.7</v>
      </c>
      <c r="ER30" s="71">
        <f>Sheet2!EX61</f>
        <v>0.69</v>
      </c>
      <c r="ES30" s="71">
        <f>Sheet2!EY61</f>
        <v>0.69</v>
      </c>
      <c r="ET30" s="71">
        <f>Sheet2!EZ61</f>
        <v>0.69</v>
      </c>
      <c r="EU30" s="71">
        <f>Sheet2!FA61</f>
        <v>0.69</v>
      </c>
      <c r="EV30" s="71">
        <f>Sheet2!FB61</f>
        <v>0.69</v>
      </c>
      <c r="EW30" s="71">
        <f>Sheet2!FC61</f>
        <v>0.69</v>
      </c>
      <c r="EX30" s="71">
        <f>Sheet2!FD61</f>
        <v>0.70799999999999996</v>
      </c>
      <c r="EY30" s="71">
        <f>Sheet2!FE61</f>
        <v>0.79</v>
      </c>
      <c r="EZ30" s="71">
        <f>Sheet2!FF61</f>
        <v>0.82</v>
      </c>
      <c r="FA30" s="71">
        <f>Sheet2!FG61</f>
        <v>0.82</v>
      </c>
      <c r="FB30" s="71">
        <f>Sheet2!FH61</f>
        <v>0.82</v>
      </c>
      <c r="FC30" s="71">
        <f>Sheet2!FI61</f>
        <v>0.86</v>
      </c>
      <c r="FD30" s="71">
        <f>Sheet2!FJ61</f>
        <v>0.86</v>
      </c>
      <c r="FE30" s="71">
        <f>Sheet2!FK61</f>
        <v>0.86</v>
      </c>
      <c r="FF30" s="71">
        <f>Sheet2!FL61</f>
        <v>0.84</v>
      </c>
      <c r="FG30" s="71">
        <f>Sheet2!FM61</f>
        <v>0.82</v>
      </c>
      <c r="FH30" s="71">
        <f>Sheet2!FN61</f>
        <v>0.79200000000000004</v>
      </c>
      <c r="FI30" s="71">
        <f>Sheet2!FO61</f>
        <v>0.78</v>
      </c>
      <c r="FJ30" s="71">
        <f>Sheet2!FP61</f>
        <v>0.78</v>
      </c>
      <c r="FK30" s="71">
        <f>Sheet2!FQ61</f>
        <v>0.77200000000000002</v>
      </c>
      <c r="FL30" s="71">
        <f>Sheet2!FR61</f>
        <v>0.77200000000000002</v>
      </c>
      <c r="FM30" s="71">
        <f>Sheet2!FS61</f>
        <v>0.77200000000000002</v>
      </c>
      <c r="FN30" s="71">
        <f>Sheet2!FT61</f>
        <v>0.76500000000000001</v>
      </c>
      <c r="FO30" s="74">
        <f>Sheet2!FU61</f>
        <v>0.76</v>
      </c>
      <c r="FP30" s="71">
        <f>Sheet2!FV61</f>
        <v>0.76</v>
      </c>
      <c r="FQ30" s="71">
        <f>Sheet2!FW61</f>
        <v>0.76</v>
      </c>
      <c r="FR30" s="71">
        <f>Sheet2!FX61</f>
        <v>0.745</v>
      </c>
      <c r="FS30" s="71">
        <f>Sheet2!FY61</f>
        <v>0.745</v>
      </c>
      <c r="FT30" s="71">
        <f>Sheet2!FZ61</f>
        <v>0.74</v>
      </c>
      <c r="FU30" s="71">
        <f>Sheet2!GA61</f>
        <v>0.73499999999999999</v>
      </c>
      <c r="FV30" s="71">
        <f>Sheet2!GB61</f>
        <v>0.73499999999999999</v>
      </c>
      <c r="FW30" s="71">
        <f>Sheet2!GC61</f>
        <v>0.73</v>
      </c>
      <c r="FX30" s="71">
        <f>Sheet2!GD61</f>
        <v>0.73</v>
      </c>
      <c r="FY30" s="71">
        <f>Sheet2!GE61</f>
        <v>0.72</v>
      </c>
      <c r="FZ30" s="71">
        <f>Sheet2!GF61</f>
        <v>0.72</v>
      </c>
      <c r="GA30" s="71">
        <f>Sheet2!GG61</f>
        <v>0.72</v>
      </c>
      <c r="GB30" s="71">
        <f>Sheet2!GH61</f>
        <v>0.72</v>
      </c>
      <c r="GC30" s="71">
        <f>Sheet2!GI61</f>
        <v>0.73</v>
      </c>
      <c r="GD30" s="71"/>
      <c r="GE30" s="75"/>
      <c r="GF30" s="63"/>
      <c r="GG30" s="63"/>
      <c r="GH30" s="64">
        <f t="shared" si="1"/>
        <v>-74.652777777777786</v>
      </c>
      <c r="GI30" s="65">
        <f t="shared" si="2"/>
        <v>-100</v>
      </c>
    </row>
    <row r="31" spans="1:198" ht="15.75">
      <c r="A31" t="s">
        <v>224</v>
      </c>
      <c r="B31" s="52"/>
      <c r="C31" s="52"/>
      <c r="D31" s="52"/>
      <c r="E31" s="52"/>
      <c r="F31" s="52"/>
      <c r="G31" s="52"/>
      <c r="H31" s="52"/>
      <c r="I31" s="52"/>
      <c r="J31" s="52"/>
      <c r="K31" s="52"/>
      <c r="L31" s="52"/>
      <c r="M31" s="52"/>
      <c r="N31" s="52"/>
      <c r="O31" s="52"/>
      <c r="P31" s="52"/>
      <c r="Q31" s="52"/>
      <c r="R31" s="52"/>
      <c r="S31" s="52"/>
      <c r="T31" s="52"/>
      <c r="U31" s="52"/>
      <c r="V31" s="52"/>
      <c r="W31" s="52"/>
      <c r="X31" s="52"/>
      <c r="Y31" s="52"/>
      <c r="Z31" s="52"/>
      <c r="AA31" s="52"/>
      <c r="AB31" s="52"/>
      <c r="AC31" s="52"/>
      <c r="AD31" s="52"/>
      <c r="AE31" s="52"/>
      <c r="AF31" s="52"/>
      <c r="AG31" s="52"/>
      <c r="AH31" s="52"/>
      <c r="AI31" s="52"/>
      <c r="AJ31" s="52"/>
      <c r="AK31" s="52"/>
      <c r="AL31" s="52"/>
      <c r="AM31" s="52"/>
      <c r="AN31" s="52"/>
      <c r="AO31" s="52"/>
      <c r="AP31" s="52"/>
      <c r="AQ31" s="52"/>
      <c r="AR31" s="52"/>
      <c r="AS31" s="52"/>
      <c r="AT31" s="52"/>
      <c r="AU31" s="52"/>
      <c r="AV31" s="52"/>
      <c r="AW31" s="52"/>
      <c r="AX31" s="52"/>
      <c r="AY31" s="57"/>
      <c r="AZ31" s="58"/>
      <c r="BA31" s="58"/>
      <c r="BB31" s="58"/>
      <c r="BC31" s="58"/>
      <c r="BD31" s="58"/>
      <c r="BE31" s="58"/>
      <c r="BF31" s="58"/>
      <c r="BG31" s="58">
        <f>Sheet2!BJ53</f>
        <v>1.1000000000000001</v>
      </c>
      <c r="BH31" s="58">
        <f>Sheet2!BK53</f>
        <v>1.1000000000000001</v>
      </c>
      <c r="BI31" s="58">
        <f>Sheet2!BL53</f>
        <v>1.1000000000000001</v>
      </c>
      <c r="BJ31" s="58">
        <f>Sheet2!BM53</f>
        <v>1.1000000000000001</v>
      </c>
      <c r="BK31" s="58">
        <f>Sheet2!BN53</f>
        <v>1.05</v>
      </c>
      <c r="BL31" s="58">
        <f>Sheet2!BO53</f>
        <v>1.05</v>
      </c>
      <c r="BM31" s="58">
        <f>Sheet2!BP53</f>
        <v>1.05</v>
      </c>
      <c r="BN31" s="58">
        <f>Sheet2!BQ53</f>
        <v>1.05</v>
      </c>
      <c r="BO31" s="58">
        <f>Sheet2!BR53</f>
        <v>1.05</v>
      </c>
      <c r="BP31" s="58">
        <f>Sheet2!BS53</f>
        <v>1.05</v>
      </c>
      <c r="BQ31" s="58">
        <f>Sheet2!BT53</f>
        <v>1.05</v>
      </c>
      <c r="BR31" s="58">
        <f>Sheet2!BU53</f>
        <v>1.05</v>
      </c>
      <c r="BS31" s="58">
        <f>Sheet2!BV53</f>
        <v>1.05</v>
      </c>
      <c r="BT31" s="58">
        <f>Sheet2!BW53</f>
        <v>1.05</v>
      </c>
      <c r="BU31" s="58">
        <f>Sheet2!BX53</f>
        <v>1.05</v>
      </c>
      <c r="BV31" s="58">
        <f>Sheet2!BY53</f>
        <v>1.05</v>
      </c>
      <c r="BW31" s="58">
        <f>Sheet2!BZ53</f>
        <v>0.95</v>
      </c>
      <c r="BX31" s="58">
        <f>Sheet2!CA53</f>
        <v>0.9</v>
      </c>
      <c r="BY31" s="58">
        <f>Sheet2!CB53</f>
        <v>0.86</v>
      </c>
      <c r="BZ31" s="58">
        <f>Sheet2!CC53</f>
        <v>0.85</v>
      </c>
      <c r="CA31" s="58">
        <f>Sheet2!CD53</f>
        <v>0.85</v>
      </c>
      <c r="CB31" s="58">
        <f>Sheet2!CE53</f>
        <v>0.84</v>
      </c>
      <c r="CC31" s="58">
        <f>Sheet2!CF53</f>
        <v>0.84</v>
      </c>
      <c r="CD31" s="58">
        <f>Sheet2!CG53</f>
        <v>0.84</v>
      </c>
      <c r="CE31" s="59">
        <f>Sheet2!CH53</f>
        <v>0.83499999999999996</v>
      </c>
      <c r="CF31" s="59">
        <f>Sheet2!CI53</f>
        <v>0.83499999999999996</v>
      </c>
      <c r="CG31" s="60">
        <f>Sheet2!CJ53</f>
        <v>0.82</v>
      </c>
      <c r="CH31" s="60">
        <f>Sheet2!CK53</f>
        <v>0.81</v>
      </c>
      <c r="CI31" s="60">
        <f>Sheet2!CL53</f>
        <v>0.81</v>
      </c>
      <c r="CJ31" s="60">
        <f>Sheet2!CM53</f>
        <v>0.81</v>
      </c>
      <c r="CK31" s="60">
        <f>Sheet2!CN53</f>
        <v>0.78</v>
      </c>
      <c r="CL31" s="60">
        <f>Sheet2!CO53</f>
        <v>0.78</v>
      </c>
      <c r="CM31" s="60">
        <f>Sheet2!CP53</f>
        <v>0.78</v>
      </c>
      <c r="CN31" s="60">
        <f>Sheet2!CQ53</f>
        <v>0.78</v>
      </c>
      <c r="CO31" s="60">
        <f>Sheet2!CR53</f>
        <v>0.78</v>
      </c>
      <c r="CP31" s="60">
        <f>Sheet2!CS53</f>
        <v>0.78</v>
      </c>
      <c r="CQ31" s="60">
        <f>Sheet2!CT53</f>
        <v>0.78</v>
      </c>
      <c r="CR31" s="60">
        <f>Sheet2!CU53</f>
        <v>0.78</v>
      </c>
      <c r="CS31" s="60">
        <f>Sheet2!CV53</f>
        <v>0.78</v>
      </c>
      <c r="CT31" s="60">
        <f>Sheet2!CW53</f>
        <v>0.78</v>
      </c>
      <c r="CU31" s="60">
        <f>Sheet2!CX53</f>
        <v>0.75</v>
      </c>
      <c r="CV31" s="60">
        <f>Sheet2!CY53</f>
        <v>0.75</v>
      </c>
      <c r="CW31" s="60">
        <f>Sheet2!CZ53</f>
        <v>0.75</v>
      </c>
      <c r="CX31" s="60">
        <f>Sheet2!DA53</f>
        <v>0.75</v>
      </c>
      <c r="CY31" s="60">
        <f>Sheet2!DB53</f>
        <v>0.75</v>
      </c>
      <c r="CZ31" s="60">
        <f>Sheet2!DC53</f>
        <v>0.75</v>
      </c>
      <c r="DA31" s="60">
        <f>Sheet2!DD53</f>
        <v>0.75</v>
      </c>
      <c r="DB31" s="60">
        <f>Sheet2!DE53</f>
        <v>0.75</v>
      </c>
      <c r="DC31" s="60">
        <f>Sheet2!DF53</f>
        <v>0.75</v>
      </c>
      <c r="DD31" s="60">
        <f>Sheet2!DG53</f>
        <v>0.75</v>
      </c>
      <c r="DE31" s="60">
        <f>Sheet2!DH53</f>
        <v>0.75</v>
      </c>
      <c r="DF31" s="71">
        <f>Sheet2!DI53</f>
        <v>0.75</v>
      </c>
      <c r="DG31" s="71">
        <f>Sheet2!DJ53</f>
        <v>0.75</v>
      </c>
      <c r="DH31" s="71">
        <f>Sheet2!DK53</f>
        <v>0.75</v>
      </c>
      <c r="DI31" s="71">
        <v>0.79500000000000004</v>
      </c>
      <c r="DJ31" s="71">
        <f>Sheet2!DN53</f>
        <v>0.79500000000000004</v>
      </c>
      <c r="DK31" s="71">
        <f>Sheet2!DO53</f>
        <v>0.79500000000000004</v>
      </c>
      <c r="DL31" s="71">
        <f>Sheet2!DP53</f>
        <v>0.76</v>
      </c>
      <c r="DM31" s="71">
        <f>Sheet2!DQ53</f>
        <v>0.76</v>
      </c>
      <c r="DN31" s="71">
        <f>Sheet2!DR53</f>
        <v>0.76</v>
      </c>
      <c r="DO31" s="71">
        <f>Sheet2!DS53</f>
        <v>0.76</v>
      </c>
      <c r="DP31" s="71">
        <v>0.755</v>
      </c>
      <c r="DQ31" s="71">
        <f>Sheet2!DV53</f>
        <v>0.755</v>
      </c>
      <c r="DR31" s="71">
        <f>Sheet2!DW53</f>
        <v>0.755</v>
      </c>
      <c r="DS31" s="71">
        <v>0.755</v>
      </c>
      <c r="DT31" s="71">
        <f>Sheet2!DZ53</f>
        <v>0.755</v>
      </c>
      <c r="DU31" s="71">
        <f>Sheet2!EA53</f>
        <v>0.755</v>
      </c>
      <c r="DV31" s="71"/>
      <c r="DW31" s="57"/>
      <c r="DX31" s="66"/>
      <c r="DY31" s="69"/>
      <c r="DZ31" s="66"/>
      <c r="EA31" s="66"/>
      <c r="EB31" s="66"/>
      <c r="EC31" s="66"/>
      <c r="ED31" s="66"/>
      <c r="EE31" s="66"/>
      <c r="EF31" s="66"/>
      <c r="EG31" s="66"/>
      <c r="EH31" s="66"/>
      <c r="EI31" s="66"/>
      <c r="EJ31" s="66"/>
      <c r="EK31" s="66"/>
      <c r="EL31" s="66"/>
      <c r="EM31" s="66"/>
      <c r="EN31" s="66"/>
      <c r="EO31" s="66"/>
      <c r="EP31" s="66"/>
      <c r="EQ31" s="69"/>
      <c r="ER31" s="66"/>
      <c r="ES31" s="66"/>
      <c r="ET31" s="66"/>
      <c r="EU31" s="66"/>
      <c r="EV31" s="66"/>
      <c r="EW31" s="66"/>
      <c r="EX31" s="70" t="s">
        <v>204</v>
      </c>
      <c r="EY31" s="70"/>
      <c r="EZ31" s="70"/>
      <c r="FA31" s="66"/>
      <c r="FB31" s="66"/>
      <c r="FC31" s="66"/>
      <c r="FD31" s="66"/>
      <c r="FE31" s="66"/>
      <c r="FF31" s="69"/>
      <c r="FG31" s="66"/>
      <c r="FH31" s="66"/>
      <c r="FI31" s="66"/>
      <c r="FJ31" s="66"/>
      <c r="FK31" s="66"/>
      <c r="FL31" s="66"/>
      <c r="FM31" s="66"/>
      <c r="FN31" s="66"/>
      <c r="FO31" s="67"/>
      <c r="FP31" s="66"/>
      <c r="FQ31" s="66"/>
      <c r="FR31" s="66"/>
      <c r="FS31" s="66"/>
      <c r="FT31" s="66"/>
      <c r="FU31" s="66"/>
      <c r="FV31" s="66"/>
      <c r="FW31" s="66"/>
      <c r="FX31" s="66"/>
      <c r="FY31" s="66"/>
      <c r="FZ31" s="66"/>
      <c r="GA31" s="66"/>
      <c r="GB31" s="66"/>
      <c r="GC31" s="66"/>
      <c r="GD31" s="66"/>
      <c r="GE31" s="63"/>
      <c r="GF31" s="63"/>
      <c r="GG31" s="63"/>
      <c r="GH31" s="64"/>
      <c r="GI31" s="65"/>
    </row>
    <row r="32" spans="1:198" ht="15.75">
      <c r="A32" t="s">
        <v>225</v>
      </c>
      <c r="B32" s="52"/>
      <c r="C32" s="52"/>
      <c r="D32" s="52"/>
      <c r="E32" s="52"/>
      <c r="F32" s="52"/>
      <c r="G32" s="52"/>
      <c r="H32" s="52"/>
      <c r="I32" s="52"/>
      <c r="J32" s="52"/>
      <c r="K32" s="52"/>
      <c r="L32" s="52"/>
      <c r="M32" s="52"/>
      <c r="N32" s="52"/>
      <c r="O32" s="52"/>
      <c r="P32" s="52"/>
      <c r="Q32" s="52"/>
      <c r="R32" s="52"/>
      <c r="S32" s="52"/>
      <c r="T32" s="52"/>
      <c r="U32" s="52"/>
      <c r="V32" s="52"/>
      <c r="W32" s="52"/>
      <c r="X32" s="52"/>
      <c r="Y32" s="52"/>
      <c r="Z32" s="52"/>
      <c r="AA32" s="52"/>
      <c r="AB32" s="52"/>
      <c r="AC32" s="52"/>
      <c r="AD32" s="52"/>
      <c r="AE32" s="52"/>
      <c r="AF32" s="52"/>
      <c r="AG32" s="52"/>
      <c r="AH32" s="52"/>
      <c r="AI32" s="52"/>
      <c r="AJ32" s="52"/>
      <c r="AK32" s="52"/>
      <c r="AL32" s="52"/>
      <c r="AM32" s="52"/>
      <c r="AN32" s="52"/>
      <c r="AO32" s="52"/>
      <c r="AP32" s="52"/>
      <c r="AQ32" s="52"/>
      <c r="AR32" s="52"/>
      <c r="AS32" s="52"/>
      <c r="AT32" s="52"/>
      <c r="AU32" s="52"/>
      <c r="AV32" s="52"/>
      <c r="AW32" s="52"/>
      <c r="AX32" s="52"/>
      <c r="AY32" s="57"/>
      <c r="AZ32" s="58"/>
      <c r="BA32" s="58"/>
      <c r="BB32" s="58"/>
      <c r="BC32" s="58"/>
      <c r="BD32" s="58"/>
      <c r="BE32" s="58"/>
      <c r="BF32" s="58"/>
      <c r="BG32" s="58"/>
      <c r="BH32" s="58"/>
      <c r="BI32" s="58"/>
      <c r="BJ32" s="58"/>
      <c r="BK32" s="58"/>
      <c r="BL32" s="58"/>
      <c r="BM32" s="58"/>
      <c r="BN32" s="58"/>
      <c r="BO32" s="58"/>
      <c r="BP32" s="58"/>
      <c r="BQ32" s="58"/>
      <c r="BR32" s="58"/>
      <c r="BS32" s="58"/>
      <c r="BT32" s="58"/>
      <c r="BU32" s="58"/>
      <c r="BV32" s="58"/>
      <c r="BW32" s="58"/>
      <c r="BX32" s="58"/>
      <c r="BY32" s="58"/>
      <c r="BZ32" s="58"/>
      <c r="CA32" s="58"/>
      <c r="CB32" s="58"/>
      <c r="CC32" s="58"/>
      <c r="CD32" s="58"/>
      <c r="CE32" s="59"/>
      <c r="CF32" s="59"/>
      <c r="CG32" s="60"/>
      <c r="CH32" s="60"/>
      <c r="CI32" s="60"/>
      <c r="CJ32" s="60"/>
      <c r="CK32" s="60"/>
      <c r="CL32" s="60"/>
      <c r="CM32" s="60"/>
      <c r="CN32" s="60"/>
      <c r="CO32" s="60"/>
      <c r="CP32" s="60"/>
      <c r="CQ32" s="60"/>
      <c r="CR32" s="60"/>
      <c r="CS32" s="60"/>
      <c r="CT32" s="60"/>
      <c r="CU32" s="60"/>
      <c r="CV32" s="60"/>
      <c r="CW32" s="60"/>
      <c r="CX32" s="60"/>
      <c r="CY32" s="60"/>
      <c r="CZ32" s="60"/>
      <c r="DA32" s="60"/>
      <c r="DB32" s="60"/>
      <c r="DC32" s="60"/>
      <c r="DD32" s="60"/>
      <c r="DE32" s="60"/>
      <c r="DF32" s="71"/>
      <c r="DG32" s="71"/>
      <c r="DH32" s="71"/>
      <c r="DI32" s="71"/>
      <c r="DJ32" s="71"/>
      <c r="DK32" s="71"/>
      <c r="DL32" s="71"/>
      <c r="DM32" s="71"/>
      <c r="DN32" s="71"/>
      <c r="DO32" s="71"/>
      <c r="DP32" s="71"/>
      <c r="DQ32" s="71"/>
      <c r="DR32" s="71"/>
      <c r="DS32" s="71"/>
      <c r="DT32" s="57"/>
      <c r="DU32" s="71">
        <f>Sheet2!EA60</f>
        <v>0.78</v>
      </c>
      <c r="DV32" s="71">
        <f>Sheet2!EB60</f>
        <v>0.78</v>
      </c>
      <c r="DW32" s="71">
        <f>Sheet2!EC60</f>
        <v>0.78</v>
      </c>
      <c r="DX32" s="71">
        <f>Sheet2!ED60</f>
        <v>0.78</v>
      </c>
      <c r="DY32" s="71">
        <f>Sheet2!EE60</f>
        <v>0.78</v>
      </c>
      <c r="DZ32" s="71">
        <f>Sheet2!EF60</f>
        <v>0.78500000000000003</v>
      </c>
      <c r="EA32" s="71">
        <f>Sheet2!EG60</f>
        <v>0.78500000000000003</v>
      </c>
      <c r="EB32" s="71">
        <f>Sheet2!EH60</f>
        <v>0.79</v>
      </c>
      <c r="EC32" s="71">
        <f>Sheet2!EI60</f>
        <v>0.79</v>
      </c>
      <c r="ED32" s="71">
        <f>Sheet2!EJ60</f>
        <v>0.79</v>
      </c>
      <c r="EE32" s="71">
        <f>Sheet2!EK60</f>
        <v>0.79</v>
      </c>
      <c r="EF32" s="71">
        <f>Sheet2!EL60</f>
        <v>0.79</v>
      </c>
      <c r="EG32" s="71">
        <f>Sheet2!EM60</f>
        <v>0.79</v>
      </c>
      <c r="EH32" s="71">
        <f>Sheet2!EN60</f>
        <v>0.79</v>
      </c>
      <c r="EI32" s="71">
        <f>Sheet2!EO60</f>
        <v>0.79</v>
      </c>
      <c r="EJ32" s="71">
        <f>Sheet2!EP60</f>
        <v>0.79</v>
      </c>
      <c r="EK32" s="71">
        <f>Sheet2!EQ60</f>
        <v>0.79</v>
      </c>
      <c r="EL32" s="71">
        <f>Sheet2!ER60</f>
        <v>0.79</v>
      </c>
      <c r="EM32" s="71">
        <f>Sheet2!ES60</f>
        <v>0.79</v>
      </c>
      <c r="EN32" s="71">
        <f>Sheet2!ET60</f>
        <v>0.79</v>
      </c>
      <c r="EO32" s="71">
        <f>Sheet2!EU60</f>
        <v>0.78500000000000003</v>
      </c>
      <c r="EP32" s="71">
        <f>Sheet2!EV60</f>
        <v>0.78500000000000003</v>
      </c>
      <c r="EQ32" s="71">
        <f>Sheet2!EW60</f>
        <v>0.78500000000000003</v>
      </c>
      <c r="ER32" s="71">
        <f>Sheet2!EX60</f>
        <v>0.78</v>
      </c>
      <c r="ES32" s="71">
        <f>Sheet2!EY60</f>
        <v>0.78</v>
      </c>
      <c r="ET32" s="71">
        <f>Sheet2!EZ60</f>
        <v>0.78</v>
      </c>
      <c r="EU32" s="71">
        <f>Sheet2!FA60</f>
        <v>0.78</v>
      </c>
      <c r="EV32" s="71">
        <f>Sheet2!FB60</f>
        <v>0.78</v>
      </c>
      <c r="EW32" s="71">
        <f>Sheet2!FC60</f>
        <v>0.78</v>
      </c>
      <c r="EX32" s="71">
        <f>Sheet2!FD60</f>
        <v>0.83</v>
      </c>
      <c r="EY32" s="71">
        <f>Sheet2!FE60</f>
        <v>0.83</v>
      </c>
      <c r="EZ32" s="71">
        <f>Sheet2!FF60</f>
        <v>0.83</v>
      </c>
      <c r="FA32" s="71">
        <f>Sheet2!FG60</f>
        <v>0.83</v>
      </c>
      <c r="FB32" s="71">
        <f>Sheet2!FH60</f>
        <v>0.83</v>
      </c>
      <c r="FC32" s="71">
        <f>Sheet2!FI60</f>
        <v>0.9</v>
      </c>
      <c r="FD32" s="71">
        <f>Sheet2!FJ60</f>
        <v>0.9</v>
      </c>
      <c r="FE32" s="71">
        <f>Sheet2!FK60</f>
        <v>0.9</v>
      </c>
      <c r="FF32" s="71">
        <f>Sheet2!FL60</f>
        <v>0.9</v>
      </c>
      <c r="FG32" s="71">
        <f>Sheet2!FM60</f>
        <v>0.88</v>
      </c>
      <c r="FH32" s="71">
        <f>Sheet2!FN60</f>
        <v>0.87</v>
      </c>
      <c r="FI32" s="71">
        <f>Sheet2!FO60</f>
        <v>0.86</v>
      </c>
      <c r="FJ32" s="71">
        <f>Sheet2!FP60</f>
        <v>0.86</v>
      </c>
      <c r="FK32" s="71">
        <f>Sheet2!FQ60</f>
        <v>0.84499999999999997</v>
      </c>
      <c r="FL32" s="71">
        <f>Sheet2!FR60</f>
        <v>0.84499999999999997</v>
      </c>
      <c r="FM32" s="71">
        <f>Sheet2!FS60</f>
        <v>0.84499999999999997</v>
      </c>
      <c r="FN32" s="71">
        <f>Sheet2!FT60</f>
        <v>0.84499999999999997</v>
      </c>
      <c r="FO32" s="74">
        <f>Sheet2!FU60</f>
        <v>0.84499999999999997</v>
      </c>
      <c r="FP32" s="71">
        <f>Sheet2!FV60</f>
        <v>0.84499999999999997</v>
      </c>
      <c r="FQ32" s="71">
        <f>Sheet2!FW60</f>
        <v>0.84499999999999997</v>
      </c>
      <c r="FR32" s="71">
        <f>Sheet2!FX60</f>
        <v>0.83</v>
      </c>
      <c r="FS32" s="71">
        <f>Sheet2!FY60</f>
        <v>0.83</v>
      </c>
      <c r="FT32" s="71">
        <f>Sheet2!FZ60</f>
        <v>0.83</v>
      </c>
      <c r="FU32" s="71">
        <f>Sheet2!GA60</f>
        <v>0.83</v>
      </c>
      <c r="FV32" s="71">
        <f>Sheet2!GB60</f>
        <v>0.83</v>
      </c>
      <c r="FW32" s="71">
        <f>Sheet2!GC60</f>
        <v>0.83</v>
      </c>
      <c r="FX32" s="71">
        <f>Sheet2!GD60</f>
        <v>0.83</v>
      </c>
      <c r="FY32" s="71">
        <f>Sheet2!GE60</f>
        <v>0.83</v>
      </c>
      <c r="FZ32" s="71">
        <f>Sheet2!GF60</f>
        <v>0.83</v>
      </c>
      <c r="GA32" s="71">
        <f>Sheet2!GG60</f>
        <v>0.83</v>
      </c>
      <c r="GB32" s="71">
        <f>Sheet2!GH60</f>
        <v>0.83</v>
      </c>
      <c r="GC32" s="71">
        <f>Sheet2!GI60</f>
        <v>0.83</v>
      </c>
      <c r="GD32" s="71">
        <f>Sheet2!GJ60</f>
        <v>0.83</v>
      </c>
      <c r="GE32" s="75">
        <f>Sheet2!GK60</f>
        <v>0.83</v>
      </c>
      <c r="GF32" s="75">
        <f>Sheet2!GL60</f>
        <v>0.83</v>
      </c>
      <c r="GG32" s="63">
        <f t="shared" si="0"/>
        <v>0</v>
      </c>
      <c r="GH32" s="64">
        <f t="shared" si="1"/>
        <v>0</v>
      </c>
      <c r="GI32" s="65">
        <f t="shared" si="2"/>
        <v>6.4102564102564088</v>
      </c>
    </row>
    <row r="33" spans="1:191" ht="15.75">
      <c r="A33" t="s">
        <v>226</v>
      </c>
      <c r="B33" s="52"/>
      <c r="C33" s="52"/>
      <c r="D33" s="52"/>
      <c r="E33" s="52"/>
      <c r="F33" s="52"/>
      <c r="G33" s="52"/>
      <c r="H33" s="52"/>
      <c r="I33" s="52"/>
      <c r="J33" s="52"/>
      <c r="K33" s="52"/>
      <c r="L33" s="52"/>
      <c r="M33" s="52"/>
      <c r="N33" s="52"/>
      <c r="O33" s="52"/>
      <c r="P33" s="52"/>
      <c r="Q33" s="52"/>
      <c r="R33" s="52"/>
      <c r="S33" s="52"/>
      <c r="T33" s="52"/>
      <c r="U33" s="52"/>
      <c r="V33" s="52"/>
      <c r="W33" s="52"/>
      <c r="X33" s="52"/>
      <c r="Y33" s="52"/>
      <c r="Z33" s="52"/>
      <c r="AA33" s="52"/>
      <c r="AB33" s="52"/>
      <c r="AC33" s="52"/>
      <c r="AD33" s="52"/>
      <c r="AE33" s="52"/>
      <c r="AF33" s="52"/>
      <c r="AG33" s="52"/>
      <c r="AH33" s="52"/>
      <c r="AI33" s="52"/>
      <c r="AJ33" s="52"/>
      <c r="AK33" s="52"/>
      <c r="AL33" s="52"/>
      <c r="AM33" s="52"/>
      <c r="AN33" s="52"/>
      <c r="AO33" s="52"/>
      <c r="AP33" s="52"/>
      <c r="AQ33" s="52"/>
      <c r="AR33" s="52"/>
      <c r="AS33" s="52"/>
      <c r="AT33" s="52"/>
      <c r="AU33" s="52"/>
      <c r="AV33" s="52"/>
      <c r="AW33" s="52"/>
      <c r="AX33" s="52"/>
      <c r="AY33" s="57"/>
      <c r="AZ33" s="58"/>
      <c r="BA33" s="58"/>
      <c r="BB33" s="58"/>
      <c r="BC33" s="58"/>
      <c r="BD33" s="58"/>
      <c r="BE33" s="58"/>
      <c r="BF33" s="58"/>
      <c r="BG33" s="58"/>
      <c r="BH33" s="58"/>
      <c r="BI33" s="58"/>
      <c r="BJ33" s="58"/>
      <c r="BK33" s="58"/>
      <c r="BL33" s="58"/>
      <c r="BM33" s="58"/>
      <c r="BN33" s="58"/>
      <c r="BO33" s="58"/>
      <c r="BP33" s="58"/>
      <c r="BQ33" s="58"/>
      <c r="BR33" s="58"/>
      <c r="BS33" s="58"/>
      <c r="BT33" s="58"/>
      <c r="BU33" s="58"/>
      <c r="BV33" s="58"/>
      <c r="BW33" s="58"/>
      <c r="BX33" s="58"/>
      <c r="BY33" s="58"/>
      <c r="BZ33" s="58"/>
      <c r="CA33" s="58"/>
      <c r="CB33" s="58"/>
      <c r="CC33" s="58"/>
      <c r="CD33" s="58"/>
      <c r="CE33" s="59"/>
      <c r="CF33" s="59"/>
      <c r="CG33" s="60"/>
      <c r="CH33" s="60"/>
      <c r="CI33" s="60"/>
      <c r="CJ33" s="60"/>
      <c r="CK33" s="60"/>
      <c r="CL33" s="60"/>
      <c r="CM33" s="60"/>
      <c r="CN33" s="60"/>
      <c r="CO33" s="60"/>
      <c r="CP33" s="60"/>
      <c r="CQ33" s="60"/>
      <c r="CR33" s="60"/>
      <c r="CS33" s="60"/>
      <c r="CT33" s="60"/>
      <c r="CU33" s="60"/>
      <c r="CV33" s="60"/>
      <c r="CW33" s="60"/>
      <c r="CX33" s="60"/>
      <c r="CY33" s="60"/>
      <c r="CZ33" s="60"/>
      <c r="DA33" s="60"/>
      <c r="DB33" s="60"/>
      <c r="DC33" s="60"/>
      <c r="DD33" s="60"/>
      <c r="DE33" s="60"/>
      <c r="DF33" s="71"/>
      <c r="DG33" s="71"/>
      <c r="DH33" s="71"/>
      <c r="DI33" s="71">
        <v>0.87</v>
      </c>
      <c r="DJ33" s="71">
        <f>Sheet2!DN57</f>
        <v>0.87</v>
      </c>
      <c r="DK33" s="71">
        <f>Sheet2!DO57</f>
        <v>0.87</v>
      </c>
      <c r="DL33" s="71">
        <f>Sheet2!DP57</f>
        <v>0.87</v>
      </c>
      <c r="DM33" s="71">
        <f>Sheet2!DQ57</f>
        <v>0.83</v>
      </c>
      <c r="DN33" s="71">
        <f>Sheet2!DR57</f>
        <v>0.83</v>
      </c>
      <c r="DO33" s="71">
        <f>Sheet2!DS57</f>
        <v>0.83</v>
      </c>
      <c r="DP33" s="71">
        <v>0.78</v>
      </c>
      <c r="DQ33" s="71">
        <f>Sheet2!DV57</f>
        <v>0.78</v>
      </c>
      <c r="DR33" s="71">
        <f>Sheet2!DW57</f>
        <v>0.78</v>
      </c>
      <c r="DS33" s="71">
        <v>0.78</v>
      </c>
      <c r="DT33" s="71">
        <f>Sheet2!DZ57</f>
        <v>0.78</v>
      </c>
      <c r="DU33" s="71">
        <f>Sheet2!EA57</f>
        <v>0.78</v>
      </c>
      <c r="DV33" s="71">
        <f>Sheet2!EB57</f>
        <v>0.78</v>
      </c>
      <c r="DW33" s="71">
        <f>Sheet2!EC57</f>
        <v>0.78</v>
      </c>
      <c r="DX33" s="71">
        <f>Sheet2!ED57</f>
        <v>0.78</v>
      </c>
      <c r="DY33" s="71">
        <f>Sheet2!EE57</f>
        <v>0.78</v>
      </c>
      <c r="DZ33" s="71">
        <f>Sheet2!EF57</f>
        <v>0.79</v>
      </c>
      <c r="EA33" s="71">
        <f>Sheet2!EG57</f>
        <v>0.79</v>
      </c>
      <c r="EB33" s="71">
        <f>Sheet2!EH57</f>
        <v>0.79</v>
      </c>
      <c r="EC33" s="71">
        <f>Sheet2!EI57</f>
        <v>0.79</v>
      </c>
      <c r="ED33" s="71">
        <f>Sheet2!EJ57</f>
        <v>0.79</v>
      </c>
      <c r="EE33" s="71">
        <f>Sheet2!EK57</f>
        <v>0.79</v>
      </c>
      <c r="EF33" s="71">
        <f>Sheet2!EL57</f>
        <v>0.79</v>
      </c>
      <c r="EG33" s="71">
        <f>Sheet2!EM57</f>
        <v>0.79</v>
      </c>
      <c r="EH33" s="71">
        <f>Sheet2!EN57</f>
        <v>0.79</v>
      </c>
      <c r="EI33" s="71">
        <f>Sheet2!EO57</f>
        <v>0.79</v>
      </c>
      <c r="EJ33" s="71">
        <f>Sheet2!EP57</f>
        <v>0.79</v>
      </c>
      <c r="EK33" s="71">
        <f>Sheet2!EQ57</f>
        <v>0.79</v>
      </c>
      <c r="EL33" s="71">
        <f>Sheet2!ER57</f>
        <v>0.79</v>
      </c>
      <c r="EM33" s="71">
        <f>Sheet2!ES57</f>
        <v>0.79</v>
      </c>
      <c r="EN33" s="71">
        <f>Sheet2!ET57</f>
        <v>0.79</v>
      </c>
      <c r="EO33" s="71">
        <f>Sheet2!EU57</f>
        <v>0.78</v>
      </c>
      <c r="EP33" s="71">
        <f>Sheet2!EV57</f>
        <v>0.78</v>
      </c>
      <c r="EQ33" s="71">
        <f>Sheet2!EW57</f>
        <v>0.78</v>
      </c>
      <c r="ER33" s="71">
        <f>Sheet2!EX57</f>
        <v>0.76</v>
      </c>
      <c r="ES33" s="71">
        <f>Sheet2!EY57</f>
        <v>0.76</v>
      </c>
      <c r="ET33" s="71">
        <f>Sheet2!EZ57</f>
        <v>0.76</v>
      </c>
      <c r="EU33" s="71">
        <f>Sheet2!FA57</f>
        <v>0.76</v>
      </c>
      <c r="EV33" s="71">
        <f>Sheet2!FB57</f>
        <v>0.76</v>
      </c>
      <c r="EW33" s="71">
        <f>Sheet2!FC57</f>
        <v>0.76</v>
      </c>
      <c r="EX33" s="71">
        <f>Sheet2!FD57</f>
        <v>0.83</v>
      </c>
      <c r="EY33" s="71">
        <f>Sheet2!FE57</f>
        <v>0.83</v>
      </c>
      <c r="EZ33" s="71">
        <f>Sheet2!FF57</f>
        <v>0.83</v>
      </c>
      <c r="FA33" s="71">
        <f>Sheet2!FG57</f>
        <v>0.83</v>
      </c>
      <c r="FB33" s="71">
        <f>Sheet2!FH57</f>
        <v>0.83</v>
      </c>
      <c r="FC33" s="71">
        <f>Sheet2!FI57</f>
        <v>0.9</v>
      </c>
      <c r="FD33" s="71">
        <f>Sheet2!FJ57</f>
        <v>0.9</v>
      </c>
      <c r="FE33" s="71">
        <f>Sheet2!FK57</f>
        <v>0.9</v>
      </c>
      <c r="FF33" s="71">
        <f>Sheet2!FL57</f>
        <v>0.9</v>
      </c>
      <c r="FG33" s="71">
        <f>Sheet2!FM57</f>
        <v>0.88</v>
      </c>
      <c r="FH33" s="71">
        <f>Sheet2!FN57</f>
        <v>0.875</v>
      </c>
      <c r="FI33" s="71">
        <f>Sheet2!FO57</f>
        <v>0.86</v>
      </c>
      <c r="FJ33" s="71">
        <f>Sheet2!FP57</f>
        <v>0.86</v>
      </c>
      <c r="FK33" s="71">
        <f>Sheet2!FQ57</f>
        <v>0.84499999999999997</v>
      </c>
      <c r="FL33" s="71">
        <f>Sheet2!FR57</f>
        <v>0.84499999999999997</v>
      </c>
      <c r="FM33" s="71">
        <f>Sheet2!FS57</f>
        <v>0.84499999999999997</v>
      </c>
      <c r="FN33" s="71">
        <f>Sheet2!FT57</f>
        <v>0.84</v>
      </c>
      <c r="FO33" s="74">
        <f>Sheet2!FU57</f>
        <v>0.83</v>
      </c>
      <c r="FP33" s="71">
        <f>Sheet2!FV57</f>
        <v>0.83</v>
      </c>
      <c r="FQ33" s="71">
        <f>Sheet2!FW57</f>
        <v>0.83</v>
      </c>
      <c r="FR33" s="71">
        <f>Sheet2!FX57</f>
        <v>0.83</v>
      </c>
      <c r="FS33" s="71">
        <f>Sheet2!FY57</f>
        <v>0.83</v>
      </c>
      <c r="FT33" s="71">
        <f>Sheet2!FZ57</f>
        <v>0.83</v>
      </c>
      <c r="FU33" s="71">
        <f>Sheet2!GA57</f>
        <v>0.83</v>
      </c>
      <c r="FV33" s="71">
        <f>Sheet2!GB57</f>
        <v>0.83</v>
      </c>
      <c r="FW33" s="71">
        <f>Sheet2!GC57</f>
        <v>0.83</v>
      </c>
      <c r="FX33" s="71">
        <f>Sheet2!GD57</f>
        <v>0.83</v>
      </c>
      <c r="FY33" s="71">
        <f>Sheet2!GE57</f>
        <v>0.83</v>
      </c>
      <c r="FZ33" s="71">
        <f>Sheet2!GF57</f>
        <v>0.83</v>
      </c>
      <c r="GA33" s="71">
        <f>Sheet2!GG57</f>
        <v>0.83</v>
      </c>
      <c r="GB33" s="71">
        <f>Sheet2!GH57</f>
        <v>0.83</v>
      </c>
      <c r="GC33" s="71">
        <f>Sheet2!GI57</f>
        <v>0.83</v>
      </c>
      <c r="GD33" s="71">
        <f>Sheet2!GJ57</f>
        <v>0.83</v>
      </c>
      <c r="GE33" s="75">
        <f>Sheet2!GK57</f>
        <v>0.83</v>
      </c>
      <c r="GF33" s="75">
        <f>Sheet2!GL57</f>
        <v>0.81</v>
      </c>
      <c r="GG33" s="63">
        <f t="shared" si="0"/>
        <v>-2.409638554216869</v>
      </c>
      <c r="GH33" s="64">
        <f t="shared" si="1"/>
        <v>-0.60240963855421747</v>
      </c>
      <c r="GI33" s="65">
        <f t="shared" si="2"/>
        <v>6.5789473684210549</v>
      </c>
    </row>
    <row r="34" spans="1:191" ht="15.75">
      <c r="A34" t="s">
        <v>227</v>
      </c>
      <c r="B34" s="52"/>
      <c r="C34" s="52"/>
      <c r="D34" s="52"/>
      <c r="E34" s="52"/>
      <c r="F34" s="52"/>
      <c r="G34" s="52"/>
      <c r="H34" s="52"/>
      <c r="I34" s="52"/>
      <c r="J34" s="52"/>
      <c r="K34" s="52"/>
      <c r="L34" s="52"/>
      <c r="M34" s="52"/>
      <c r="N34" s="52"/>
      <c r="O34" s="52"/>
      <c r="P34" s="52"/>
      <c r="Q34" s="52"/>
      <c r="R34" s="52"/>
      <c r="S34" s="52"/>
      <c r="T34" s="52"/>
      <c r="U34" s="52"/>
      <c r="V34" s="52"/>
      <c r="W34" s="52"/>
      <c r="X34" s="52"/>
      <c r="Y34" s="52"/>
      <c r="Z34" s="52"/>
      <c r="AA34" s="52"/>
      <c r="AB34" s="52"/>
      <c r="AC34" s="52"/>
      <c r="AD34" s="52"/>
      <c r="AE34" s="52"/>
      <c r="AF34" s="52"/>
      <c r="AG34" s="52"/>
      <c r="AH34" s="52"/>
      <c r="AI34" s="52"/>
      <c r="AJ34" s="52"/>
      <c r="AK34" s="52"/>
      <c r="AL34" s="52"/>
      <c r="AM34" s="52"/>
      <c r="AN34" s="52"/>
      <c r="AO34" s="52"/>
      <c r="AP34" s="52"/>
      <c r="AQ34" s="52"/>
      <c r="AR34" s="52"/>
      <c r="AS34" s="52"/>
      <c r="AT34" s="52"/>
      <c r="AU34" s="52"/>
      <c r="AV34" s="52"/>
      <c r="AW34" s="52"/>
      <c r="AX34" s="52"/>
      <c r="AY34" s="57"/>
      <c r="AZ34" s="58"/>
      <c r="BA34" s="58"/>
      <c r="BB34" s="58"/>
      <c r="BC34" s="58"/>
      <c r="BD34" s="58"/>
      <c r="BE34" s="58"/>
      <c r="BF34" s="58"/>
      <c r="BG34" s="58"/>
      <c r="BH34" s="58"/>
      <c r="BI34" s="58"/>
      <c r="BJ34" s="58"/>
      <c r="BK34" s="58"/>
      <c r="BL34" s="58"/>
      <c r="BM34" s="58"/>
      <c r="BN34" s="58"/>
      <c r="BO34" s="58"/>
      <c r="BP34" s="58"/>
      <c r="BQ34" s="58"/>
      <c r="BR34" s="58"/>
      <c r="BS34" s="58"/>
      <c r="BT34" s="58"/>
      <c r="BU34" s="58"/>
      <c r="BV34" s="58"/>
      <c r="BW34" s="58"/>
      <c r="BX34" s="58"/>
      <c r="BY34" s="58"/>
      <c r="BZ34" s="58"/>
      <c r="CA34" s="58"/>
      <c r="CB34" s="58"/>
      <c r="CC34" s="58"/>
      <c r="CD34" s="58"/>
      <c r="CE34" s="59"/>
      <c r="CF34" s="59"/>
      <c r="CG34" s="60"/>
      <c r="CH34" s="60"/>
      <c r="CI34" s="60"/>
      <c r="CJ34" s="60"/>
      <c r="CK34" s="60"/>
      <c r="CL34" s="60"/>
      <c r="CM34" s="60"/>
      <c r="CN34" s="60"/>
      <c r="CO34" s="60"/>
      <c r="CP34" s="60"/>
      <c r="CQ34" s="60"/>
      <c r="CR34" s="60"/>
      <c r="CS34" s="60"/>
      <c r="CT34" s="60"/>
      <c r="CU34" s="60"/>
      <c r="CV34" s="60"/>
      <c r="CW34" s="60"/>
      <c r="CX34" s="60"/>
      <c r="CY34" s="60"/>
      <c r="CZ34" s="60"/>
      <c r="DA34" s="60"/>
      <c r="DB34" s="60"/>
      <c r="DC34" s="60"/>
      <c r="DD34" s="60"/>
      <c r="DE34" s="60"/>
      <c r="DF34" s="71"/>
      <c r="DG34" s="71"/>
      <c r="DH34" s="71"/>
      <c r="DI34" s="71">
        <v>0.80500000000000005</v>
      </c>
      <c r="DJ34" s="71">
        <f>Sheet2!DN58</f>
        <v>0.80500000000000005</v>
      </c>
      <c r="DK34" s="71">
        <f>Sheet2!DO58</f>
        <v>0.80500000000000005</v>
      </c>
      <c r="DL34" s="71">
        <f>Sheet2!DP58</f>
        <v>0.80500000000000005</v>
      </c>
      <c r="DM34" s="71">
        <f>Sheet2!DQ58</f>
        <v>0.8</v>
      </c>
      <c r="DN34" s="71">
        <f>Sheet2!DR58</f>
        <v>0.8</v>
      </c>
      <c r="DO34" s="71">
        <f>Sheet2!DS58</f>
        <v>0.8</v>
      </c>
      <c r="DP34" s="71">
        <v>0.76</v>
      </c>
      <c r="DQ34" s="71">
        <f>Sheet2!DV58</f>
        <v>0.76</v>
      </c>
      <c r="DR34" s="71">
        <f>Sheet2!DW58</f>
        <v>0.76</v>
      </c>
      <c r="DS34" s="71">
        <v>0.76</v>
      </c>
      <c r="DT34" s="71">
        <f>Sheet2!DZ58</f>
        <v>0.76</v>
      </c>
      <c r="DU34" s="71">
        <f>Sheet2!EA58</f>
        <v>0.76</v>
      </c>
      <c r="DV34" s="71">
        <f>Sheet2!EB58</f>
        <v>0.76</v>
      </c>
      <c r="DW34" s="71">
        <f>Sheet2!EC58</f>
        <v>0.76</v>
      </c>
      <c r="DX34" s="71">
        <f>Sheet2!ED58</f>
        <v>0.76</v>
      </c>
      <c r="DY34" s="71">
        <f>Sheet2!EE58</f>
        <v>0.76</v>
      </c>
      <c r="DZ34" s="71">
        <f>Sheet2!EF58</f>
        <v>0.76</v>
      </c>
      <c r="EA34" s="71">
        <f>Sheet2!EG58</f>
        <v>0.76</v>
      </c>
      <c r="EB34" s="71">
        <f>Sheet2!EH58</f>
        <v>0.76</v>
      </c>
      <c r="EC34" s="71">
        <f>Sheet2!EI58</f>
        <v>0.76</v>
      </c>
      <c r="ED34" s="71">
        <f>Sheet2!EJ58</f>
        <v>0.76</v>
      </c>
      <c r="EE34" s="71">
        <f>Sheet2!EK58</f>
        <v>0.76</v>
      </c>
      <c r="EF34" s="71">
        <f>Sheet2!EL58</f>
        <v>0.76</v>
      </c>
      <c r="EG34" s="71">
        <f>Sheet2!EM58</f>
        <v>0.76</v>
      </c>
      <c r="EH34" s="71">
        <f>Sheet2!EN58</f>
        <v>0.76</v>
      </c>
      <c r="EI34" s="71">
        <f>Sheet2!EO58</f>
        <v>0.76</v>
      </c>
      <c r="EJ34" s="71">
        <f>Sheet2!EP58</f>
        <v>0.76</v>
      </c>
      <c r="EK34" s="71">
        <f>Sheet2!EQ58</f>
        <v>0.76</v>
      </c>
      <c r="EL34" s="71">
        <f>Sheet2!ER58</f>
        <v>0.76</v>
      </c>
      <c r="EM34" s="71">
        <f>Sheet2!ES58</f>
        <v>0.76</v>
      </c>
      <c r="EN34" s="71">
        <f>Sheet2!ET58</f>
        <v>0.76</v>
      </c>
      <c r="EO34" s="71">
        <f>Sheet2!EU58</f>
        <v>0.76</v>
      </c>
      <c r="EP34" s="71">
        <f>Sheet2!EV58</f>
        <v>0.76</v>
      </c>
      <c r="EQ34" s="71">
        <f>Sheet2!EW58</f>
        <v>0.76</v>
      </c>
      <c r="ER34" s="71">
        <f>Sheet2!EX58</f>
        <v>0.76</v>
      </c>
      <c r="ES34" s="71">
        <f>Sheet2!EY58</f>
        <v>0.75</v>
      </c>
      <c r="ET34" s="71">
        <f>Sheet2!EZ58</f>
        <v>0.75</v>
      </c>
      <c r="EU34" s="71">
        <f>Sheet2!FA58</f>
        <v>0.75</v>
      </c>
      <c r="EV34" s="71">
        <f>Sheet2!FB58</f>
        <v>0.75</v>
      </c>
      <c r="EW34" s="71">
        <f>Sheet2!FC58</f>
        <v>0.75</v>
      </c>
      <c r="EX34" s="71">
        <f>Sheet2!FD58</f>
        <v>0.75</v>
      </c>
      <c r="EY34" s="71">
        <f>Sheet2!FE58</f>
        <v>0.75</v>
      </c>
      <c r="EZ34" s="71">
        <f>Sheet2!FF58</f>
        <v>0.82</v>
      </c>
      <c r="FA34" s="71">
        <f>Sheet2!FG58</f>
        <v>0.82</v>
      </c>
      <c r="FB34" s="71">
        <f>Sheet2!FH58</f>
        <v>0.82</v>
      </c>
      <c r="FC34" s="71">
        <f>Sheet2!FI58</f>
        <v>0.82</v>
      </c>
      <c r="FD34" s="71">
        <f>Sheet2!FJ58</f>
        <v>0.82</v>
      </c>
      <c r="FE34" s="71">
        <f>Sheet2!FK58</f>
        <v>0.82</v>
      </c>
      <c r="FF34" s="71">
        <f>Sheet2!FL58</f>
        <v>0.82</v>
      </c>
      <c r="FG34" s="71">
        <f>Sheet2!FM58</f>
        <v>0.82</v>
      </c>
      <c r="FH34" s="71">
        <f>Sheet2!FN58</f>
        <v>0.82</v>
      </c>
      <c r="FI34" s="71">
        <f>Sheet2!FO58</f>
        <v>0.82</v>
      </c>
      <c r="FJ34" s="71">
        <f>Sheet2!FP58</f>
        <v>0.82</v>
      </c>
      <c r="FK34" s="71">
        <f>Sheet2!FQ58</f>
        <v>0.79</v>
      </c>
      <c r="FL34" s="71">
        <f>Sheet2!FR58</f>
        <v>0.79</v>
      </c>
      <c r="FM34" s="71">
        <f>Sheet2!FS58</f>
        <v>0.79</v>
      </c>
      <c r="FN34" s="71">
        <f>Sheet2!FT58</f>
        <v>0.79</v>
      </c>
      <c r="FO34" s="74">
        <f>Sheet2!FU58</f>
        <v>0.79</v>
      </c>
      <c r="FP34" s="71">
        <f>Sheet2!FV58</f>
        <v>0.79</v>
      </c>
      <c r="FQ34" s="71">
        <f>Sheet2!FW58</f>
        <v>0.79</v>
      </c>
      <c r="FR34" s="71">
        <f>Sheet2!FX58</f>
        <v>0.79</v>
      </c>
      <c r="FS34" s="71">
        <f>Sheet2!FY58</f>
        <v>0.79</v>
      </c>
      <c r="FT34" s="71">
        <f>Sheet2!FZ58</f>
        <v>0.79</v>
      </c>
      <c r="FU34" s="71">
        <f>Sheet2!GA58</f>
        <v>0.79</v>
      </c>
      <c r="FV34" s="71">
        <f>Sheet2!GB58</f>
        <v>0.79</v>
      </c>
      <c r="FW34" s="71">
        <f>Sheet2!GC58</f>
        <v>0.79</v>
      </c>
      <c r="FX34" s="71">
        <f>Sheet2!GD58</f>
        <v>0.79</v>
      </c>
      <c r="FY34" s="71">
        <f>Sheet2!GE58</f>
        <v>0.79</v>
      </c>
      <c r="FZ34" s="71">
        <f>Sheet2!GF58</f>
        <v>0.79</v>
      </c>
      <c r="GA34" s="71">
        <f>Sheet2!GG58</f>
        <v>0.79</v>
      </c>
      <c r="GB34" s="71">
        <f>Sheet2!GH58</f>
        <v>0.79</v>
      </c>
      <c r="GC34" s="71">
        <f>Sheet2!GI58</f>
        <v>0.79</v>
      </c>
      <c r="GD34" s="71">
        <f>Sheet2!GJ58</f>
        <v>0.79</v>
      </c>
      <c r="GE34" s="75">
        <f>Sheet2!GK58</f>
        <v>0.79</v>
      </c>
      <c r="GF34" s="75">
        <f>Sheet2!GL58</f>
        <v>0.78</v>
      </c>
      <c r="GG34" s="63">
        <f t="shared" si="0"/>
        <v>-1.2658227848101262</v>
      </c>
      <c r="GH34" s="64">
        <f t="shared" si="1"/>
        <v>-0.31645569620252489</v>
      </c>
      <c r="GI34" s="65">
        <f t="shared" si="2"/>
        <v>4</v>
      </c>
    </row>
    <row r="35" spans="1:191" ht="15.75">
      <c r="A35" s="31" t="s">
        <v>228</v>
      </c>
      <c r="B35" s="52"/>
      <c r="C35" s="52"/>
      <c r="D35" s="52"/>
      <c r="E35" s="52"/>
      <c r="F35" s="52"/>
      <c r="G35" s="52"/>
      <c r="H35" s="52"/>
      <c r="I35" s="52"/>
      <c r="J35" s="52"/>
      <c r="K35" s="52"/>
      <c r="L35" s="52"/>
      <c r="M35" s="52"/>
      <c r="N35" s="52"/>
      <c r="O35" s="52"/>
      <c r="P35" s="52"/>
      <c r="Q35" s="52"/>
      <c r="R35" s="52"/>
      <c r="S35" s="52"/>
      <c r="T35" s="52"/>
      <c r="U35" s="52"/>
      <c r="V35" s="52"/>
      <c r="W35" s="52"/>
      <c r="X35" s="52"/>
      <c r="Y35" s="52"/>
      <c r="Z35" s="52"/>
      <c r="AA35" s="52"/>
      <c r="AB35" s="52"/>
      <c r="AC35" s="52"/>
      <c r="AD35" s="52"/>
      <c r="AE35" s="52"/>
      <c r="AF35" s="52"/>
      <c r="AG35" s="52"/>
      <c r="AH35" s="52"/>
      <c r="AI35" s="52"/>
      <c r="AJ35" s="52"/>
      <c r="AK35" s="52"/>
      <c r="AL35" s="52"/>
      <c r="AM35" s="52"/>
      <c r="AN35" s="52"/>
      <c r="AO35" s="52"/>
      <c r="AP35" s="52"/>
      <c r="AQ35" s="52"/>
      <c r="AR35" s="52"/>
      <c r="AS35" s="52"/>
      <c r="AT35" s="52"/>
      <c r="AU35" s="52"/>
      <c r="AV35" s="52"/>
      <c r="AW35" s="52"/>
      <c r="AX35" s="52"/>
      <c r="AY35" s="57"/>
      <c r="AZ35" s="58"/>
      <c r="BA35" s="58"/>
      <c r="BB35" s="58"/>
      <c r="BC35" s="58"/>
      <c r="BD35" s="58"/>
      <c r="BE35" s="58"/>
      <c r="BF35" s="58"/>
      <c r="BG35" s="58"/>
      <c r="BH35" s="58"/>
      <c r="BI35" s="58"/>
      <c r="BJ35" s="58"/>
      <c r="BK35" s="58"/>
      <c r="BL35" s="58"/>
      <c r="BM35" s="58"/>
      <c r="BN35" s="58"/>
      <c r="BO35" s="58"/>
      <c r="BP35" s="58"/>
      <c r="BQ35" s="58"/>
      <c r="BR35" s="58"/>
      <c r="BS35" s="58"/>
      <c r="BT35" s="58"/>
      <c r="BU35" s="58"/>
      <c r="BV35" s="58"/>
      <c r="BW35" s="58"/>
      <c r="BX35" s="58"/>
      <c r="BY35" s="58"/>
      <c r="BZ35" s="58"/>
      <c r="CA35" s="58"/>
      <c r="CB35" s="58"/>
      <c r="CC35" s="58"/>
      <c r="CD35" s="58"/>
      <c r="CE35" s="59"/>
      <c r="CF35" s="59"/>
      <c r="CG35" s="60"/>
      <c r="CH35" s="60"/>
      <c r="CI35" s="60"/>
      <c r="CJ35" s="60"/>
      <c r="CK35" s="60"/>
      <c r="CL35" s="60"/>
      <c r="CM35" s="60"/>
      <c r="CN35" s="60"/>
      <c r="CO35" s="60"/>
      <c r="CP35" s="60"/>
      <c r="CQ35" s="60"/>
      <c r="CR35" s="60"/>
      <c r="CS35" s="60"/>
      <c r="CT35" s="60"/>
      <c r="CU35" s="60"/>
      <c r="CV35" s="60"/>
      <c r="CW35" s="60"/>
      <c r="CX35" s="60"/>
      <c r="CY35" s="60"/>
      <c r="CZ35" s="60"/>
      <c r="DA35" s="60"/>
      <c r="DB35" s="60"/>
      <c r="DC35" s="60"/>
      <c r="DD35" s="60"/>
      <c r="DE35" s="60"/>
      <c r="DF35" s="71"/>
      <c r="DG35" s="71"/>
      <c r="DH35" s="71"/>
      <c r="DI35" s="71"/>
      <c r="DJ35" s="71"/>
      <c r="DK35" s="71"/>
      <c r="DL35" s="71"/>
      <c r="DM35" s="71"/>
      <c r="DN35" s="71"/>
      <c r="DO35" s="71"/>
      <c r="DP35" s="71"/>
      <c r="DQ35" s="71"/>
      <c r="DR35" s="71"/>
      <c r="DS35" s="71"/>
      <c r="DT35" s="71"/>
      <c r="DU35" s="71"/>
      <c r="DV35" s="71"/>
      <c r="DW35" s="71"/>
      <c r="DX35" s="71"/>
      <c r="DY35" s="71"/>
      <c r="DZ35" s="71"/>
      <c r="EA35" s="71"/>
      <c r="EB35" s="71"/>
      <c r="EC35" s="71"/>
      <c r="ED35" s="71"/>
      <c r="EE35" s="71"/>
      <c r="EF35" s="71"/>
      <c r="EG35" s="71"/>
      <c r="EH35" s="71"/>
      <c r="EI35" s="71"/>
      <c r="EJ35" s="71"/>
      <c r="EK35" s="71"/>
      <c r="EL35" s="71">
        <f>Sheet2!ER62</f>
        <v>0.68500000000000005</v>
      </c>
      <c r="EM35" s="71">
        <f>Sheet2!ES62</f>
        <v>0.68</v>
      </c>
      <c r="EN35" s="71">
        <f>Sheet2!ET62</f>
        <v>0.67</v>
      </c>
      <c r="EO35" s="71">
        <f>Sheet2!EU62</f>
        <v>0.67</v>
      </c>
      <c r="EP35" s="71">
        <f>Sheet2!EV62</f>
        <v>0.67</v>
      </c>
      <c r="EQ35" s="71">
        <f>Sheet2!EW62</f>
        <v>0.67</v>
      </c>
      <c r="ER35" s="71">
        <f>Sheet2!EX62</f>
        <v>0.66</v>
      </c>
      <c r="ES35" s="71">
        <f>Sheet2!EY62</f>
        <v>0.66</v>
      </c>
      <c r="ET35" s="71">
        <f>Sheet2!EZ62</f>
        <v>0.66</v>
      </c>
      <c r="EU35" s="71">
        <f>Sheet2!FA62</f>
        <v>0.66</v>
      </c>
      <c r="EV35" s="71">
        <f>Sheet2!FB62</f>
        <v>0.66</v>
      </c>
      <c r="EW35" s="71">
        <f>Sheet2!FC62</f>
        <v>0.68</v>
      </c>
      <c r="EX35" s="71">
        <f>Sheet2!FD62</f>
        <v>0.73</v>
      </c>
      <c r="EY35" s="71">
        <f>Sheet2!FE62</f>
        <v>0.79</v>
      </c>
      <c r="EZ35" s="71">
        <f>Sheet2!FF62</f>
        <v>0.82</v>
      </c>
      <c r="FA35" s="71">
        <f>Sheet2!FG62</f>
        <v>0.82</v>
      </c>
      <c r="FB35" s="71">
        <f>Sheet2!FH62</f>
        <v>0.82</v>
      </c>
      <c r="FC35" s="71">
        <f>Sheet2!FI62</f>
        <v>0.86</v>
      </c>
      <c r="FD35" s="71">
        <f>Sheet2!FJ62</f>
        <v>0.86</v>
      </c>
      <c r="FE35" s="71">
        <f>Sheet2!FK62</f>
        <v>0.86</v>
      </c>
      <c r="FF35" s="71">
        <f>Sheet2!FL62</f>
        <v>0.83</v>
      </c>
      <c r="FG35" s="71">
        <f>Sheet2!FM62</f>
        <v>0.83</v>
      </c>
      <c r="FH35" s="71">
        <f>Sheet2!FN62</f>
        <v>0.79500000000000004</v>
      </c>
      <c r="FI35" s="71">
        <f>Sheet2!FO62</f>
        <v>0.78500000000000003</v>
      </c>
      <c r="FJ35" s="71">
        <f>Sheet2!FP62</f>
        <v>0.78500000000000003</v>
      </c>
      <c r="FK35" s="71">
        <f>Sheet2!FQ62</f>
        <v>0.77500000000000002</v>
      </c>
      <c r="FL35" s="71">
        <f>Sheet2!FR62</f>
        <v>0.77500000000000002</v>
      </c>
      <c r="FM35" s="71">
        <f>Sheet2!FS62</f>
        <v>0.77500000000000002</v>
      </c>
      <c r="FN35" s="71">
        <f>Sheet2!FT62</f>
        <v>0.77200000000000002</v>
      </c>
      <c r="FO35" s="74">
        <f>Sheet2!FU62</f>
        <v>0.755</v>
      </c>
      <c r="FP35" s="71">
        <f>Sheet2!FV62</f>
        <v>0.755</v>
      </c>
      <c r="FQ35" s="71">
        <f>Sheet2!FW62</f>
        <v>0.755</v>
      </c>
      <c r="FR35" s="71">
        <f>Sheet2!FX62</f>
        <v>0.745</v>
      </c>
      <c r="FS35" s="71">
        <f>Sheet2!FY62</f>
        <v>0.745</v>
      </c>
      <c r="FT35" s="71">
        <f>Sheet2!FZ62</f>
        <v>0.74</v>
      </c>
      <c r="FU35" s="71">
        <f>Sheet2!GA62</f>
        <v>0.73</v>
      </c>
      <c r="FV35" s="71">
        <f>Sheet2!GB62</f>
        <v>0.73</v>
      </c>
      <c r="FW35" s="71">
        <f>Sheet2!GC62</f>
        <v>0.70499999999999996</v>
      </c>
      <c r="FX35" s="71">
        <f>Sheet2!GD62</f>
        <v>0.70499999999999996</v>
      </c>
      <c r="FY35" s="71">
        <f>Sheet2!GE62</f>
        <v>0.69</v>
      </c>
      <c r="FZ35" s="71">
        <f>Sheet2!GF62</f>
        <v>0.69</v>
      </c>
      <c r="GA35" s="71">
        <f>Sheet2!GG62</f>
        <v>0.69</v>
      </c>
      <c r="GB35" s="71">
        <f>Sheet2!GH62</f>
        <v>0.69</v>
      </c>
      <c r="GC35" s="71">
        <f>Sheet2!GI62</f>
        <v>0.7</v>
      </c>
      <c r="GD35" s="71">
        <f>Sheet2!GJ62</f>
        <v>0.70499999999999996</v>
      </c>
      <c r="GE35" s="75">
        <f>Sheet2!GK62</f>
        <v>0.7</v>
      </c>
      <c r="GF35" s="75">
        <f>Sheet2!GL62</f>
        <v>0.7</v>
      </c>
      <c r="GG35" s="63">
        <f t="shared" si="0"/>
        <v>0</v>
      </c>
      <c r="GH35" s="64">
        <f t="shared" si="1"/>
        <v>1.6304347826086931</v>
      </c>
      <c r="GI35" s="65">
        <f t="shared" si="2"/>
        <v>2.941176470588232</v>
      </c>
    </row>
    <row r="36" spans="1:191" ht="17.25">
      <c r="A36" s="76" t="s">
        <v>229</v>
      </c>
      <c r="B36" s="52"/>
      <c r="C36" s="52"/>
      <c r="D36" s="52"/>
      <c r="E36" s="52"/>
      <c r="F36" s="52"/>
      <c r="G36" s="52"/>
      <c r="H36" s="52"/>
      <c r="I36" s="52"/>
      <c r="J36" s="52"/>
      <c r="K36" s="52"/>
      <c r="L36" s="52"/>
      <c r="M36" s="52"/>
      <c r="N36" s="52"/>
      <c r="O36" s="52"/>
      <c r="P36" s="52"/>
      <c r="Q36" s="52"/>
      <c r="R36" s="52"/>
      <c r="S36" s="52"/>
      <c r="T36" s="52"/>
      <c r="U36" s="52"/>
      <c r="V36" s="52"/>
      <c r="W36" s="52"/>
      <c r="X36" s="52"/>
      <c r="Y36" s="52"/>
      <c r="Z36" s="52"/>
      <c r="AA36" s="52"/>
      <c r="AB36" s="52"/>
      <c r="AC36" s="52"/>
      <c r="AD36" s="52"/>
      <c r="AE36" s="52"/>
      <c r="AF36" s="52"/>
      <c r="AG36" s="52"/>
      <c r="AH36" s="52"/>
      <c r="AI36" s="52"/>
      <c r="AJ36" s="52"/>
      <c r="AK36" s="52"/>
      <c r="AL36" s="52"/>
      <c r="AM36" s="52"/>
      <c r="AN36" s="52"/>
      <c r="AO36" s="52"/>
      <c r="AP36" s="52"/>
      <c r="AQ36" s="52"/>
      <c r="AR36" s="52"/>
      <c r="AS36" s="52"/>
      <c r="AT36" s="52"/>
      <c r="AU36" s="52"/>
      <c r="AV36" s="52"/>
      <c r="AW36" s="52"/>
      <c r="AX36" s="52"/>
      <c r="AY36" s="57"/>
      <c r="AZ36" s="58"/>
      <c r="BA36" s="58"/>
      <c r="BB36" s="58"/>
      <c r="BC36" s="58"/>
      <c r="BD36" s="58"/>
      <c r="BE36" s="58"/>
      <c r="BF36" s="58"/>
      <c r="BG36" s="58"/>
      <c r="BH36" s="58"/>
      <c r="BI36" s="58"/>
      <c r="BJ36" s="58"/>
      <c r="BK36" s="58"/>
      <c r="BL36" s="58"/>
      <c r="BM36" s="58"/>
      <c r="BN36" s="58"/>
      <c r="BO36" s="58"/>
      <c r="BP36" s="58"/>
      <c r="BQ36" s="58"/>
      <c r="BR36" s="58"/>
      <c r="BS36" s="58"/>
      <c r="BT36" s="58"/>
      <c r="BU36" s="58"/>
      <c r="BV36" s="58"/>
      <c r="BW36" s="58"/>
      <c r="BX36" s="58"/>
      <c r="BY36" s="58"/>
      <c r="BZ36" s="58"/>
      <c r="CA36" s="58"/>
      <c r="CB36" s="58"/>
      <c r="CC36" s="58"/>
      <c r="CD36" s="58"/>
      <c r="CE36" s="59"/>
      <c r="CF36" s="59"/>
      <c r="CG36" s="60"/>
      <c r="CH36" s="60"/>
      <c r="CI36" s="60"/>
      <c r="CJ36" s="60"/>
      <c r="CK36" s="60"/>
      <c r="CL36" s="60"/>
      <c r="CM36" s="60"/>
      <c r="CN36" s="60"/>
      <c r="CO36" s="60"/>
      <c r="CP36" s="60"/>
      <c r="CQ36" s="60"/>
      <c r="CR36" s="60"/>
      <c r="CS36" s="60"/>
      <c r="CT36" s="60"/>
      <c r="CU36" s="60"/>
      <c r="CV36" s="60"/>
      <c r="CW36" s="60"/>
      <c r="CX36" s="60"/>
      <c r="CY36" s="60"/>
      <c r="CZ36" s="60"/>
      <c r="DA36" s="60"/>
      <c r="DB36" s="60"/>
      <c r="DC36" s="60"/>
      <c r="DD36" s="60"/>
      <c r="DE36" s="60"/>
      <c r="DF36" s="71"/>
      <c r="DG36" s="71"/>
      <c r="DH36" s="71"/>
      <c r="DI36" s="71"/>
      <c r="DJ36" s="71"/>
      <c r="DK36" s="71"/>
      <c r="DL36" s="71"/>
      <c r="DM36" s="71"/>
      <c r="DN36" s="71"/>
      <c r="DO36" s="71"/>
      <c r="DP36" s="71"/>
      <c r="DQ36" s="71"/>
      <c r="DR36" s="71"/>
      <c r="DS36" s="71"/>
      <c r="DT36" s="71"/>
      <c r="DU36" s="71">
        <f>Sheet2!EA56</f>
        <v>0.68</v>
      </c>
      <c r="DV36" s="71">
        <f>Sheet2!EB56</f>
        <v>0.68</v>
      </c>
      <c r="DW36" s="71">
        <f>Sheet2!EC56</f>
        <v>0.68</v>
      </c>
      <c r="DX36" s="71">
        <f>Sheet2!ED56</f>
        <v>0.68</v>
      </c>
      <c r="DY36" s="71">
        <f>Sheet2!EE56</f>
        <v>0.68500000000000005</v>
      </c>
      <c r="DZ36" s="71">
        <f>Sheet2!EF56</f>
        <v>0.70499999999999996</v>
      </c>
      <c r="EA36" s="71">
        <f>Sheet2!EG56</f>
        <v>0.70499999999999996</v>
      </c>
      <c r="EB36" s="71">
        <f>Sheet2!EH56</f>
        <v>0.72</v>
      </c>
      <c r="EC36" s="71">
        <f>Sheet2!EI56</f>
        <v>0.71</v>
      </c>
      <c r="ED36" s="71">
        <f>Sheet2!EJ56</f>
        <v>0.71</v>
      </c>
      <c r="EE36" s="71">
        <f>Sheet2!EK56</f>
        <v>0.71</v>
      </c>
      <c r="EF36" s="71">
        <f>Sheet2!EL56</f>
        <v>0.71</v>
      </c>
      <c r="EG36" s="71">
        <f>Sheet2!EM56</f>
        <v>0.71</v>
      </c>
      <c r="EH36" s="71">
        <f>Sheet2!EN56</f>
        <v>0.7</v>
      </c>
      <c r="EI36" s="71">
        <f>Sheet2!EO56</f>
        <v>0.68</v>
      </c>
      <c r="EJ36" s="71">
        <f>Sheet2!EP56</f>
        <v>0.67800000000000005</v>
      </c>
      <c r="EK36" s="71">
        <f>Sheet2!EQ56</f>
        <v>0.67800000000000005</v>
      </c>
      <c r="EL36" s="71">
        <f>Sheet2!ER56</f>
        <v>0.66500000000000004</v>
      </c>
      <c r="EM36" s="71">
        <f>Sheet2!ES56</f>
        <v>0.66500000000000004</v>
      </c>
      <c r="EN36" s="71">
        <f>Sheet2!ET56</f>
        <v>0.66500000000000004</v>
      </c>
      <c r="EO36" s="71">
        <f>Sheet2!EU56</f>
        <v>0.66</v>
      </c>
      <c r="EP36" s="71">
        <f>Sheet2!EV56</f>
        <v>0.66</v>
      </c>
      <c r="EQ36" s="71">
        <f>Sheet2!EW56</f>
        <v>0.66</v>
      </c>
      <c r="ER36" s="71">
        <f>Sheet2!EX56</f>
        <v>0.65500000000000003</v>
      </c>
      <c r="ES36" s="71">
        <f>Sheet2!EY56</f>
        <v>0.65500000000000003</v>
      </c>
      <c r="ET36" s="71">
        <f>Sheet2!EZ56</f>
        <v>0.65500000000000003</v>
      </c>
      <c r="EU36" s="71">
        <f>Sheet2!FA56</f>
        <v>0.65500000000000003</v>
      </c>
      <c r="EV36" s="71">
        <f>Sheet2!FB56</f>
        <v>0.65500000000000003</v>
      </c>
      <c r="EW36" s="71">
        <f>Sheet2!FC56</f>
        <v>0.66</v>
      </c>
      <c r="EX36" s="71">
        <f>Sheet2!FD56</f>
        <v>0.72</v>
      </c>
      <c r="EY36" s="71">
        <f>Sheet2!FE56</f>
        <v>0.74</v>
      </c>
      <c r="EZ36" s="71">
        <f>Sheet2!FF56</f>
        <v>0.78</v>
      </c>
      <c r="FA36" s="71">
        <f>Sheet2!FG56</f>
        <v>0.78</v>
      </c>
      <c r="FB36" s="71">
        <f>Sheet2!FH56</f>
        <v>0.78</v>
      </c>
      <c r="FC36" s="71">
        <f>Sheet2!FI56</f>
        <v>0.86</v>
      </c>
      <c r="FD36" s="71">
        <f>Sheet2!FJ56</f>
        <v>0.86</v>
      </c>
      <c r="FE36" s="71">
        <f>Sheet2!FK56</f>
        <v>0.84</v>
      </c>
      <c r="FF36" s="71">
        <f>Sheet2!FL56</f>
        <v>0.79500000000000004</v>
      </c>
      <c r="FG36" s="71">
        <f>Sheet2!FM56</f>
        <v>0.79</v>
      </c>
      <c r="FH36" s="71">
        <f>Sheet2!FN56</f>
        <v>0.77</v>
      </c>
      <c r="FI36" s="71">
        <f>Sheet2!FO56</f>
        <v>0.76</v>
      </c>
      <c r="FJ36" s="71">
        <f>Sheet2!FP56</f>
        <v>0.76</v>
      </c>
      <c r="FK36" s="71">
        <f>Sheet2!FQ56</f>
        <v>0.75800000000000001</v>
      </c>
      <c r="FL36" s="71">
        <f>Sheet2!FR56</f>
        <v>0.75800000000000001</v>
      </c>
      <c r="FM36" s="71">
        <f>Sheet2!FS56</f>
        <v>0.755</v>
      </c>
      <c r="FN36" s="71">
        <f>Sheet2!FT56</f>
        <v>0.75</v>
      </c>
      <c r="FO36" s="74">
        <f>Sheet2!FU56</f>
        <v>0.75</v>
      </c>
      <c r="FP36" s="71">
        <f>Sheet2!FV56</f>
        <v>0.745</v>
      </c>
      <c r="FQ36" s="71">
        <f>Sheet2!FW56</f>
        <v>0.745</v>
      </c>
      <c r="FR36" s="71">
        <f>Sheet2!FX56</f>
        <v>0.73</v>
      </c>
      <c r="FS36" s="71">
        <f>Sheet2!FY56</f>
        <v>0.73</v>
      </c>
      <c r="FT36" s="71">
        <f>Sheet2!FZ56</f>
        <v>0.72</v>
      </c>
      <c r="FU36" s="71">
        <f>Sheet2!GA56</f>
        <v>0.71499999999999997</v>
      </c>
      <c r="FV36" s="71">
        <f>Sheet2!GB56</f>
        <v>0.71499999999999997</v>
      </c>
      <c r="FW36" s="71">
        <f>Sheet2!GC56</f>
        <v>0.71499999999999997</v>
      </c>
      <c r="FX36" s="71">
        <f>Sheet2!GD56</f>
        <v>0.71499999999999997</v>
      </c>
      <c r="FY36" s="71">
        <f>Sheet2!GE56</f>
        <v>0.71499999999999997</v>
      </c>
      <c r="FZ36" s="71">
        <f>Sheet2!GF56</f>
        <v>0.69</v>
      </c>
      <c r="GA36" s="71">
        <f>Sheet2!GG56</f>
        <v>0.69</v>
      </c>
      <c r="GB36" s="71">
        <f>Sheet2!GH56</f>
        <v>0.69</v>
      </c>
      <c r="GC36" s="71">
        <f>Sheet2!GI56</f>
        <v>0.69</v>
      </c>
      <c r="GD36" s="71">
        <f>Sheet2!GJ56</f>
        <v>0.69</v>
      </c>
      <c r="GE36" s="75">
        <f>Sheet2!GK56</f>
        <v>0.67</v>
      </c>
      <c r="GF36" s="75">
        <f>Sheet2!GL56</f>
        <v>0.67</v>
      </c>
      <c r="GG36" s="63">
        <f t="shared" si="0"/>
        <v>0</v>
      </c>
      <c r="GH36" s="64">
        <f t="shared" si="1"/>
        <v>-2.3339317773788131</v>
      </c>
      <c r="GI36" s="65">
        <f t="shared" si="2"/>
        <v>1.5151515151515156</v>
      </c>
    </row>
    <row r="37" spans="1:191" ht="17.25">
      <c r="A37" s="76" t="s">
        <v>230</v>
      </c>
      <c r="B37" s="52"/>
      <c r="C37" s="52"/>
      <c r="D37" s="52"/>
      <c r="E37" s="52"/>
      <c r="F37" s="52"/>
      <c r="G37" s="52"/>
      <c r="H37" s="52"/>
      <c r="I37" s="52"/>
      <c r="J37" s="52"/>
      <c r="K37" s="52"/>
      <c r="L37" s="52"/>
      <c r="M37" s="52"/>
      <c r="N37" s="52"/>
      <c r="O37" s="52"/>
      <c r="P37" s="52"/>
      <c r="Q37" s="52"/>
      <c r="R37" s="52"/>
      <c r="S37" s="52"/>
      <c r="T37" s="52"/>
      <c r="U37" s="52"/>
      <c r="V37" s="52"/>
      <c r="W37" s="52"/>
      <c r="X37" s="52"/>
      <c r="Y37" s="52"/>
      <c r="Z37" s="52"/>
      <c r="AA37" s="52"/>
      <c r="AB37" s="52"/>
      <c r="AC37" s="52"/>
      <c r="AD37" s="52"/>
      <c r="AE37" s="52"/>
      <c r="AF37" s="52"/>
      <c r="AG37" s="52"/>
      <c r="AH37" s="52"/>
      <c r="AI37" s="52"/>
      <c r="AJ37" s="52"/>
      <c r="AK37" s="52"/>
      <c r="AL37" s="52"/>
      <c r="AM37" s="52"/>
      <c r="AN37" s="52"/>
      <c r="AO37" s="52"/>
      <c r="AP37" s="52"/>
      <c r="AQ37" s="52"/>
      <c r="AR37" s="52"/>
      <c r="AS37" s="52"/>
      <c r="AT37" s="52"/>
      <c r="AU37" s="52"/>
      <c r="AV37" s="52"/>
      <c r="AW37" s="52"/>
      <c r="AX37" s="52"/>
      <c r="AY37" s="57"/>
      <c r="AZ37" s="58"/>
      <c r="BA37" s="58"/>
      <c r="BB37" s="58"/>
      <c r="BC37" s="58"/>
      <c r="BD37" s="58"/>
      <c r="BE37" s="58"/>
      <c r="BF37" s="58"/>
      <c r="BG37" s="58"/>
      <c r="BH37" s="58"/>
      <c r="BI37" s="58"/>
      <c r="BJ37" s="58"/>
      <c r="BK37" s="58"/>
      <c r="BL37" s="58"/>
      <c r="BM37" s="58"/>
      <c r="BN37" s="58"/>
      <c r="BO37" s="58"/>
      <c r="BP37" s="58"/>
      <c r="BQ37" s="58"/>
      <c r="BR37" s="58"/>
      <c r="BS37" s="58"/>
      <c r="BT37" s="58"/>
      <c r="BU37" s="58"/>
      <c r="BV37" s="58"/>
      <c r="BW37" s="58"/>
      <c r="BX37" s="58"/>
      <c r="BY37" s="58"/>
      <c r="BZ37" s="58"/>
      <c r="CA37" s="58"/>
      <c r="CB37" s="58"/>
      <c r="CC37" s="58"/>
      <c r="CD37" s="58"/>
      <c r="CE37" s="59"/>
      <c r="CF37" s="59"/>
      <c r="CG37" s="60"/>
      <c r="CH37" s="60"/>
      <c r="CI37" s="60"/>
      <c r="CJ37" s="60"/>
      <c r="CK37" s="60"/>
      <c r="CL37" s="60"/>
      <c r="CM37" s="60"/>
      <c r="CN37" s="60"/>
      <c r="CO37" s="60"/>
      <c r="CP37" s="60"/>
      <c r="CQ37" s="60"/>
      <c r="CR37" s="60"/>
      <c r="CS37" s="60"/>
      <c r="CT37" s="60"/>
      <c r="CU37" s="60"/>
      <c r="CV37" s="60"/>
      <c r="CW37" s="60"/>
      <c r="CX37" s="60"/>
      <c r="CY37" s="60"/>
      <c r="CZ37" s="60"/>
      <c r="DA37" s="60"/>
      <c r="DB37" s="60"/>
      <c r="DC37" s="60"/>
      <c r="DD37" s="60"/>
      <c r="DE37" s="60"/>
      <c r="DF37" s="71"/>
      <c r="DG37" s="71"/>
      <c r="DH37" s="71"/>
      <c r="DI37" s="71"/>
      <c r="DJ37" s="71"/>
      <c r="DK37" s="71"/>
      <c r="DL37" s="71"/>
      <c r="DM37" s="71"/>
      <c r="DN37" s="71"/>
      <c r="DO37" s="71"/>
      <c r="DP37" s="71"/>
      <c r="DQ37" s="71"/>
      <c r="DR37" s="71">
        <v>0.68</v>
      </c>
      <c r="DS37" s="71">
        <v>0.69</v>
      </c>
      <c r="DT37" s="71">
        <f>Sheet2!DZ59</f>
        <v>0.69</v>
      </c>
      <c r="DU37" s="71">
        <f>Sheet2!EA59</f>
        <v>0.69</v>
      </c>
      <c r="DV37" s="71">
        <f>Sheet2!EB59</f>
        <v>0.69</v>
      </c>
      <c r="DW37" s="71">
        <f>Sheet2!EC59</f>
        <v>0.69</v>
      </c>
      <c r="DX37" s="71">
        <f>Sheet2!ED59</f>
        <v>0.69</v>
      </c>
      <c r="DY37" s="71">
        <f>Sheet2!EE59</f>
        <v>0.69499999999999995</v>
      </c>
      <c r="DZ37" s="71">
        <f>Sheet2!EF59</f>
        <v>0.7</v>
      </c>
      <c r="EA37" s="71">
        <f>Sheet2!EG59</f>
        <v>0.7</v>
      </c>
      <c r="EB37" s="71">
        <f>Sheet2!EH59</f>
        <v>0.7</v>
      </c>
      <c r="EC37" s="71">
        <f>Sheet2!EI59</f>
        <v>0.69499999999999995</v>
      </c>
      <c r="ED37" s="71">
        <f>Sheet2!EJ59</f>
        <v>0.69499999999999995</v>
      </c>
      <c r="EE37" s="71">
        <f>Sheet2!EK59</f>
        <v>0.69499999999999995</v>
      </c>
      <c r="EF37" s="71">
        <f>Sheet2!EL59</f>
        <v>0.69499999999999995</v>
      </c>
      <c r="EG37" s="71">
        <f>Sheet2!EM59</f>
        <v>0.69499999999999995</v>
      </c>
      <c r="EH37" s="71">
        <f>Sheet2!EN59</f>
        <v>0.69</v>
      </c>
      <c r="EI37" s="71">
        <f>Sheet2!EO59</f>
        <v>0.68500000000000005</v>
      </c>
      <c r="EJ37" s="71">
        <f>Sheet2!EP59</f>
        <v>0.68500000000000005</v>
      </c>
      <c r="EK37" s="71">
        <f>Sheet2!EQ59</f>
        <v>0.68500000000000005</v>
      </c>
      <c r="EL37" s="71">
        <f>Sheet2!ER59</f>
        <v>0.68500000000000005</v>
      </c>
      <c r="EM37" s="71">
        <f>Sheet2!ES59</f>
        <v>0.68500000000000005</v>
      </c>
      <c r="EN37" s="71">
        <f>Sheet2!ET59</f>
        <v>0.68500000000000005</v>
      </c>
      <c r="EO37" s="71">
        <f>Sheet2!EU59</f>
        <v>0.68500000000000005</v>
      </c>
      <c r="EP37" s="71">
        <f>Sheet2!EV59</f>
        <v>0.68500000000000005</v>
      </c>
      <c r="EQ37" s="71">
        <f>Sheet2!EW59</f>
        <v>0.68500000000000005</v>
      </c>
      <c r="ER37" s="71">
        <f>Sheet2!EX59</f>
        <v>0.68500000000000005</v>
      </c>
      <c r="ES37" s="71">
        <f>Sheet2!EY59</f>
        <v>0.68500000000000005</v>
      </c>
      <c r="ET37" s="71">
        <f>Sheet2!EZ59</f>
        <v>0.68500000000000005</v>
      </c>
      <c r="EU37" s="71">
        <f>Sheet2!FA59</f>
        <v>0.68500000000000005</v>
      </c>
      <c r="EV37" s="71">
        <f>Sheet2!FB59</f>
        <v>0.68500000000000005</v>
      </c>
      <c r="EW37" s="71">
        <f>Sheet2!FC59</f>
        <v>0.68500000000000005</v>
      </c>
      <c r="EX37" s="71">
        <f>Sheet2!FD59</f>
        <v>0.75</v>
      </c>
      <c r="EY37" s="71">
        <f>Sheet2!FE59</f>
        <v>0.76</v>
      </c>
      <c r="EZ37" s="71">
        <f>Sheet2!FF59</f>
        <v>0.8</v>
      </c>
      <c r="FA37" s="71">
        <f>Sheet2!FG59</f>
        <v>0.8</v>
      </c>
      <c r="FB37" s="71">
        <f>Sheet2!FH59</f>
        <v>0.8</v>
      </c>
      <c r="FC37" s="71">
        <f>Sheet2!FI59</f>
        <v>0.875</v>
      </c>
      <c r="FD37" s="71">
        <f>Sheet2!FJ59</f>
        <v>0.875</v>
      </c>
      <c r="FE37" s="71">
        <f>Sheet2!FK59</f>
        <v>0.85</v>
      </c>
      <c r="FF37" s="71">
        <f>Sheet2!FL59</f>
        <v>0.80500000000000005</v>
      </c>
      <c r="FG37" s="71">
        <f>Sheet2!FM59</f>
        <v>0.80500000000000005</v>
      </c>
      <c r="FH37" s="71">
        <f>Sheet2!FN59</f>
        <v>0.78</v>
      </c>
      <c r="FI37" s="71">
        <f>Sheet2!FO59</f>
        <v>0.77500000000000002</v>
      </c>
      <c r="FJ37" s="71">
        <f>Sheet2!FP59</f>
        <v>0.77500000000000002</v>
      </c>
      <c r="FK37" s="71">
        <f>Sheet2!FQ59</f>
        <v>0.77</v>
      </c>
      <c r="FL37" s="71">
        <f>Sheet2!FR59</f>
        <v>0.77</v>
      </c>
      <c r="FM37" s="71">
        <f>Sheet2!FS59</f>
        <v>0.77</v>
      </c>
      <c r="FN37" s="71">
        <f>Sheet2!FT59</f>
        <v>0.76500000000000001</v>
      </c>
      <c r="FO37" s="74">
        <f>Sheet2!FU59</f>
        <v>0.76500000000000001</v>
      </c>
      <c r="FP37" s="71">
        <f>Sheet2!FV59</f>
        <v>0.75</v>
      </c>
      <c r="FQ37" s="71">
        <f>Sheet2!FW59</f>
        <v>0.75</v>
      </c>
      <c r="FR37" s="71">
        <f>Sheet2!FX59</f>
        <v>0.75</v>
      </c>
      <c r="FS37" s="71">
        <f>Sheet2!FY59</f>
        <v>0.75</v>
      </c>
      <c r="FT37" s="71">
        <f>Sheet2!FZ59</f>
        <v>0.73</v>
      </c>
      <c r="FU37" s="71">
        <f>Sheet2!GA59</f>
        <v>0.72499999999999998</v>
      </c>
      <c r="FV37" s="71">
        <f>Sheet2!GB59</f>
        <v>0.72499999999999998</v>
      </c>
      <c r="FW37" s="71">
        <f>Sheet2!GC59</f>
        <v>0.72499999999999998</v>
      </c>
      <c r="FX37" s="71">
        <f>Sheet2!GD59</f>
        <v>0.72</v>
      </c>
      <c r="FY37" s="71">
        <f>Sheet2!GE59</f>
        <v>0.72499999999999998</v>
      </c>
      <c r="FZ37" s="71">
        <f>Sheet2!GF59</f>
        <v>0.72499999999999998</v>
      </c>
      <c r="GA37" s="71">
        <f>Sheet2!GG59</f>
        <v>0.72499999999999998</v>
      </c>
      <c r="GB37" s="71">
        <f>Sheet2!GH59</f>
        <v>0.72499999999999998</v>
      </c>
      <c r="GC37" s="71">
        <f>Sheet2!GI59</f>
        <v>0.72499999999999998</v>
      </c>
      <c r="GD37" s="71">
        <f>Sheet2!GJ59</f>
        <v>0.72499999999999998</v>
      </c>
      <c r="GE37" s="75">
        <f>Sheet2!GK59</f>
        <v>0.72499999999999998</v>
      </c>
      <c r="GF37" s="75">
        <f>Sheet2!GL59</f>
        <v>0.72499999999999998</v>
      </c>
      <c r="GG37" s="63">
        <f t="shared" si="0"/>
        <v>0</v>
      </c>
      <c r="GH37" s="64">
        <f t="shared" si="1"/>
        <v>0</v>
      </c>
      <c r="GI37" s="65">
        <f t="shared" si="2"/>
        <v>5.8394160583941499</v>
      </c>
    </row>
    <row r="38" spans="1:191" ht="17.25">
      <c r="A38" s="76" t="s">
        <v>230</v>
      </c>
      <c r="B38" s="45"/>
      <c r="C38" s="45"/>
      <c r="D38" s="45"/>
      <c r="E38" s="45"/>
      <c r="F38" s="45"/>
      <c r="G38" s="45"/>
      <c r="H38" s="45"/>
      <c r="I38" s="45"/>
      <c r="J38" s="45"/>
      <c r="K38" s="45"/>
      <c r="L38" s="45"/>
      <c r="M38" s="45"/>
      <c r="N38" s="45"/>
      <c r="O38" s="45"/>
      <c r="P38" s="45"/>
      <c r="Q38" s="45"/>
      <c r="R38" s="45"/>
      <c r="S38" s="45"/>
      <c r="T38" s="45"/>
      <c r="U38" s="45"/>
      <c r="V38" s="45"/>
      <c r="W38" s="45"/>
      <c r="X38" s="45"/>
      <c r="Y38" s="45"/>
      <c r="Z38" s="45"/>
      <c r="AA38" s="45"/>
      <c r="AB38" s="45"/>
      <c r="AC38" s="45"/>
      <c r="AD38" s="45"/>
      <c r="AE38" s="45"/>
      <c r="AF38" s="45"/>
      <c r="AG38" s="45"/>
      <c r="AH38" s="45"/>
      <c r="AI38" s="45"/>
      <c r="AJ38" s="45"/>
      <c r="AK38" s="45"/>
      <c r="AL38" s="45"/>
      <c r="AM38" s="45"/>
      <c r="AN38" s="45"/>
      <c r="AO38" s="45"/>
      <c r="AP38" s="45"/>
      <c r="AQ38" s="45"/>
      <c r="AR38" s="45"/>
      <c r="AS38" s="45"/>
      <c r="AT38" s="45"/>
      <c r="AU38" s="45"/>
      <c r="AV38" s="45"/>
      <c r="AW38" s="45"/>
      <c r="AX38" s="45"/>
      <c r="AY38" s="52"/>
      <c r="AZ38" s="58"/>
      <c r="BA38" s="58"/>
      <c r="BB38" s="58"/>
      <c r="BC38" s="58"/>
      <c r="BD38" s="58"/>
      <c r="BE38" s="58"/>
      <c r="BF38" s="58"/>
      <c r="BG38" s="58"/>
      <c r="BH38" s="58"/>
      <c r="BI38" s="58"/>
      <c r="BJ38" s="58"/>
      <c r="BK38" s="58"/>
      <c r="BL38" s="58"/>
      <c r="BM38" s="58"/>
      <c r="BN38" s="58"/>
      <c r="BO38" s="58"/>
      <c r="BP38" s="58"/>
      <c r="BQ38" s="58"/>
      <c r="BR38" s="58"/>
      <c r="BS38" s="58"/>
      <c r="BT38" s="58"/>
      <c r="BU38" s="58"/>
      <c r="BV38" s="58"/>
      <c r="BW38" s="58"/>
      <c r="BX38" s="58"/>
      <c r="BY38" s="58"/>
      <c r="BZ38" s="58"/>
      <c r="CA38" s="58"/>
      <c r="CB38" s="58"/>
      <c r="CC38" s="58"/>
      <c r="CD38" s="58"/>
      <c r="CE38" s="58"/>
      <c r="CF38" s="58"/>
      <c r="CG38" s="58"/>
      <c r="CH38" s="58"/>
      <c r="CI38" s="58"/>
      <c r="CJ38" s="58"/>
      <c r="CK38" s="58"/>
      <c r="CL38" s="58"/>
      <c r="CM38" s="58"/>
      <c r="CN38" s="58"/>
      <c r="CO38" s="58"/>
      <c r="CP38" s="58"/>
      <c r="CQ38" s="59"/>
      <c r="CR38" s="58"/>
      <c r="CS38" s="58"/>
      <c r="CT38" s="58"/>
      <c r="CU38" s="58"/>
      <c r="CV38" s="58"/>
      <c r="CW38" s="58"/>
      <c r="CX38" s="57"/>
      <c r="CY38" s="57"/>
      <c r="CZ38" s="57"/>
      <c r="DA38" s="57"/>
      <c r="DB38" s="57"/>
      <c r="DC38" s="57"/>
      <c r="DD38" s="57"/>
      <c r="DE38" s="57"/>
      <c r="DF38" s="68"/>
      <c r="DG38" s="57"/>
      <c r="DH38" s="57"/>
      <c r="DI38" s="57"/>
      <c r="DJ38" s="57"/>
      <c r="DK38" s="57"/>
      <c r="DL38" s="57"/>
      <c r="DM38" s="57"/>
      <c r="DN38" s="57"/>
      <c r="DO38" s="57"/>
      <c r="DP38" s="57"/>
      <c r="DQ38" s="57"/>
      <c r="DR38" s="57"/>
      <c r="DS38" s="57"/>
      <c r="DT38" s="57"/>
      <c r="DU38" s="57">
        <f>Sheet2!EA42</f>
        <v>0.66</v>
      </c>
      <c r="DV38" s="57">
        <f>Sheet2!EB42</f>
        <v>0.66</v>
      </c>
      <c r="DW38" s="57">
        <f>Sheet2!EC42</f>
        <v>0.66</v>
      </c>
      <c r="DX38" s="57">
        <f>Sheet2!ED42</f>
        <v>0.66</v>
      </c>
      <c r="DY38" s="60">
        <f>Sheet2!EE42</f>
        <v>0.66</v>
      </c>
      <c r="DZ38" s="57">
        <f>Sheet2!EF42</f>
        <v>0.66</v>
      </c>
      <c r="EA38" s="57">
        <f>Sheet2!EG42</f>
        <v>0.66</v>
      </c>
      <c r="EB38" s="57">
        <f>Sheet2!EH42</f>
        <v>0.66</v>
      </c>
      <c r="EC38" s="57">
        <f>Sheet2!EI42</f>
        <v>0.66</v>
      </c>
      <c r="ED38" s="57">
        <f>Sheet2!EJ42</f>
        <v>0.66</v>
      </c>
      <c r="EE38" s="57">
        <f>Sheet2!EK42</f>
        <v>0.66</v>
      </c>
      <c r="EF38" s="57">
        <f>Sheet2!EL42</f>
        <v>0.66</v>
      </c>
      <c r="EG38" s="57">
        <f>Sheet2!EM42</f>
        <v>0.66</v>
      </c>
      <c r="EH38" s="57">
        <f>Sheet2!EN42</f>
        <v>0.66</v>
      </c>
      <c r="EI38" s="57">
        <f>Sheet2!EO42</f>
        <v>0.66</v>
      </c>
      <c r="EJ38" s="57">
        <f>Sheet2!EP42</f>
        <v>0.66</v>
      </c>
      <c r="EK38" s="57">
        <f>Sheet2!EQ42</f>
        <v>0.66</v>
      </c>
      <c r="EL38" s="57">
        <f>Sheet2!ER42</f>
        <v>0.66</v>
      </c>
      <c r="EM38" s="57">
        <f>Sheet2!ES42</f>
        <v>0.66</v>
      </c>
      <c r="EN38" s="57">
        <f>Sheet2!ET42</f>
        <v>0.66</v>
      </c>
      <c r="EO38" s="57">
        <f>Sheet2!EU42</f>
        <v>0.66</v>
      </c>
      <c r="EP38" s="57">
        <f>Sheet2!EV42</f>
        <v>0.66</v>
      </c>
      <c r="EQ38" s="60">
        <f>Sheet2!EW42</f>
        <v>0.66</v>
      </c>
      <c r="ER38" s="57">
        <f>Sheet2!EX42</f>
        <v>0.66</v>
      </c>
      <c r="ES38" s="57">
        <f>Sheet2!EY42</f>
        <v>0.66</v>
      </c>
      <c r="ET38" s="57">
        <f>Sheet2!EZ42</f>
        <v>0.66</v>
      </c>
      <c r="EU38" s="57">
        <f>Sheet2!FA42</f>
        <v>0.66</v>
      </c>
      <c r="EV38" s="57">
        <f>Sheet2!FB42</f>
        <v>0.66</v>
      </c>
      <c r="EW38" s="57">
        <f>Sheet2!FC42</f>
        <v>0.68</v>
      </c>
      <c r="EX38" s="57">
        <f>Sheet2!FD42</f>
        <v>0.75</v>
      </c>
      <c r="EY38" s="57">
        <f>Sheet2!FE42</f>
        <v>0.75</v>
      </c>
      <c r="EZ38" s="57">
        <f>Sheet2!FF42</f>
        <v>0.78</v>
      </c>
      <c r="FA38" s="57">
        <f>Sheet2!FG42</f>
        <v>0.78</v>
      </c>
      <c r="FB38" s="57">
        <f>Sheet2!FH42</f>
        <v>0.78</v>
      </c>
      <c r="FC38" s="57">
        <f>Sheet2!FI42</f>
        <v>0.78</v>
      </c>
      <c r="FD38" s="57">
        <f>Sheet2!FJ42</f>
        <v>0.78</v>
      </c>
      <c r="FE38" s="57">
        <f>Sheet2!FK42</f>
        <v>0.78</v>
      </c>
      <c r="FF38" s="60">
        <f>Sheet2!FL42</f>
        <v>0.78</v>
      </c>
      <c r="FG38" s="57">
        <f>Sheet2!FM42</f>
        <v>0.78</v>
      </c>
      <c r="FH38" s="57">
        <f>Sheet2!FN42</f>
        <v>0.78</v>
      </c>
      <c r="FI38" s="57">
        <f>Sheet2!FO42</f>
        <v>0.78</v>
      </c>
      <c r="FJ38" s="57">
        <f>Sheet2!FP42</f>
        <v>0.78</v>
      </c>
      <c r="FK38" s="57">
        <f>Sheet2!FQ42</f>
        <v>0.78</v>
      </c>
      <c r="FL38" s="57">
        <f>Sheet2!FR42</f>
        <v>0.78</v>
      </c>
      <c r="FM38" s="57">
        <f>Sheet2!FS42</f>
        <v>0.78</v>
      </c>
      <c r="FN38" s="57">
        <f>Sheet2!FT42</f>
        <v>0.78</v>
      </c>
      <c r="FO38" s="61">
        <f>Sheet2!FU42</f>
        <v>0.78</v>
      </c>
      <c r="FP38" s="57">
        <f>Sheet2!FV42</f>
        <v>0.747</v>
      </c>
      <c r="FQ38" s="57">
        <f>Sheet2!FW42</f>
        <v>0.747</v>
      </c>
      <c r="FR38" s="57">
        <f>Sheet2!FX42</f>
        <v>0.745</v>
      </c>
      <c r="FS38" s="57">
        <f>Sheet2!FY42</f>
        <v>0.745</v>
      </c>
      <c r="FT38" s="57">
        <f>Sheet2!FZ42</f>
        <v>0.74</v>
      </c>
      <c r="FU38" s="57">
        <f>Sheet2!GA42</f>
        <v>0.72</v>
      </c>
      <c r="FV38" s="57">
        <f>Sheet2!GB42</f>
        <v>0.72</v>
      </c>
      <c r="FW38" s="57">
        <f>Sheet2!GC42</f>
        <v>0.72</v>
      </c>
      <c r="FX38" s="57">
        <f>Sheet2!GD42</f>
        <v>0.72</v>
      </c>
      <c r="FY38" s="57">
        <f>Sheet2!GE42</f>
        <v>0.72</v>
      </c>
      <c r="FZ38" s="57">
        <f>Sheet2!GF42</f>
        <v>0.72</v>
      </c>
      <c r="GA38" s="57">
        <f>Sheet2!GG42</f>
        <v>0.72</v>
      </c>
      <c r="GB38" s="57">
        <f>Sheet2!GH42</f>
        <v>0.72</v>
      </c>
      <c r="GC38" s="57">
        <f>Sheet2!GI42</f>
        <v>0.72</v>
      </c>
      <c r="GD38" s="57">
        <f>Sheet2!GJ42</f>
        <v>0.72</v>
      </c>
      <c r="GE38" s="62">
        <f>Sheet2!GK42</f>
        <v>0.72</v>
      </c>
      <c r="GF38" s="62">
        <f>Sheet2!GL42</f>
        <v>0.72</v>
      </c>
      <c r="GG38" s="63">
        <f t="shared" si="0"/>
        <v>0</v>
      </c>
      <c r="GH38" s="64">
        <f t="shared" si="1"/>
        <v>0</v>
      </c>
      <c r="GI38" s="65">
        <f t="shared" si="2"/>
        <v>5.8823529411764639</v>
      </c>
    </row>
    <row r="39" spans="1:191" ht="18">
      <c r="A39" s="44" t="s">
        <v>231</v>
      </c>
      <c r="B39" s="45"/>
      <c r="C39" s="45"/>
      <c r="D39" s="45"/>
      <c r="E39" s="45"/>
      <c r="F39" s="45"/>
      <c r="G39" s="45"/>
      <c r="H39" s="45"/>
      <c r="I39" s="45"/>
      <c r="J39" s="45"/>
      <c r="K39" s="45"/>
      <c r="L39" s="45"/>
      <c r="M39" s="45"/>
      <c r="N39" s="45"/>
      <c r="O39" s="45"/>
      <c r="P39" s="45"/>
      <c r="Q39" s="45"/>
      <c r="R39" s="45"/>
      <c r="S39" s="45"/>
      <c r="T39" s="45"/>
      <c r="U39" s="45"/>
      <c r="V39" s="45"/>
      <c r="W39" s="45"/>
      <c r="X39" s="45"/>
      <c r="Y39" s="45"/>
      <c r="Z39" s="45"/>
      <c r="AA39" s="45"/>
      <c r="AB39" s="45"/>
      <c r="AC39" s="45"/>
      <c r="AD39" s="45"/>
      <c r="AE39" s="45"/>
      <c r="AF39" s="45"/>
      <c r="AG39" s="45"/>
      <c r="AH39" s="45"/>
      <c r="AI39" s="45"/>
      <c r="AJ39" s="45"/>
      <c r="AK39" s="45"/>
      <c r="AL39" s="45"/>
      <c r="AM39" s="45"/>
      <c r="AN39" s="45"/>
      <c r="AO39" s="45"/>
      <c r="AP39" s="45"/>
      <c r="AQ39" s="45"/>
      <c r="AR39" s="45"/>
      <c r="AS39" s="45"/>
      <c r="AT39" s="45"/>
      <c r="AU39" s="45"/>
      <c r="AV39" s="45"/>
      <c r="AW39" s="45"/>
      <c r="AX39" s="45"/>
      <c r="AY39" s="52"/>
      <c r="AZ39" s="58"/>
      <c r="BA39" s="58"/>
      <c r="BB39" s="58"/>
      <c r="BC39" s="58"/>
      <c r="BD39" s="58"/>
      <c r="BE39" s="58"/>
      <c r="BF39" s="58"/>
      <c r="BG39" s="58"/>
      <c r="BH39" s="58"/>
      <c r="BI39" s="58"/>
      <c r="BJ39" s="58"/>
      <c r="BK39" s="58"/>
      <c r="BL39" s="58"/>
      <c r="BM39" s="58"/>
      <c r="BN39" s="58"/>
      <c r="BO39" s="58"/>
      <c r="BP39" s="58"/>
      <c r="BQ39" s="58"/>
      <c r="BR39" s="58"/>
      <c r="BS39" s="58"/>
      <c r="BT39" s="58"/>
      <c r="BU39" s="58"/>
      <c r="BV39" s="58"/>
      <c r="BW39" s="58"/>
      <c r="BX39" s="58"/>
      <c r="BY39" s="58"/>
      <c r="BZ39" s="58"/>
      <c r="CA39" s="58"/>
      <c r="CB39" s="58"/>
      <c r="CC39" s="58"/>
      <c r="CD39" s="58"/>
      <c r="CE39" s="58"/>
      <c r="CF39" s="58"/>
      <c r="CG39" s="58"/>
      <c r="CH39" s="58"/>
      <c r="CI39" s="58"/>
      <c r="CJ39" s="58"/>
      <c r="CK39" s="58"/>
      <c r="CL39" s="58"/>
      <c r="CM39" s="58"/>
      <c r="CN39" s="58"/>
      <c r="CO39" s="58"/>
      <c r="CP39" s="58"/>
      <c r="CQ39" s="59"/>
      <c r="CR39" s="58"/>
      <c r="CS39" s="58"/>
      <c r="CT39" s="58"/>
      <c r="CU39" s="58"/>
      <c r="CV39" s="58"/>
      <c r="CW39" s="58"/>
      <c r="CX39" s="57"/>
      <c r="CY39" s="57"/>
      <c r="CZ39" s="57"/>
      <c r="DA39" s="57"/>
      <c r="DB39" s="57"/>
      <c r="DC39" s="57"/>
      <c r="DD39" s="57"/>
      <c r="DE39" s="57"/>
      <c r="DF39" s="68"/>
      <c r="DG39" s="57"/>
      <c r="DH39" s="57"/>
      <c r="DI39" s="57"/>
      <c r="DJ39" s="57"/>
      <c r="DK39" s="57"/>
      <c r="DL39" s="57"/>
      <c r="DM39" s="57"/>
      <c r="DN39" s="57"/>
      <c r="DO39" s="57"/>
      <c r="DP39" s="57"/>
      <c r="DQ39" s="57"/>
      <c r="DR39" s="57"/>
      <c r="DS39" s="57"/>
      <c r="DT39" s="57"/>
      <c r="DU39" s="57"/>
      <c r="DV39" s="57"/>
      <c r="DW39" s="57"/>
      <c r="DX39" s="66"/>
      <c r="DY39" s="69"/>
      <c r="DZ39" s="66"/>
      <c r="EA39" s="66"/>
      <c r="EB39" s="66"/>
      <c r="EC39" s="66"/>
      <c r="ED39" s="66"/>
      <c r="EE39" s="66"/>
      <c r="EF39" s="66"/>
      <c r="EG39" s="66"/>
      <c r="EH39" s="66"/>
      <c r="EI39" s="66"/>
      <c r="EJ39" s="66"/>
      <c r="EK39" s="66"/>
      <c r="EL39" s="66"/>
      <c r="EM39" s="66"/>
      <c r="EN39" s="66"/>
      <c r="EO39" s="66"/>
      <c r="EP39" s="66"/>
      <c r="EQ39" s="69"/>
      <c r="ER39" s="66"/>
      <c r="ES39" s="66"/>
      <c r="ET39" s="66"/>
      <c r="EU39" s="66"/>
      <c r="EV39" s="66"/>
      <c r="EW39" s="66"/>
      <c r="EX39" s="66"/>
      <c r="EY39" s="70"/>
      <c r="EZ39" s="70"/>
      <c r="FA39" s="66"/>
      <c r="FB39" s="66"/>
      <c r="FC39" s="66"/>
      <c r="FD39" s="66"/>
      <c r="FE39" s="66"/>
      <c r="FF39" s="69"/>
      <c r="FG39" s="66"/>
      <c r="FH39" s="66"/>
      <c r="FI39" s="66"/>
      <c r="FJ39" s="66"/>
      <c r="FK39" s="66"/>
      <c r="FL39" s="66"/>
      <c r="FM39" s="66"/>
      <c r="FN39" s="66"/>
      <c r="FO39" s="67"/>
      <c r="FP39" s="66"/>
      <c r="FQ39" s="66"/>
      <c r="FR39" s="66"/>
      <c r="FS39" s="66"/>
      <c r="FT39" s="66"/>
      <c r="FU39" s="66"/>
      <c r="FV39" s="66"/>
      <c r="FW39" s="66"/>
      <c r="FX39" s="66"/>
      <c r="FY39" s="66"/>
      <c r="FZ39" s="66"/>
      <c r="GA39" s="66"/>
      <c r="GB39" s="66"/>
      <c r="GC39" s="66"/>
      <c r="GD39" s="66"/>
      <c r="GE39" s="63"/>
      <c r="GF39" s="63"/>
      <c r="GG39" s="63"/>
      <c r="GH39" s="64"/>
      <c r="GI39" s="65"/>
    </row>
    <row r="40" spans="1:191" ht="15.75">
      <c r="A40" t="s">
        <v>232</v>
      </c>
      <c r="B40" s="52">
        <v>27.5</v>
      </c>
      <c r="C40" s="52">
        <v>26.5</v>
      </c>
      <c r="D40" s="52">
        <v>26.5</v>
      </c>
      <c r="E40" s="52">
        <v>26.5</v>
      </c>
      <c r="F40" s="52">
        <v>26.5</v>
      </c>
      <c r="G40" s="52">
        <v>26.5</v>
      </c>
      <c r="H40" s="52">
        <v>26.5</v>
      </c>
      <c r="I40" s="52">
        <v>26.5</v>
      </c>
      <c r="J40" s="52">
        <v>26.5</v>
      </c>
      <c r="K40" s="52">
        <v>27</v>
      </c>
      <c r="L40" s="52">
        <v>25</v>
      </c>
      <c r="M40" s="52">
        <v>25</v>
      </c>
      <c r="N40" s="52">
        <v>25</v>
      </c>
      <c r="O40" s="52">
        <v>25</v>
      </c>
      <c r="P40" s="52">
        <v>25</v>
      </c>
      <c r="Q40" s="52">
        <v>25</v>
      </c>
      <c r="R40" s="52">
        <v>25</v>
      </c>
      <c r="S40" s="52">
        <v>25</v>
      </c>
      <c r="T40" s="52">
        <v>25</v>
      </c>
      <c r="U40" s="52">
        <v>25</v>
      </c>
      <c r="V40" s="52">
        <v>25</v>
      </c>
      <c r="W40" s="52">
        <v>25</v>
      </c>
      <c r="X40" s="52">
        <v>25</v>
      </c>
      <c r="Y40" s="52">
        <v>25</v>
      </c>
      <c r="Z40" s="52">
        <v>25</v>
      </c>
      <c r="AA40" s="52">
        <v>25</v>
      </c>
      <c r="AB40" s="52">
        <v>25</v>
      </c>
      <c r="AC40" s="52">
        <v>25</v>
      </c>
      <c r="AD40" s="52">
        <v>25</v>
      </c>
      <c r="AE40" s="52">
        <v>25.5</v>
      </c>
      <c r="AF40" s="52">
        <v>25.5</v>
      </c>
      <c r="AG40" s="52">
        <v>25.5</v>
      </c>
      <c r="AH40" s="52">
        <v>25.5</v>
      </c>
      <c r="AI40" s="52">
        <v>28</v>
      </c>
      <c r="AJ40" s="52">
        <v>28</v>
      </c>
      <c r="AK40" s="52">
        <v>28</v>
      </c>
      <c r="AL40" s="52">
        <v>28</v>
      </c>
      <c r="AM40" s="52">
        <v>28</v>
      </c>
      <c r="AN40" s="52">
        <v>28</v>
      </c>
      <c r="AO40" s="52">
        <v>28</v>
      </c>
      <c r="AP40" s="52">
        <v>28</v>
      </c>
      <c r="AQ40" s="52">
        <v>28</v>
      </c>
      <c r="AR40" s="52">
        <v>28</v>
      </c>
      <c r="AS40" s="52">
        <v>28</v>
      </c>
      <c r="AT40" s="52">
        <v>28</v>
      </c>
      <c r="AU40" s="52">
        <v>28</v>
      </c>
      <c r="AV40" s="52">
        <v>28</v>
      </c>
      <c r="AW40" s="52">
        <v>28</v>
      </c>
      <c r="AX40" s="52">
        <v>28</v>
      </c>
      <c r="AY40" s="57">
        <f>Sheet2!BB46</f>
        <v>28</v>
      </c>
      <c r="AZ40" s="58">
        <f>Sheet2!BC46</f>
        <v>28</v>
      </c>
      <c r="BA40" s="58">
        <f>Sheet2!BD46</f>
        <v>28</v>
      </c>
      <c r="BB40" s="58">
        <f>Sheet2!BE46</f>
        <v>28</v>
      </c>
      <c r="BC40" s="58">
        <f>Sheet2!BF46</f>
        <v>28</v>
      </c>
      <c r="BD40" s="58">
        <f>Sheet2!BG46</f>
        <v>28</v>
      </c>
      <c r="BE40" s="58">
        <f>Sheet2!BH46</f>
        <v>28</v>
      </c>
      <c r="BF40" s="58">
        <f>Sheet2!BI46</f>
        <v>28</v>
      </c>
      <c r="BG40" s="58">
        <f>Sheet2!BJ46</f>
        <v>28</v>
      </c>
      <c r="BH40" s="58">
        <f>Sheet2!BK46</f>
        <v>25.5</v>
      </c>
      <c r="BI40" s="58">
        <f>Sheet2!BL46</f>
        <v>25.5</v>
      </c>
      <c r="BJ40" s="58">
        <f>Sheet2!BM46</f>
        <v>25.5</v>
      </c>
      <c r="BK40" s="58">
        <f>Sheet2!BN46</f>
        <v>25.5</v>
      </c>
      <c r="BL40" s="58">
        <f>Sheet2!BO46</f>
        <v>25.5</v>
      </c>
      <c r="BM40" s="58">
        <f>Sheet2!BP46</f>
        <v>26</v>
      </c>
      <c r="BN40" s="58">
        <f>Sheet2!BQ46</f>
        <v>26</v>
      </c>
      <c r="BO40" s="58">
        <f>Sheet2!BR46</f>
        <v>26</v>
      </c>
      <c r="BP40" s="58">
        <f>Sheet2!BS46</f>
        <v>26</v>
      </c>
      <c r="BQ40" s="58">
        <f>Sheet2!BT46</f>
        <v>26</v>
      </c>
      <c r="BR40" s="58">
        <f>Sheet2!BU46</f>
        <v>26</v>
      </c>
      <c r="BS40" s="58">
        <f>Sheet2!BV46</f>
        <v>26</v>
      </c>
      <c r="BT40" s="58">
        <f>Sheet2!BW46</f>
        <v>26</v>
      </c>
      <c r="BU40" s="58">
        <f>Sheet2!BX46</f>
        <v>26</v>
      </c>
      <c r="BV40" s="58">
        <f>Sheet2!BY46</f>
        <v>26</v>
      </c>
      <c r="BW40" s="58">
        <f>Sheet2!BZ46</f>
        <v>26</v>
      </c>
      <c r="BX40" s="58">
        <f>Sheet2!CA46</f>
        <v>26</v>
      </c>
      <c r="BY40" s="58">
        <f>Sheet2!CB46</f>
        <v>26</v>
      </c>
      <c r="BZ40" s="58">
        <f>Sheet2!CC46</f>
        <v>26</v>
      </c>
      <c r="CA40" s="58">
        <f>Sheet2!CD46</f>
        <v>25.5</v>
      </c>
      <c r="CB40" s="58">
        <f>Sheet2!CE46</f>
        <v>25.5</v>
      </c>
      <c r="CC40" s="58">
        <f>Sheet2!CF46</f>
        <v>25.5</v>
      </c>
      <c r="CD40" s="58">
        <f>Sheet2!CG46</f>
        <v>25.5</v>
      </c>
      <c r="CE40" s="58">
        <f>Sheet2!CH46</f>
        <v>25.5</v>
      </c>
      <c r="CF40" s="58">
        <f>Sheet2!CI46</f>
        <v>25.5</v>
      </c>
      <c r="CG40" s="58">
        <f>Sheet2!CJ46</f>
        <v>24</v>
      </c>
      <c r="CH40" s="58">
        <f>Sheet2!CK46</f>
        <v>24</v>
      </c>
      <c r="CI40" s="58">
        <f>Sheet2!CL46</f>
        <v>24</v>
      </c>
      <c r="CJ40" s="58">
        <f>Sheet2!CM46</f>
        <v>23</v>
      </c>
      <c r="CK40" s="58">
        <f>Sheet2!CN46</f>
        <v>22</v>
      </c>
      <c r="CL40" s="58">
        <f>Sheet2!CO46</f>
        <v>22</v>
      </c>
      <c r="CM40" s="58">
        <f>Sheet2!CP46</f>
        <v>22</v>
      </c>
      <c r="CN40" s="58">
        <f>Sheet2!CQ46</f>
        <v>22</v>
      </c>
      <c r="CO40" s="58">
        <f>Sheet2!CR46</f>
        <v>22</v>
      </c>
      <c r="CP40" s="58">
        <f>Sheet2!CS46</f>
        <v>22</v>
      </c>
      <c r="CQ40" s="59">
        <f>Sheet2!CT46</f>
        <v>22</v>
      </c>
      <c r="CR40" s="58">
        <f>Sheet2!CU46</f>
        <v>22</v>
      </c>
      <c r="CS40" s="58">
        <f>Sheet2!CV46</f>
        <v>22</v>
      </c>
      <c r="CT40" s="58">
        <f>Sheet2!CW46</f>
        <v>22</v>
      </c>
      <c r="CU40" s="58">
        <f>Sheet2!CX46</f>
        <v>21.5</v>
      </c>
      <c r="CV40" s="58">
        <f>Sheet2!CY46</f>
        <v>21.5</v>
      </c>
      <c r="CW40" s="58">
        <f>Sheet2!CZ46</f>
        <v>19.5</v>
      </c>
      <c r="CX40" s="58">
        <f>Sheet2!DA46</f>
        <v>19.5</v>
      </c>
      <c r="CY40" s="58">
        <f>Sheet2!DB46</f>
        <v>19.5</v>
      </c>
      <c r="CZ40" s="58">
        <f>Sheet2!DC46</f>
        <v>19.5</v>
      </c>
      <c r="DA40" s="58">
        <f>Sheet2!DD46</f>
        <v>19.5</v>
      </c>
      <c r="DB40" s="58">
        <f>Sheet2!DE46</f>
        <v>19.5</v>
      </c>
      <c r="DC40" s="58">
        <f>Sheet2!DF46</f>
        <v>19.5</v>
      </c>
      <c r="DD40" s="58">
        <f>Sheet2!DG46</f>
        <v>19.5</v>
      </c>
      <c r="DE40" s="58">
        <f>Sheet2!DH46</f>
        <v>19.5</v>
      </c>
      <c r="DF40" s="57">
        <f>Sheet2!DI46</f>
        <v>20</v>
      </c>
      <c r="DG40" s="57">
        <f>Sheet2!DJ46</f>
        <v>20</v>
      </c>
      <c r="DH40" s="57">
        <f>Sheet2!DK46</f>
        <v>20</v>
      </c>
      <c r="DI40" s="57">
        <v>23</v>
      </c>
      <c r="DJ40" s="57">
        <f>Sheet2!DN46</f>
        <v>23.5</v>
      </c>
      <c r="DK40" s="57">
        <f>Sheet2!DO46</f>
        <v>23.5</v>
      </c>
      <c r="DL40" s="57">
        <f>Sheet2!DP46</f>
        <v>23.5</v>
      </c>
      <c r="DM40" s="57">
        <f>Sheet2!DQ46</f>
        <v>23.5</v>
      </c>
      <c r="DN40" s="57">
        <f>Sheet2!DR46</f>
        <v>23.5</v>
      </c>
      <c r="DO40" s="57">
        <f>Sheet2!DS46</f>
        <v>23.5</v>
      </c>
      <c r="DP40" s="57">
        <v>23</v>
      </c>
      <c r="DQ40" s="57">
        <f>Sheet2!DV46</f>
        <v>22.5</v>
      </c>
      <c r="DR40" s="57">
        <f>Sheet2!DW46</f>
        <v>22.5</v>
      </c>
      <c r="DS40" s="57">
        <v>22.5</v>
      </c>
      <c r="DT40" s="57">
        <f>Sheet2!DZ46</f>
        <v>22.5</v>
      </c>
      <c r="DU40" s="57">
        <f>Sheet2!EA46</f>
        <v>22.5</v>
      </c>
      <c r="DV40" s="57">
        <f>Sheet2!EB46</f>
        <v>20</v>
      </c>
      <c r="DW40" s="57">
        <f>Sheet2!EC46</f>
        <v>20</v>
      </c>
      <c r="DX40" s="57">
        <f>Sheet2!ED46</f>
        <v>20</v>
      </c>
      <c r="DY40" s="60">
        <f>Sheet2!EE46</f>
        <v>20</v>
      </c>
      <c r="DZ40" s="57">
        <f>Sheet2!EF46</f>
        <v>20</v>
      </c>
      <c r="EA40" s="57">
        <f>Sheet2!EG46</f>
        <v>20</v>
      </c>
      <c r="EB40" s="57">
        <f>Sheet2!EH46</f>
        <v>20</v>
      </c>
      <c r="EC40" s="57">
        <f>Sheet2!EI46</f>
        <v>20</v>
      </c>
      <c r="ED40" s="57">
        <f>Sheet2!EJ46</f>
        <v>20</v>
      </c>
      <c r="EE40" s="57">
        <f>Sheet2!EK46</f>
        <v>20</v>
      </c>
      <c r="EF40" s="57">
        <f>Sheet2!EL46</f>
        <v>20</v>
      </c>
      <c r="EG40" s="57">
        <f>Sheet2!EM46</f>
        <v>20</v>
      </c>
      <c r="EH40" s="57">
        <f>Sheet2!EN46</f>
        <v>20</v>
      </c>
      <c r="EI40" s="57">
        <f>Sheet2!EO46</f>
        <v>20</v>
      </c>
      <c r="EJ40" s="57">
        <f>Sheet2!EP46</f>
        <v>20</v>
      </c>
      <c r="EK40" s="57">
        <f>Sheet2!EQ46</f>
        <v>20</v>
      </c>
      <c r="EL40" s="57">
        <f>Sheet2!ER46</f>
        <v>20</v>
      </c>
      <c r="EM40" s="57">
        <f>Sheet2!ES46</f>
        <v>20</v>
      </c>
      <c r="EN40" s="57">
        <f>Sheet2!ET46</f>
        <v>20</v>
      </c>
      <c r="EO40" s="57">
        <f>Sheet2!EU46</f>
        <v>20</v>
      </c>
      <c r="EP40" s="57">
        <f>Sheet2!EV46</f>
        <v>20</v>
      </c>
      <c r="EQ40" s="60">
        <f>Sheet2!EW46</f>
        <v>20</v>
      </c>
      <c r="ER40" s="57">
        <f>Sheet2!EX46</f>
        <v>20</v>
      </c>
      <c r="ES40" s="57">
        <f>Sheet2!EY46</f>
        <v>20</v>
      </c>
      <c r="ET40" s="57">
        <f>Sheet2!EZ46</f>
        <v>20</v>
      </c>
      <c r="EU40" s="57">
        <f>Sheet2!FA46</f>
        <v>20</v>
      </c>
      <c r="EV40" s="57">
        <f>Sheet2!FB46</f>
        <v>20</v>
      </c>
      <c r="EW40" s="57">
        <f>Sheet2!FC46</f>
        <v>20</v>
      </c>
      <c r="EX40" s="57">
        <f>Sheet2!FD46</f>
        <v>20</v>
      </c>
      <c r="EY40" s="57">
        <f>Sheet2!FE46</f>
        <v>20</v>
      </c>
      <c r="EZ40" s="57">
        <f>Sheet2!FF46</f>
        <v>20</v>
      </c>
      <c r="FA40" s="57">
        <f>Sheet2!FG46</f>
        <v>20</v>
      </c>
      <c r="FB40" s="57">
        <f>Sheet2!FH46</f>
        <v>20</v>
      </c>
      <c r="FC40" s="57">
        <f>Sheet2!FI46</f>
        <v>20</v>
      </c>
      <c r="FD40" s="57">
        <f>Sheet2!FJ46</f>
        <v>20</v>
      </c>
      <c r="FE40" s="57">
        <f>Sheet2!FK46</f>
        <v>20</v>
      </c>
      <c r="FF40" s="60">
        <f>Sheet2!FL46</f>
        <v>19.5</v>
      </c>
      <c r="FG40" s="57">
        <f>Sheet2!FM46</f>
        <v>19.5</v>
      </c>
      <c r="FH40" s="57">
        <f>Sheet2!FN46</f>
        <v>19.5</v>
      </c>
      <c r="FI40" s="57">
        <f>Sheet2!FO46</f>
        <v>19.5</v>
      </c>
      <c r="FJ40" s="57">
        <f>Sheet2!FP46</f>
        <v>19.5</v>
      </c>
      <c r="FK40" s="57">
        <f>Sheet2!FQ46</f>
        <v>18.5</v>
      </c>
      <c r="FL40" s="57">
        <f>Sheet2!FR46</f>
        <v>18.5</v>
      </c>
      <c r="FM40" s="57">
        <f>Sheet2!FS46</f>
        <v>18.5</v>
      </c>
      <c r="FN40" s="57">
        <f>Sheet2!FT46</f>
        <v>18.5</v>
      </c>
      <c r="FO40" s="61">
        <f>Sheet2!FU46</f>
        <v>18.5</v>
      </c>
      <c r="FP40" s="57">
        <f>Sheet2!FV46</f>
        <v>18.5</v>
      </c>
      <c r="FQ40" s="57">
        <f>Sheet2!FW46</f>
        <v>18.5</v>
      </c>
      <c r="FR40" s="57">
        <f>Sheet2!FX46</f>
        <v>18.5</v>
      </c>
      <c r="FS40" s="57">
        <f>Sheet2!FY46</f>
        <v>18.5</v>
      </c>
      <c r="FT40" s="57">
        <f>Sheet2!FZ46</f>
        <v>18.5</v>
      </c>
      <c r="FU40" s="57">
        <f>Sheet2!GA46</f>
        <v>18.5</v>
      </c>
      <c r="FV40" s="57">
        <f>Sheet2!GB46</f>
        <v>18.5</v>
      </c>
      <c r="FW40" s="57">
        <f>Sheet2!GC46</f>
        <v>18.5</v>
      </c>
      <c r="FX40" s="57">
        <f>Sheet2!GD46</f>
        <v>18.5</v>
      </c>
      <c r="FY40" s="57">
        <f>Sheet2!GE46</f>
        <v>18.5</v>
      </c>
      <c r="FZ40" s="57">
        <f>Sheet2!GF46</f>
        <v>18.5</v>
      </c>
      <c r="GA40" s="57">
        <f>Sheet2!GG46</f>
        <v>18.5</v>
      </c>
      <c r="GB40" s="57">
        <f>Sheet2!GH46</f>
        <v>18.5</v>
      </c>
      <c r="GC40" s="57">
        <f>Sheet2!GI46</f>
        <v>18.5</v>
      </c>
      <c r="GD40" s="57">
        <f>Sheet2!GJ46</f>
        <v>18.5</v>
      </c>
      <c r="GE40" s="62">
        <f>Sheet2!GK46</f>
        <v>18.5</v>
      </c>
      <c r="GF40" s="62">
        <f>Sheet2!GL46</f>
        <v>18.5</v>
      </c>
      <c r="GG40" s="63">
        <f t="shared" si="0"/>
        <v>0</v>
      </c>
      <c r="GH40" s="64">
        <f t="shared" si="1"/>
        <v>0</v>
      </c>
      <c r="GI40" s="65">
        <f t="shared" si="2"/>
        <v>-7.5</v>
      </c>
    </row>
    <row r="41" spans="1:191" ht="15.75">
      <c r="A41" t="s">
        <v>233</v>
      </c>
      <c r="B41" s="52">
        <v>21</v>
      </c>
      <c r="C41" s="52">
        <v>20</v>
      </c>
      <c r="D41" s="52">
        <v>20</v>
      </c>
      <c r="E41" s="52">
        <v>20</v>
      </c>
      <c r="F41" s="52">
        <v>20</v>
      </c>
      <c r="G41" s="52">
        <v>20</v>
      </c>
      <c r="H41" s="52">
        <v>20</v>
      </c>
      <c r="I41" s="52">
        <v>20</v>
      </c>
      <c r="J41" s="52">
        <v>20</v>
      </c>
      <c r="K41" s="52">
        <v>20</v>
      </c>
      <c r="L41" s="52">
        <v>18.5</v>
      </c>
      <c r="M41" s="52">
        <v>18.5</v>
      </c>
      <c r="N41" s="52">
        <v>18.5</v>
      </c>
      <c r="O41" s="52">
        <v>18.5</v>
      </c>
      <c r="P41" s="52">
        <v>18.5</v>
      </c>
      <c r="Q41" s="52">
        <v>18.5</v>
      </c>
      <c r="R41" s="52">
        <v>18.5</v>
      </c>
      <c r="S41" s="52">
        <v>18.5</v>
      </c>
      <c r="T41" s="52">
        <v>18.5</v>
      </c>
      <c r="U41" s="52">
        <v>18.5</v>
      </c>
      <c r="V41" s="52">
        <v>18.5</v>
      </c>
      <c r="W41" s="52">
        <v>18.5</v>
      </c>
      <c r="X41" s="52">
        <v>18.5</v>
      </c>
      <c r="Y41" s="52">
        <v>18.5</v>
      </c>
      <c r="Z41" s="52">
        <v>18.5</v>
      </c>
      <c r="AA41" s="52">
        <v>18.5</v>
      </c>
      <c r="AB41" s="52">
        <v>18.5</v>
      </c>
      <c r="AC41" s="52">
        <v>18.5</v>
      </c>
      <c r="AD41" s="52">
        <v>18.5</v>
      </c>
      <c r="AE41" s="52">
        <v>18.5</v>
      </c>
      <c r="AF41" s="52">
        <v>18.5</v>
      </c>
      <c r="AG41" s="52">
        <v>18.5</v>
      </c>
      <c r="AH41" s="52">
        <v>18.5</v>
      </c>
      <c r="AI41" s="52">
        <v>20</v>
      </c>
      <c r="AJ41" s="52">
        <v>20</v>
      </c>
      <c r="AK41" s="52">
        <v>20</v>
      </c>
      <c r="AL41" s="52">
        <v>20</v>
      </c>
      <c r="AM41" s="52">
        <v>20</v>
      </c>
      <c r="AN41" s="52">
        <v>20</v>
      </c>
      <c r="AO41" s="52">
        <v>20</v>
      </c>
      <c r="AP41" s="52">
        <v>20</v>
      </c>
      <c r="AQ41" s="52">
        <v>20</v>
      </c>
      <c r="AR41" s="52">
        <v>20</v>
      </c>
      <c r="AS41" s="52">
        <v>20</v>
      </c>
      <c r="AT41" s="52">
        <v>20</v>
      </c>
      <c r="AU41" s="52">
        <v>20</v>
      </c>
      <c r="AV41" s="52">
        <v>20</v>
      </c>
      <c r="AW41" s="52">
        <v>20</v>
      </c>
      <c r="AX41" s="52">
        <v>20</v>
      </c>
      <c r="AY41" s="57">
        <f>Sheet2!BB47</f>
        <v>20</v>
      </c>
      <c r="AZ41" s="58">
        <f>Sheet2!BC47</f>
        <v>20</v>
      </c>
      <c r="BA41" s="58">
        <f>Sheet2!BD47</f>
        <v>20</v>
      </c>
      <c r="BB41" s="58">
        <f>Sheet2!BE47</f>
        <v>20</v>
      </c>
      <c r="BC41" s="58">
        <f>Sheet2!BF47</f>
        <v>20</v>
      </c>
      <c r="BD41" s="58">
        <f>Sheet2!BG47</f>
        <v>20</v>
      </c>
      <c r="BE41" s="58">
        <f>Sheet2!BH47</f>
        <v>20</v>
      </c>
      <c r="BF41" s="58">
        <f>Sheet2!BI47</f>
        <v>20</v>
      </c>
      <c r="BG41" s="58">
        <f>Sheet2!BJ47</f>
        <v>20</v>
      </c>
      <c r="BH41" s="58">
        <f>Sheet2!BK47</f>
        <v>16.5</v>
      </c>
      <c r="BI41" s="58">
        <f>Sheet2!BL47</f>
        <v>16.5</v>
      </c>
      <c r="BJ41" s="58">
        <f>Sheet2!BM47</f>
        <v>16.5</v>
      </c>
      <c r="BK41" s="58">
        <f>Sheet2!BN47</f>
        <v>16.5</v>
      </c>
      <c r="BL41" s="58">
        <f>Sheet2!BO47</f>
        <v>16.5</v>
      </c>
      <c r="BM41" s="58">
        <f>Sheet2!BP47</f>
        <v>16.5</v>
      </c>
      <c r="BN41" s="58">
        <f>Sheet2!BQ47</f>
        <v>16.5</v>
      </c>
      <c r="BO41" s="58">
        <f>Sheet2!BR47</f>
        <v>16.5</v>
      </c>
      <c r="BP41" s="58">
        <f>Sheet2!BS47</f>
        <v>16.5</v>
      </c>
      <c r="BQ41" s="58">
        <f>Sheet2!BT47</f>
        <v>16.5</v>
      </c>
      <c r="BR41" s="58">
        <f>Sheet2!BU47</f>
        <v>16.5</v>
      </c>
      <c r="BS41" s="58">
        <f>Sheet2!BV47</f>
        <v>16.5</v>
      </c>
      <c r="BT41" s="58">
        <f>Sheet2!BW47</f>
        <v>16.5</v>
      </c>
      <c r="BU41" s="58">
        <f>Sheet2!BX47</f>
        <v>16.5</v>
      </c>
      <c r="BV41" s="58">
        <f>Sheet2!BY47</f>
        <v>16.5</v>
      </c>
      <c r="BW41" s="58">
        <f>Sheet2!BZ47</f>
        <v>16.5</v>
      </c>
      <c r="BX41" s="58">
        <f>Sheet2!CA47</f>
        <v>16.5</v>
      </c>
      <c r="BY41" s="58">
        <f>Sheet2!CB47</f>
        <v>16.5</v>
      </c>
      <c r="BZ41" s="58">
        <f>Sheet2!CC47</f>
        <v>16.5</v>
      </c>
      <c r="CA41" s="58">
        <f>Sheet2!CD47</f>
        <v>15.8</v>
      </c>
      <c r="CB41" s="58">
        <f>Sheet2!CE47</f>
        <v>15.8</v>
      </c>
      <c r="CC41" s="58">
        <f>Sheet2!CF47</f>
        <v>15.8</v>
      </c>
      <c r="CD41" s="58">
        <f>Sheet2!CG47</f>
        <v>15.8</v>
      </c>
      <c r="CE41" s="58">
        <f>Sheet2!CH47</f>
        <v>15.8</v>
      </c>
      <c r="CF41" s="58">
        <f>Sheet2!CI47</f>
        <v>15.8</v>
      </c>
      <c r="CG41" s="58">
        <f>Sheet2!CJ47</f>
        <v>15</v>
      </c>
      <c r="CH41" s="58">
        <f>Sheet2!CK47</f>
        <v>15</v>
      </c>
      <c r="CI41" s="58">
        <f>Sheet2!CL47</f>
        <v>15</v>
      </c>
      <c r="CJ41" s="58">
        <f>Sheet2!CM47</f>
        <v>14</v>
      </c>
      <c r="CK41" s="58">
        <f>Sheet2!CN47</f>
        <v>13</v>
      </c>
      <c r="CL41" s="58">
        <f>Sheet2!CO47</f>
        <v>13</v>
      </c>
      <c r="CM41" s="58">
        <f>Sheet2!CP47</f>
        <v>13</v>
      </c>
      <c r="CN41" s="58">
        <f>Sheet2!CQ47</f>
        <v>13</v>
      </c>
      <c r="CO41" s="58">
        <f>Sheet2!CR47</f>
        <v>13</v>
      </c>
      <c r="CP41" s="58">
        <f>Sheet2!CS47</f>
        <v>13</v>
      </c>
      <c r="CQ41" s="59">
        <f>Sheet2!CT47</f>
        <v>13</v>
      </c>
      <c r="CR41" s="58">
        <f>Sheet2!CU47</f>
        <v>13</v>
      </c>
      <c r="CS41" s="58">
        <f>Sheet2!CV47</f>
        <v>13</v>
      </c>
      <c r="CT41" s="58">
        <f>Sheet2!CW47</f>
        <v>13</v>
      </c>
      <c r="CU41" s="58">
        <f>Sheet2!CX47</f>
        <v>13</v>
      </c>
      <c r="CV41" s="58">
        <f>Sheet2!CY47</f>
        <v>13</v>
      </c>
      <c r="CW41" s="58">
        <f>Sheet2!CZ47</f>
        <v>12</v>
      </c>
      <c r="CX41" s="58">
        <f>Sheet2!DA47</f>
        <v>12</v>
      </c>
      <c r="CY41" s="58">
        <f>Sheet2!DB47</f>
        <v>12</v>
      </c>
      <c r="CZ41" s="58">
        <f>Sheet2!DC47</f>
        <v>12</v>
      </c>
      <c r="DA41" s="58">
        <f>Sheet2!DD47</f>
        <v>12</v>
      </c>
      <c r="DB41" s="58">
        <f>Sheet2!DE47</f>
        <v>12</v>
      </c>
      <c r="DC41" s="58">
        <f>Sheet2!DF47</f>
        <v>12</v>
      </c>
      <c r="DD41" s="58">
        <f>Sheet2!DG47</f>
        <v>12</v>
      </c>
      <c r="DE41" s="58">
        <f>Sheet2!DH47</f>
        <v>12</v>
      </c>
      <c r="DF41" s="57">
        <f>Sheet2!DI47</f>
        <v>13</v>
      </c>
      <c r="DG41" s="57">
        <f>Sheet2!DJ47</f>
        <v>13</v>
      </c>
      <c r="DH41" s="57">
        <f>Sheet2!DK47</f>
        <v>13</v>
      </c>
      <c r="DI41" s="57">
        <v>13.5</v>
      </c>
      <c r="DJ41" s="57">
        <f>Sheet2!DN47</f>
        <v>14</v>
      </c>
      <c r="DK41" s="57">
        <f>Sheet2!DO47</f>
        <v>14.5</v>
      </c>
      <c r="DL41" s="57">
        <f>Sheet2!DP47</f>
        <v>14.5</v>
      </c>
      <c r="DM41" s="57">
        <f>Sheet2!DQ47</f>
        <v>14.5</v>
      </c>
      <c r="DN41" s="57">
        <f>Sheet2!DR47</f>
        <v>14.5</v>
      </c>
      <c r="DO41" s="57">
        <f>Sheet2!DS47</f>
        <v>14.5</v>
      </c>
      <c r="DP41" s="57">
        <v>14.2</v>
      </c>
      <c r="DQ41" s="57">
        <f>Sheet2!DV47</f>
        <v>14</v>
      </c>
      <c r="DR41" s="57">
        <f>Sheet2!DW47</f>
        <v>14</v>
      </c>
      <c r="DS41" s="57">
        <v>14</v>
      </c>
      <c r="DT41" s="57">
        <f>Sheet2!DZ47</f>
        <v>14</v>
      </c>
      <c r="DU41" s="57">
        <f>Sheet2!EA47</f>
        <v>14</v>
      </c>
      <c r="DV41" s="57">
        <f>Sheet2!EB47</f>
        <v>12</v>
      </c>
      <c r="DW41" s="57">
        <f>Sheet2!EC47</f>
        <v>12</v>
      </c>
      <c r="DX41" s="57">
        <f>Sheet2!ED47</f>
        <v>12</v>
      </c>
      <c r="DY41" s="60">
        <f>Sheet2!EE47</f>
        <v>12</v>
      </c>
      <c r="DZ41" s="57">
        <f>Sheet2!EF47</f>
        <v>12</v>
      </c>
      <c r="EA41" s="57">
        <f>Sheet2!EG47</f>
        <v>12</v>
      </c>
      <c r="EB41" s="57">
        <f>Sheet2!EH47</f>
        <v>12</v>
      </c>
      <c r="EC41" s="57">
        <f>Sheet2!EI47</f>
        <v>12</v>
      </c>
      <c r="ED41" s="57">
        <f>Sheet2!EJ47</f>
        <v>12</v>
      </c>
      <c r="EE41" s="57">
        <f>Sheet2!EK47</f>
        <v>14</v>
      </c>
      <c r="EF41" s="57">
        <f>Sheet2!EL47</f>
        <v>14</v>
      </c>
      <c r="EG41" s="57">
        <f>Sheet2!EM47</f>
        <v>14</v>
      </c>
      <c r="EH41" s="57">
        <f>Sheet2!EN47</f>
        <v>14</v>
      </c>
      <c r="EI41" s="57">
        <f>Sheet2!EO47</f>
        <v>14</v>
      </c>
      <c r="EJ41" s="57">
        <f>Sheet2!EP47</f>
        <v>14</v>
      </c>
      <c r="EK41" s="57">
        <f>Sheet2!EQ47</f>
        <v>14</v>
      </c>
      <c r="EL41" s="57">
        <f>Sheet2!ER47</f>
        <v>14</v>
      </c>
      <c r="EM41" s="57">
        <f>Sheet2!ES47</f>
        <v>14</v>
      </c>
      <c r="EN41" s="57">
        <f>Sheet2!ET47</f>
        <v>14</v>
      </c>
      <c r="EO41" s="57">
        <f>Sheet2!EU47</f>
        <v>14</v>
      </c>
      <c r="EP41" s="57">
        <f>Sheet2!EV47</f>
        <v>14</v>
      </c>
      <c r="EQ41" s="60">
        <f>Sheet2!EW47</f>
        <v>14</v>
      </c>
      <c r="ER41" s="57">
        <f>Sheet2!EX47</f>
        <v>13.5</v>
      </c>
      <c r="ES41" s="57">
        <f>Sheet2!EY47</f>
        <v>13.5</v>
      </c>
      <c r="ET41" s="57">
        <f>Sheet2!EZ47</f>
        <v>13.5</v>
      </c>
      <c r="EU41" s="57">
        <f>Sheet2!FA47</f>
        <v>13.5</v>
      </c>
      <c r="EV41" s="57">
        <f>Sheet2!FB47</f>
        <v>13.5</v>
      </c>
      <c r="EW41" s="57">
        <f>Sheet2!FC47</f>
        <v>13.5</v>
      </c>
      <c r="EX41" s="57">
        <f>Sheet2!FD47</f>
        <v>13.5</v>
      </c>
      <c r="EY41" s="57">
        <f>Sheet2!FE47</f>
        <v>13.5</v>
      </c>
      <c r="EZ41" s="57">
        <f>Sheet2!FF47</f>
        <v>13.5</v>
      </c>
      <c r="FA41" s="57">
        <f>Sheet2!FG47</f>
        <v>13.5</v>
      </c>
      <c r="FB41" s="57">
        <f>Sheet2!FH47</f>
        <v>13.5</v>
      </c>
      <c r="FC41" s="57">
        <f>Sheet2!FI47</f>
        <v>13.5</v>
      </c>
      <c r="FD41" s="57">
        <f>Sheet2!FJ47</f>
        <v>13.5</v>
      </c>
      <c r="FE41" s="57">
        <f>Sheet2!FK47</f>
        <v>13.5</v>
      </c>
      <c r="FF41" s="60">
        <f>Sheet2!FL47</f>
        <v>12.8</v>
      </c>
      <c r="FG41" s="57">
        <f>Sheet2!FM47</f>
        <v>12.8</v>
      </c>
      <c r="FH41" s="57">
        <f>Sheet2!FN47</f>
        <v>12.8</v>
      </c>
      <c r="FI41" s="57">
        <f>Sheet2!FO47</f>
        <v>12.8</v>
      </c>
      <c r="FJ41" s="57">
        <f>Sheet2!FP47</f>
        <v>12.8</v>
      </c>
      <c r="FK41" s="57">
        <f>Sheet2!FQ47</f>
        <v>11.5</v>
      </c>
      <c r="FL41" s="57">
        <f>Sheet2!FR47</f>
        <v>11.5</v>
      </c>
      <c r="FM41" s="57">
        <f>Sheet2!FS47</f>
        <v>11.5</v>
      </c>
      <c r="FN41" s="57">
        <f>Sheet2!FT47</f>
        <v>11.5</v>
      </c>
      <c r="FO41" s="61">
        <f>Sheet2!FU47</f>
        <v>11.5</v>
      </c>
      <c r="FP41" s="57">
        <f>Sheet2!FV47</f>
        <v>11.5</v>
      </c>
      <c r="FQ41" s="57">
        <f>Sheet2!FW47</f>
        <v>11.5</v>
      </c>
      <c r="FR41" s="57">
        <f>Sheet2!FX47</f>
        <v>11.5</v>
      </c>
      <c r="FS41" s="57">
        <f>Sheet2!FY47</f>
        <v>11.5</v>
      </c>
      <c r="FT41" s="57">
        <f>Sheet2!FZ47</f>
        <v>11.5</v>
      </c>
      <c r="FU41" s="57">
        <f>Sheet2!GA47</f>
        <v>11.5</v>
      </c>
      <c r="FV41" s="57">
        <f>Sheet2!GB47</f>
        <v>11.5</v>
      </c>
      <c r="FW41" s="57">
        <f>Sheet2!GC47</f>
        <v>11.5</v>
      </c>
      <c r="FX41" s="57">
        <f>Sheet2!GD47</f>
        <v>11.5</v>
      </c>
      <c r="FY41" s="57">
        <f>Sheet2!GE47</f>
        <v>11.5</v>
      </c>
      <c r="FZ41" s="57">
        <f>Sheet2!GF47</f>
        <v>11.5</v>
      </c>
      <c r="GA41" s="57">
        <f>Sheet2!GG47</f>
        <v>11.5</v>
      </c>
      <c r="GB41" s="57">
        <f>Sheet2!GH47</f>
        <v>11.5</v>
      </c>
      <c r="GC41" s="57">
        <f>Sheet2!GI47</f>
        <v>11.5</v>
      </c>
      <c r="GD41" s="57">
        <f>Sheet2!GJ47</f>
        <v>11.5</v>
      </c>
      <c r="GE41" s="62">
        <f>Sheet2!GK47</f>
        <v>11.5</v>
      </c>
      <c r="GF41" s="62">
        <f>Sheet2!GL47</f>
        <v>11.5</v>
      </c>
      <c r="GG41" s="63">
        <f t="shared" si="0"/>
        <v>0</v>
      </c>
      <c r="GH41" s="64">
        <f t="shared" si="1"/>
        <v>0</v>
      </c>
      <c r="GI41" s="65">
        <f t="shared" si="2"/>
        <v>-14.81481481481481</v>
      </c>
    </row>
    <row r="42" spans="1:191" ht="15.75">
      <c r="A42" s="37" t="s">
        <v>234</v>
      </c>
      <c r="B42" s="37"/>
      <c r="C42" s="37"/>
      <c r="D42" s="37"/>
      <c r="E42" s="37"/>
      <c r="F42" s="37"/>
      <c r="G42" s="37"/>
      <c r="H42" s="37"/>
      <c r="I42" s="37"/>
      <c r="J42" s="37"/>
      <c r="K42" s="37"/>
      <c r="L42" s="37"/>
      <c r="M42" s="37"/>
      <c r="N42" s="37"/>
      <c r="O42" s="37"/>
      <c r="P42" s="37"/>
      <c r="Q42" s="37"/>
      <c r="R42" s="37"/>
      <c r="S42" s="37"/>
      <c r="T42" s="37"/>
      <c r="U42" s="37"/>
      <c r="V42" s="37"/>
      <c r="W42" s="37"/>
      <c r="X42" s="37"/>
      <c r="Y42" s="37"/>
      <c r="Z42" s="37"/>
      <c r="AA42" s="37"/>
      <c r="AB42" s="37"/>
      <c r="AC42" s="37"/>
      <c r="AD42" s="37"/>
      <c r="AE42" s="37"/>
      <c r="AF42" s="37"/>
      <c r="AG42" s="37"/>
      <c r="AH42" s="37"/>
      <c r="AI42" s="37"/>
      <c r="AJ42" s="37"/>
      <c r="AK42" s="37"/>
      <c r="AL42" s="37"/>
      <c r="AM42" s="37"/>
      <c r="AN42" s="37"/>
      <c r="AO42" s="37"/>
      <c r="AP42" s="37"/>
      <c r="AQ42" s="37"/>
      <c r="AR42" s="37"/>
      <c r="AS42" s="37"/>
      <c r="AT42" s="37"/>
      <c r="AU42" s="37"/>
      <c r="AV42" s="37"/>
      <c r="AW42" s="37"/>
      <c r="AX42" s="37"/>
      <c r="FF42" s="77"/>
      <c r="FO42" s="78"/>
    </row>
    <row r="43" spans="1:191" ht="15.75">
      <c r="A43" t="s">
        <v>235</v>
      </c>
      <c r="FF43" s="77"/>
    </row>
    <row r="44" spans="1:191" ht="29.1" customHeight="1">
      <c r="A44" s="39" t="s">
        <v>236</v>
      </c>
    </row>
    <row r="45" spans="1:191" ht="14.25" customHeight="1">
      <c r="A45" t="s">
        <v>237</v>
      </c>
    </row>
    <row r="46" spans="1:191" ht="30" customHeight="1">
      <c r="A46" s="79" t="s">
        <v>238</v>
      </c>
    </row>
  </sheetData>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GA45"/>
  <sheetViews>
    <sheetView tabSelected="1" zoomScale="80" zoomScaleNormal="80" workbookViewId="0">
      <selection activeCell="FV31" sqref="FV31"/>
    </sheetView>
  </sheetViews>
  <sheetFormatPr defaultColWidth="11" defaultRowHeight="15.75"/>
  <cols>
    <col min="2" max="2" width="62" customWidth="1"/>
    <col min="3" max="26" width="15.875" hidden="1" customWidth="1"/>
    <col min="27" max="27" width="15.875" style="3" hidden="1" customWidth="1"/>
    <col min="28" max="165" width="15.875" hidden="1" customWidth="1"/>
    <col min="166" max="167" width="11.125" hidden="1" customWidth="1"/>
    <col min="168" max="168" width="15.875" hidden="1" customWidth="1"/>
    <col min="169" max="172" width="15.875" customWidth="1"/>
  </cols>
  <sheetData>
    <row r="1" spans="1:180">
      <c r="A1" s="4"/>
      <c r="FR1" s="5"/>
      <c r="FS1" s="5"/>
      <c r="FT1" s="5"/>
      <c r="FU1" s="5"/>
      <c r="FV1" s="5"/>
      <c r="FW1" s="5"/>
      <c r="FX1" s="5"/>
    </row>
    <row r="2" spans="1:180">
      <c r="A2" s="4"/>
      <c r="B2" s="6" t="s">
        <v>239</v>
      </c>
      <c r="C2" s="7"/>
      <c r="D2" s="7"/>
      <c r="E2" s="7"/>
      <c r="F2" s="7"/>
      <c r="G2" s="7"/>
      <c r="H2" s="7"/>
      <c r="I2" s="7"/>
      <c r="J2" s="7"/>
      <c r="K2" s="7"/>
      <c r="L2" s="7"/>
      <c r="M2" s="7"/>
      <c r="N2" s="7"/>
      <c r="O2" s="7"/>
      <c r="P2" s="7"/>
      <c r="Q2" s="7"/>
      <c r="R2" s="7"/>
      <c r="S2" s="7"/>
      <c r="T2" s="7"/>
      <c r="U2" s="7"/>
      <c r="V2" s="7"/>
      <c r="W2" s="7"/>
      <c r="X2" s="7"/>
      <c r="Y2" s="7"/>
      <c r="Z2" s="7"/>
      <c r="AA2" s="8"/>
      <c r="AB2" s="7"/>
      <c r="AC2" s="7"/>
      <c r="AD2" s="7"/>
      <c r="AE2" s="7"/>
      <c r="AF2" s="7"/>
      <c r="AG2" s="7"/>
      <c r="AH2" s="7"/>
      <c r="AI2" s="7"/>
      <c r="AJ2" s="7"/>
      <c r="AK2" s="7"/>
      <c r="AL2" s="7"/>
      <c r="AM2" s="7"/>
      <c r="AN2" s="7"/>
      <c r="AO2" s="7"/>
      <c r="AP2" s="7"/>
      <c r="AQ2" s="7"/>
      <c r="AR2" s="7"/>
      <c r="AS2" s="7"/>
      <c r="AT2" s="7"/>
      <c r="AU2" s="7"/>
      <c r="AV2" s="7"/>
      <c r="AW2" s="7"/>
      <c r="AX2" s="7"/>
      <c r="AY2" s="7"/>
      <c r="AZ2" s="7"/>
      <c r="BA2" s="7"/>
      <c r="BB2" s="7"/>
      <c r="BC2" s="7"/>
      <c r="BD2" s="7"/>
      <c r="BE2" s="7"/>
      <c r="BF2" s="7"/>
      <c r="BG2" s="7"/>
      <c r="BH2" s="7"/>
      <c r="BI2" s="7"/>
      <c r="BJ2" s="7"/>
      <c r="BK2" s="7"/>
      <c r="BL2" s="7"/>
      <c r="BM2" s="7"/>
      <c r="BN2" s="7"/>
      <c r="BO2" s="7"/>
      <c r="BP2" s="7"/>
      <c r="BQ2" s="7"/>
      <c r="BR2" s="7"/>
      <c r="BS2" s="7"/>
      <c r="BT2" s="7"/>
      <c r="BU2" s="7"/>
      <c r="BV2" s="7"/>
      <c r="BW2" s="7"/>
      <c r="BX2" s="7"/>
      <c r="BY2" s="7"/>
      <c r="BZ2" s="7"/>
      <c r="CA2" s="7"/>
      <c r="CB2" s="7"/>
      <c r="CC2" s="7"/>
      <c r="CD2" s="7"/>
      <c r="CE2" s="7"/>
      <c r="CF2" s="7"/>
      <c r="CG2" s="7"/>
      <c r="CH2" s="7"/>
      <c r="CI2" s="7"/>
      <c r="CJ2" s="7"/>
      <c r="CK2" s="7"/>
      <c r="CL2" s="7"/>
      <c r="CM2" s="7"/>
      <c r="CN2" s="7"/>
      <c r="CO2" s="7"/>
      <c r="CP2" s="7"/>
      <c r="CQ2" s="7"/>
      <c r="CR2" s="7"/>
      <c r="CS2" s="7"/>
      <c r="CT2" s="7"/>
      <c r="CU2" s="7"/>
      <c r="CV2" s="7"/>
      <c r="CW2" s="7"/>
      <c r="CX2" s="7"/>
      <c r="CY2" s="7"/>
      <c r="CZ2" s="7"/>
      <c r="DA2" s="7"/>
      <c r="DB2" s="7"/>
      <c r="DC2" s="7"/>
      <c r="DD2" s="7"/>
      <c r="DE2" s="7"/>
      <c r="DF2" s="7"/>
      <c r="DG2" s="7"/>
      <c r="DH2" s="7"/>
      <c r="DI2" s="7"/>
      <c r="DJ2" s="7"/>
      <c r="DK2" s="7"/>
      <c r="DL2" s="7"/>
      <c r="DM2" s="7"/>
      <c r="DN2" s="7"/>
      <c r="DO2" s="7"/>
      <c r="DP2" s="7"/>
      <c r="DQ2" s="7"/>
      <c r="DR2" s="7"/>
      <c r="DS2" s="7"/>
      <c r="DT2" s="7"/>
      <c r="DU2" s="7"/>
      <c r="DV2" s="7"/>
      <c r="DW2" s="7"/>
      <c r="DX2" s="7"/>
      <c r="DY2" s="7"/>
      <c r="DZ2" s="7"/>
      <c r="EA2" s="7"/>
      <c r="EB2" s="7"/>
      <c r="EC2" s="7"/>
      <c r="ED2" s="7"/>
      <c r="EE2" s="7"/>
      <c r="EF2" s="7"/>
      <c r="EG2" s="7"/>
      <c r="EH2" s="7"/>
      <c r="EI2" s="7"/>
      <c r="EJ2" s="7"/>
      <c r="EK2" s="7"/>
      <c r="EL2" s="7"/>
      <c r="EM2" s="7"/>
      <c r="EN2" s="7"/>
      <c r="EO2" s="7"/>
      <c r="EP2" s="7"/>
      <c r="EQ2" s="7"/>
      <c r="ER2" s="7"/>
      <c r="ES2" s="7"/>
      <c r="ET2" s="7"/>
      <c r="EU2" s="7"/>
      <c r="EV2" s="7"/>
      <c r="EW2" s="7"/>
      <c r="EX2" s="7"/>
      <c r="EY2" s="7"/>
      <c r="EZ2" s="7"/>
      <c r="FA2" s="7"/>
      <c r="FB2" s="7"/>
      <c r="FC2" s="7"/>
      <c r="FD2" s="7"/>
      <c r="FE2" s="7"/>
      <c r="FF2" s="7"/>
      <c r="FG2" s="7"/>
      <c r="FH2" s="7"/>
      <c r="FI2" s="7"/>
      <c r="FJ2" s="7"/>
      <c r="FK2" s="7"/>
      <c r="FL2" s="7"/>
      <c r="FM2" s="7"/>
      <c r="FN2" s="7"/>
      <c r="FO2" s="7"/>
      <c r="FP2" s="7"/>
    </row>
    <row r="3" spans="1:180">
      <c r="A3" s="4"/>
      <c r="B3" s="9" t="str">
        <f>Sheet1!A3</f>
        <v>Year</v>
      </c>
      <c r="C3" s="10" t="e">
        <f>Sheet1!#REF!</f>
        <v>#REF!</v>
      </c>
      <c r="D3" s="10" t="e">
        <f>Sheet1!#REF!</f>
        <v>#REF!</v>
      </c>
      <c r="E3" s="96">
        <v>2023</v>
      </c>
      <c r="F3" s="97"/>
      <c r="G3" s="97"/>
      <c r="H3" s="97"/>
      <c r="I3" s="97"/>
      <c r="J3" s="97"/>
      <c r="K3" s="97"/>
      <c r="L3" s="97"/>
      <c r="M3" s="97"/>
      <c r="N3" s="97"/>
      <c r="O3" s="97"/>
      <c r="P3" s="97"/>
      <c r="Q3" s="97"/>
      <c r="R3" s="97"/>
      <c r="S3" s="97"/>
      <c r="T3" s="97"/>
      <c r="U3" s="97"/>
      <c r="V3" s="97"/>
      <c r="W3" s="97"/>
      <c r="X3" s="97"/>
      <c r="Y3" s="97"/>
      <c r="Z3" s="97"/>
      <c r="AA3" s="97"/>
      <c r="AB3" s="97"/>
      <c r="AC3" s="97"/>
      <c r="AD3" s="97"/>
      <c r="AE3" s="97"/>
      <c r="AF3" s="98"/>
      <c r="AG3" s="11">
        <v>2024</v>
      </c>
      <c r="AH3" s="11">
        <v>2024</v>
      </c>
      <c r="AI3" s="11">
        <v>2024</v>
      </c>
      <c r="AJ3" s="11">
        <v>2024</v>
      </c>
      <c r="AK3" s="11">
        <v>2024</v>
      </c>
      <c r="AL3" s="11">
        <v>2024</v>
      </c>
      <c r="AM3" s="11">
        <v>2024</v>
      </c>
      <c r="AN3" s="11">
        <v>2024</v>
      </c>
      <c r="AO3" s="11">
        <v>2024</v>
      </c>
      <c r="AP3" s="11">
        <v>2024</v>
      </c>
      <c r="AQ3" s="11">
        <v>2024</v>
      </c>
      <c r="AR3" s="11">
        <v>2024</v>
      </c>
      <c r="AS3" s="11">
        <v>2024</v>
      </c>
      <c r="AT3" s="11">
        <v>2024</v>
      </c>
      <c r="AU3" s="11">
        <v>2024</v>
      </c>
      <c r="AV3" s="11">
        <v>2024</v>
      </c>
      <c r="AW3" s="11">
        <v>2024</v>
      </c>
      <c r="AX3" s="11">
        <v>2024</v>
      </c>
      <c r="AY3" s="11">
        <v>2024</v>
      </c>
      <c r="AZ3" s="11">
        <v>2024</v>
      </c>
      <c r="BA3" s="11">
        <v>2024</v>
      </c>
      <c r="BB3" s="11">
        <v>2024</v>
      </c>
      <c r="BC3" s="11">
        <v>2024</v>
      </c>
      <c r="BD3" s="11">
        <v>2024</v>
      </c>
      <c r="BE3" s="11">
        <v>2024</v>
      </c>
      <c r="BF3" s="11">
        <v>2024</v>
      </c>
      <c r="BG3" s="11">
        <v>2024</v>
      </c>
      <c r="BH3" s="11">
        <v>2024</v>
      </c>
      <c r="BI3" s="11">
        <v>2024</v>
      </c>
      <c r="BJ3" s="11">
        <v>2024</v>
      </c>
      <c r="BK3" s="11">
        <v>2024</v>
      </c>
      <c r="BL3" s="11">
        <v>2024</v>
      </c>
      <c r="BM3" s="11">
        <v>2024</v>
      </c>
      <c r="BN3" s="11">
        <v>2024</v>
      </c>
      <c r="BO3" s="11">
        <v>2024</v>
      </c>
      <c r="BP3" s="11">
        <v>2024</v>
      </c>
      <c r="BQ3" s="11">
        <v>2024</v>
      </c>
      <c r="BR3" s="11">
        <v>2024</v>
      </c>
      <c r="BS3" s="11">
        <v>2024</v>
      </c>
      <c r="BT3" s="11">
        <v>2024</v>
      </c>
      <c r="BU3" s="11">
        <v>2024</v>
      </c>
      <c r="BV3" s="11">
        <v>2024</v>
      </c>
      <c r="BW3" s="11">
        <v>2024</v>
      </c>
      <c r="BX3" s="11">
        <v>2024</v>
      </c>
      <c r="BY3" s="11">
        <v>2024</v>
      </c>
      <c r="BZ3" s="11">
        <v>2024</v>
      </c>
      <c r="CA3" s="11">
        <v>2024</v>
      </c>
      <c r="CB3" s="11">
        <v>2024</v>
      </c>
      <c r="CC3" s="11">
        <v>2024</v>
      </c>
      <c r="CD3" s="11">
        <v>2024</v>
      </c>
      <c r="CE3" s="11">
        <v>2025</v>
      </c>
      <c r="CF3" s="11">
        <v>2025</v>
      </c>
      <c r="CG3" s="11">
        <v>2025</v>
      </c>
      <c r="CH3" s="11">
        <v>2025</v>
      </c>
      <c r="CI3" s="11">
        <v>2025</v>
      </c>
      <c r="CJ3" s="11">
        <f>Sheet1!DC3</f>
        <v>2025</v>
      </c>
      <c r="CK3" s="11">
        <f>Sheet1!DD3</f>
        <v>2025</v>
      </c>
      <c r="CL3" s="11">
        <f>Sheet1!DE3</f>
        <v>2025</v>
      </c>
      <c r="CM3" s="11">
        <f>Sheet1!DF3</f>
        <v>2025</v>
      </c>
      <c r="CN3" s="11">
        <f>Sheet1!DG3</f>
        <v>2025</v>
      </c>
      <c r="CO3" s="11">
        <f>Sheet1!DH3</f>
        <v>2025</v>
      </c>
      <c r="CP3" s="11">
        <f>Sheet1!DI3</f>
        <v>2025</v>
      </c>
      <c r="CQ3" s="11">
        <f>Sheet1!DJ3</f>
        <v>2025</v>
      </c>
      <c r="CR3" s="11">
        <f>Sheet1!DK3</f>
        <v>2025</v>
      </c>
      <c r="CS3" s="11">
        <f>Sheet1!DL3</f>
        <v>2025</v>
      </c>
      <c r="CT3" s="11">
        <f>Sheet1!DM3</f>
        <v>2025</v>
      </c>
      <c r="CU3" s="11">
        <f>Sheet1!DN3</f>
        <v>2025</v>
      </c>
      <c r="CV3" s="11">
        <f>Sheet1!DO3</f>
        <v>2025</v>
      </c>
      <c r="CW3" s="11">
        <f>Sheet1!DP3</f>
        <v>2025</v>
      </c>
      <c r="CX3" s="11">
        <f>Sheet1!DQ3</f>
        <v>2025</v>
      </c>
      <c r="CY3" s="11">
        <f>Sheet1!DR3</f>
        <v>2025</v>
      </c>
      <c r="CZ3" s="11">
        <f>Sheet1!DS3</f>
        <v>2025</v>
      </c>
      <c r="DA3" s="11">
        <f>Sheet1!DT3</f>
        <v>2025</v>
      </c>
      <c r="DB3" s="11">
        <f>Sheet1!DU3</f>
        <v>2025</v>
      </c>
      <c r="DC3" s="11">
        <f>Sheet1!DV3</f>
        <v>2025</v>
      </c>
      <c r="DD3" s="11">
        <f>Sheet1!DW3</f>
        <v>2025</v>
      </c>
      <c r="DE3" s="11">
        <f>Sheet1!DX3</f>
        <v>2025</v>
      </c>
      <c r="DF3" s="11">
        <f>Sheet1!DY3</f>
        <v>2025</v>
      </c>
      <c r="DG3" s="11">
        <v>2025</v>
      </c>
      <c r="DH3" s="11">
        <v>2025</v>
      </c>
      <c r="DI3" s="11">
        <v>2025</v>
      </c>
      <c r="DJ3" s="11">
        <v>2025</v>
      </c>
      <c r="DK3" s="11">
        <v>2025</v>
      </c>
      <c r="DL3" s="11">
        <v>2025</v>
      </c>
      <c r="DM3" s="11">
        <v>2025</v>
      </c>
      <c r="DN3" s="11">
        <v>2025</v>
      </c>
      <c r="DO3" s="11">
        <v>2025</v>
      </c>
      <c r="DP3" s="11">
        <v>2025</v>
      </c>
      <c r="DQ3" s="11">
        <v>2025</v>
      </c>
      <c r="DR3" s="11">
        <v>2025</v>
      </c>
      <c r="DS3" s="11">
        <v>2025</v>
      </c>
      <c r="DT3" s="11">
        <v>2025</v>
      </c>
      <c r="DU3" s="11">
        <v>2025</v>
      </c>
      <c r="DV3" s="11">
        <v>2025</v>
      </c>
      <c r="DW3" s="11">
        <v>2025</v>
      </c>
      <c r="DX3" s="11">
        <v>2025</v>
      </c>
      <c r="DY3" s="11">
        <v>2025</v>
      </c>
      <c r="DZ3" s="11">
        <v>2025</v>
      </c>
      <c r="EA3" s="11">
        <v>2025</v>
      </c>
      <c r="EB3" s="11">
        <v>2025</v>
      </c>
      <c r="EC3" s="11">
        <v>2025</v>
      </c>
      <c r="ED3" s="12">
        <v>2026</v>
      </c>
      <c r="EE3" s="13">
        <v>2026</v>
      </c>
      <c r="EF3" s="13">
        <v>2026</v>
      </c>
      <c r="EG3" s="13">
        <v>2026</v>
      </c>
      <c r="EH3" s="13">
        <v>2026</v>
      </c>
      <c r="EI3" s="13">
        <v>2026</v>
      </c>
      <c r="EJ3" s="13">
        <v>2026</v>
      </c>
      <c r="EK3" s="13">
        <v>2026</v>
      </c>
      <c r="EL3" s="13">
        <v>2026</v>
      </c>
      <c r="EM3" s="13">
        <v>2026</v>
      </c>
      <c r="EN3" s="13">
        <v>2026</v>
      </c>
      <c r="EO3" s="13">
        <v>2026</v>
      </c>
      <c r="EP3" s="13">
        <v>2026</v>
      </c>
      <c r="EQ3" s="13">
        <v>2026</v>
      </c>
      <c r="ER3" s="13">
        <v>2026</v>
      </c>
      <c r="ES3" s="13">
        <v>2026</v>
      </c>
      <c r="ET3" s="13">
        <v>2026</v>
      </c>
      <c r="EU3" s="13">
        <v>2026</v>
      </c>
      <c r="EV3" s="13">
        <v>2026</v>
      </c>
      <c r="EW3" s="13">
        <v>2026</v>
      </c>
      <c r="EX3" s="13">
        <v>2026</v>
      </c>
      <c r="EY3" s="13">
        <v>2026</v>
      </c>
      <c r="EZ3" s="13">
        <v>2026</v>
      </c>
      <c r="FA3" s="13">
        <v>2026</v>
      </c>
      <c r="FB3" s="13">
        <v>2026</v>
      </c>
      <c r="FC3" s="13">
        <v>2026</v>
      </c>
      <c r="FD3" s="13">
        <v>2026</v>
      </c>
      <c r="FE3" s="13">
        <v>2026</v>
      </c>
      <c r="FF3" s="13">
        <v>2026</v>
      </c>
      <c r="FG3" s="13">
        <v>2026</v>
      </c>
      <c r="FH3" s="13">
        <v>2026</v>
      </c>
      <c r="FI3" s="13">
        <v>2026</v>
      </c>
      <c r="FJ3" s="13">
        <v>2026</v>
      </c>
      <c r="FK3" s="13">
        <v>2026</v>
      </c>
      <c r="FL3" s="13">
        <v>2026</v>
      </c>
      <c r="FM3" s="13">
        <v>2026</v>
      </c>
      <c r="FN3" s="13">
        <v>2026</v>
      </c>
      <c r="FO3" s="13">
        <v>2026</v>
      </c>
      <c r="FP3" s="13">
        <v>2026</v>
      </c>
    </row>
    <row r="4" spans="1:180">
      <c r="A4" s="4"/>
      <c r="B4" s="14" t="str">
        <f>Sheet1!A4</f>
        <v>Week</v>
      </c>
      <c r="C4" s="15" t="e">
        <f>Sheet1!#REF!</f>
        <v>#REF!</v>
      </c>
      <c r="D4" s="15" t="e">
        <f>Sheet1!#REF!</f>
        <v>#REF!</v>
      </c>
      <c r="E4" s="16">
        <v>25</v>
      </c>
      <c r="F4" s="16">
        <v>26</v>
      </c>
      <c r="G4" s="16">
        <v>27</v>
      </c>
      <c r="H4" s="16">
        <v>28</v>
      </c>
      <c r="I4" s="16">
        <v>29</v>
      </c>
      <c r="J4" s="16">
        <v>30</v>
      </c>
      <c r="K4" s="16">
        <v>31</v>
      </c>
      <c r="L4" s="16">
        <v>32</v>
      </c>
      <c r="M4" s="16">
        <v>33</v>
      </c>
      <c r="N4" s="16">
        <v>34</v>
      </c>
      <c r="O4" s="16">
        <v>35</v>
      </c>
      <c r="P4" s="16">
        <v>36</v>
      </c>
      <c r="Q4" s="16">
        <v>37</v>
      </c>
      <c r="R4" s="16">
        <v>38</v>
      </c>
      <c r="S4" s="16">
        <v>39</v>
      </c>
      <c r="T4" s="16">
        <v>40</v>
      </c>
      <c r="U4" s="16">
        <v>41</v>
      </c>
      <c r="V4" s="16">
        <v>42</v>
      </c>
      <c r="W4" s="16">
        <v>43</v>
      </c>
      <c r="X4" s="16">
        <v>44</v>
      </c>
      <c r="Y4" s="16">
        <v>45</v>
      </c>
      <c r="Z4" s="16">
        <v>46</v>
      </c>
      <c r="AA4" s="16">
        <v>47</v>
      </c>
      <c r="AB4" s="16">
        <v>48</v>
      </c>
      <c r="AC4" s="16">
        <v>49</v>
      </c>
      <c r="AD4" s="16">
        <v>50</v>
      </c>
      <c r="AE4" s="16">
        <v>51</v>
      </c>
      <c r="AF4" s="12">
        <v>52</v>
      </c>
      <c r="AG4" s="12">
        <v>1</v>
      </c>
      <c r="AH4" s="12">
        <v>2</v>
      </c>
      <c r="AI4" s="12">
        <v>3</v>
      </c>
      <c r="AJ4" s="12">
        <v>4</v>
      </c>
      <c r="AK4" s="12">
        <v>5</v>
      </c>
      <c r="AL4" s="12">
        <v>6</v>
      </c>
      <c r="AM4" s="12">
        <v>7</v>
      </c>
      <c r="AN4" s="12">
        <v>8</v>
      </c>
      <c r="AO4" s="12">
        <v>9</v>
      </c>
      <c r="AP4" s="12">
        <v>10</v>
      </c>
      <c r="AQ4" s="12">
        <v>11</v>
      </c>
      <c r="AR4" s="12">
        <v>12</v>
      </c>
      <c r="AS4" s="12">
        <v>13</v>
      </c>
      <c r="AT4" s="12">
        <v>14</v>
      </c>
      <c r="AU4" s="12">
        <v>15</v>
      </c>
      <c r="AV4" s="12">
        <v>16</v>
      </c>
      <c r="AW4" s="12">
        <v>17</v>
      </c>
      <c r="AX4" s="12">
        <v>18</v>
      </c>
      <c r="AY4" s="12">
        <v>19</v>
      </c>
      <c r="AZ4" s="12">
        <v>20</v>
      </c>
      <c r="BA4" s="12">
        <v>21</v>
      </c>
      <c r="BB4" s="12">
        <v>22</v>
      </c>
      <c r="BC4" s="12">
        <v>23</v>
      </c>
      <c r="BD4" s="12">
        <v>24</v>
      </c>
      <c r="BE4" s="12">
        <v>25</v>
      </c>
      <c r="BF4" s="12">
        <v>26</v>
      </c>
      <c r="BG4" s="12">
        <v>27</v>
      </c>
      <c r="BH4" s="12">
        <v>28</v>
      </c>
      <c r="BI4" s="12">
        <v>29</v>
      </c>
      <c r="BJ4" s="12">
        <v>30</v>
      </c>
      <c r="BK4" s="12">
        <v>31</v>
      </c>
      <c r="BL4" s="12">
        <v>32</v>
      </c>
      <c r="BM4" s="12">
        <v>33</v>
      </c>
      <c r="BN4" s="12">
        <v>34</v>
      </c>
      <c r="BO4" s="12">
        <v>35</v>
      </c>
      <c r="BP4" s="12" t="s">
        <v>240</v>
      </c>
      <c r="BQ4" s="12">
        <v>36</v>
      </c>
      <c r="BR4" s="12">
        <v>37</v>
      </c>
      <c r="BS4" s="12">
        <v>38</v>
      </c>
      <c r="BT4" s="12">
        <v>39</v>
      </c>
      <c r="BU4" s="12">
        <v>40</v>
      </c>
      <c r="BV4" s="12">
        <v>41</v>
      </c>
      <c r="BW4" s="12">
        <v>42</v>
      </c>
      <c r="BX4" s="12">
        <v>43</v>
      </c>
      <c r="BY4" s="12">
        <v>44</v>
      </c>
      <c r="BZ4" s="12">
        <v>45</v>
      </c>
      <c r="CA4" s="12">
        <v>46</v>
      </c>
      <c r="CB4" s="12">
        <v>47</v>
      </c>
      <c r="CC4" s="12">
        <v>48</v>
      </c>
      <c r="CD4" s="12">
        <v>49</v>
      </c>
      <c r="CE4" s="12">
        <v>1</v>
      </c>
      <c r="CF4" s="12">
        <v>2</v>
      </c>
      <c r="CG4" s="12">
        <v>3</v>
      </c>
      <c r="CH4" s="12">
        <v>4</v>
      </c>
      <c r="CI4" s="12">
        <v>6</v>
      </c>
      <c r="CJ4" s="12">
        <v>7</v>
      </c>
      <c r="CK4" s="12">
        <v>8</v>
      </c>
      <c r="CL4" s="12">
        <v>9</v>
      </c>
      <c r="CM4" s="12">
        <v>10</v>
      </c>
      <c r="CN4" s="12">
        <v>11</v>
      </c>
      <c r="CO4" s="12">
        <v>12</v>
      </c>
      <c r="CP4" s="12">
        <v>13</v>
      </c>
      <c r="CQ4" s="12">
        <v>14</v>
      </c>
      <c r="CR4" s="12">
        <v>15</v>
      </c>
      <c r="CS4" s="12">
        <v>16</v>
      </c>
      <c r="CT4" s="12">
        <v>17</v>
      </c>
      <c r="CU4" s="12">
        <v>18</v>
      </c>
      <c r="CV4" s="12">
        <v>19</v>
      </c>
      <c r="CW4" s="12">
        <v>20</v>
      </c>
      <c r="CX4" s="12">
        <v>21</v>
      </c>
      <c r="CY4" s="12">
        <v>22</v>
      </c>
      <c r="CZ4" s="12">
        <v>23</v>
      </c>
      <c r="DA4" s="12">
        <v>24</v>
      </c>
      <c r="DB4" s="12">
        <v>25</v>
      </c>
      <c r="DC4" s="12">
        <v>26</v>
      </c>
      <c r="DD4" s="12">
        <v>27</v>
      </c>
      <c r="DE4" s="12">
        <v>28</v>
      </c>
      <c r="DF4" s="12">
        <v>29</v>
      </c>
      <c r="DG4" s="12">
        <v>30</v>
      </c>
      <c r="DH4" s="12">
        <v>31</v>
      </c>
      <c r="DI4" s="12">
        <v>32</v>
      </c>
      <c r="DJ4" s="12">
        <v>33</v>
      </c>
      <c r="DK4" s="12">
        <v>34</v>
      </c>
      <c r="DL4" s="12">
        <v>35</v>
      </c>
      <c r="DM4" s="12">
        <v>36</v>
      </c>
      <c r="DN4" s="12">
        <v>37</v>
      </c>
      <c r="DO4" s="12">
        <v>38</v>
      </c>
      <c r="DP4" s="12">
        <v>39</v>
      </c>
      <c r="DQ4" s="12">
        <v>41</v>
      </c>
      <c r="DR4" s="12">
        <v>42</v>
      </c>
      <c r="DS4" s="12">
        <v>43</v>
      </c>
      <c r="DT4" s="12">
        <v>44</v>
      </c>
      <c r="DU4" s="12">
        <v>45</v>
      </c>
      <c r="DV4" s="12">
        <v>46</v>
      </c>
      <c r="DW4" s="12">
        <v>47</v>
      </c>
      <c r="DX4" s="12">
        <v>48</v>
      </c>
      <c r="DY4" s="12">
        <v>49</v>
      </c>
      <c r="DZ4" s="12">
        <v>50</v>
      </c>
      <c r="EA4" s="12">
        <v>51</v>
      </c>
      <c r="EB4" s="12">
        <v>52</v>
      </c>
      <c r="EC4" s="12" t="s">
        <v>192</v>
      </c>
      <c r="ED4" s="12">
        <v>1</v>
      </c>
      <c r="EE4" s="12">
        <v>2</v>
      </c>
      <c r="EF4" s="12">
        <v>3</v>
      </c>
      <c r="EG4" s="12">
        <v>4</v>
      </c>
      <c r="EH4" s="12">
        <v>5</v>
      </c>
      <c r="EI4" s="12">
        <v>6</v>
      </c>
      <c r="EJ4" s="12">
        <v>8</v>
      </c>
      <c r="EK4" s="12">
        <v>9</v>
      </c>
      <c r="EL4" s="12">
        <v>10</v>
      </c>
      <c r="EM4" s="12">
        <v>11</v>
      </c>
      <c r="EN4" s="12">
        <v>12</v>
      </c>
      <c r="EO4" s="12">
        <v>13</v>
      </c>
      <c r="EP4" s="12">
        <v>14</v>
      </c>
      <c r="EQ4" s="12">
        <v>15</v>
      </c>
      <c r="ER4" s="12">
        <v>16</v>
      </c>
      <c r="ES4" s="12">
        <v>17</v>
      </c>
      <c r="ET4" s="12">
        <v>18</v>
      </c>
      <c r="EU4" s="12">
        <v>19</v>
      </c>
      <c r="EV4" s="12">
        <v>20</v>
      </c>
      <c r="EW4" s="12">
        <v>21</v>
      </c>
      <c r="EX4" s="12">
        <v>22</v>
      </c>
      <c r="EY4" s="12">
        <v>23</v>
      </c>
      <c r="EZ4" s="12">
        <v>24</v>
      </c>
      <c r="FA4" s="12">
        <v>25</v>
      </c>
      <c r="FB4" s="12">
        <v>26</v>
      </c>
      <c r="FC4" s="12">
        <v>27</v>
      </c>
      <c r="FD4" s="12">
        <v>28</v>
      </c>
      <c r="FE4" s="12">
        <v>29</v>
      </c>
      <c r="FF4" s="12">
        <v>30</v>
      </c>
      <c r="FG4" s="12">
        <v>31</v>
      </c>
      <c r="FH4" s="12">
        <v>32</v>
      </c>
      <c r="FI4" s="12">
        <v>33</v>
      </c>
      <c r="FJ4" s="12">
        <v>34</v>
      </c>
      <c r="FK4" s="12">
        <v>35</v>
      </c>
      <c r="FL4" s="12">
        <v>36</v>
      </c>
      <c r="FM4" s="12">
        <v>37</v>
      </c>
      <c r="FN4" s="12" t="str">
        <f>Sheet1!GG4</f>
        <v>WoW (%)</v>
      </c>
      <c r="FO4" s="12" t="s">
        <v>194</v>
      </c>
      <c r="FP4" s="12" t="str">
        <f>Sheet1!GI4</f>
        <v>YtD (%)</v>
      </c>
    </row>
    <row r="5" spans="1:180">
      <c r="A5" s="4"/>
      <c r="B5" s="17" t="s">
        <v>196</v>
      </c>
      <c r="C5" s="18"/>
      <c r="D5" s="18"/>
      <c r="E5" s="15"/>
      <c r="F5" s="15"/>
      <c r="G5" s="15"/>
      <c r="H5" s="15"/>
      <c r="I5" s="15"/>
      <c r="J5" s="15"/>
      <c r="K5" s="15"/>
      <c r="L5" s="15"/>
      <c r="M5" s="15"/>
      <c r="N5" s="15"/>
      <c r="O5" s="15"/>
      <c r="P5" s="15"/>
      <c r="Q5" s="15"/>
      <c r="R5" s="15"/>
      <c r="S5" s="15"/>
      <c r="T5" s="15"/>
      <c r="U5" s="15"/>
      <c r="V5" s="15"/>
      <c r="W5" s="15"/>
      <c r="X5" s="15"/>
      <c r="Y5" s="15"/>
      <c r="Z5" s="15"/>
      <c r="AA5" s="19"/>
      <c r="AB5" s="15"/>
      <c r="AC5" s="15"/>
      <c r="AD5" s="15"/>
      <c r="AE5" s="15"/>
      <c r="AF5" s="15"/>
      <c r="AG5" s="15"/>
      <c r="AH5" s="15"/>
      <c r="AI5" s="15"/>
      <c r="AJ5" s="15"/>
      <c r="AK5" s="15"/>
      <c r="AL5" s="15"/>
      <c r="AM5" s="15"/>
      <c r="AN5" s="15"/>
      <c r="AO5" s="15"/>
      <c r="AP5" s="15"/>
      <c r="AQ5" s="15"/>
      <c r="AR5" s="15"/>
      <c r="AS5" s="15"/>
      <c r="AT5" s="15"/>
      <c r="AU5" s="15"/>
      <c r="AV5" s="15"/>
      <c r="AW5" s="15"/>
      <c r="AX5" s="15"/>
      <c r="AY5" s="15"/>
      <c r="AZ5" s="15"/>
      <c r="BA5" s="15"/>
      <c r="BB5" s="15"/>
      <c r="BC5" s="15"/>
      <c r="BD5" s="15"/>
      <c r="BE5" s="15"/>
      <c r="BF5" s="15"/>
      <c r="BG5" s="15"/>
      <c r="BH5" s="15"/>
      <c r="BI5" s="15"/>
      <c r="BJ5" s="15"/>
      <c r="BK5" s="15"/>
      <c r="BL5" s="15"/>
      <c r="BM5" s="15"/>
      <c r="BN5" s="15"/>
      <c r="BO5" s="15"/>
      <c r="BP5" s="15"/>
      <c r="BQ5" s="15"/>
      <c r="BR5" s="15"/>
      <c r="BS5" s="15"/>
      <c r="BT5" s="15"/>
      <c r="BU5" s="15"/>
      <c r="BV5" s="15"/>
      <c r="BW5" s="15"/>
      <c r="BX5" s="15"/>
      <c r="BY5" s="15"/>
      <c r="BZ5" s="15"/>
      <c r="CA5" s="15"/>
      <c r="CB5" s="15"/>
      <c r="CC5" s="15"/>
      <c r="CD5" s="15"/>
      <c r="CE5" s="15"/>
      <c r="CF5" s="15"/>
      <c r="CG5" s="15"/>
      <c r="CH5" s="15"/>
      <c r="CI5" s="15"/>
      <c r="CJ5" s="15"/>
      <c r="CK5" s="15"/>
      <c r="CL5" s="15"/>
      <c r="CM5" s="15"/>
      <c r="CN5" s="15"/>
      <c r="CO5" s="15"/>
      <c r="CP5" s="15"/>
      <c r="CQ5" s="15"/>
      <c r="CR5" s="15"/>
      <c r="CS5" s="15"/>
      <c r="CT5" s="15"/>
      <c r="CU5" s="15"/>
      <c r="CV5" s="15"/>
      <c r="CW5" s="15"/>
      <c r="CX5" s="15"/>
      <c r="CY5" s="15"/>
      <c r="CZ5" s="15"/>
      <c r="DA5" s="15"/>
      <c r="DB5" s="15"/>
      <c r="DC5" s="15"/>
      <c r="DD5" s="15"/>
      <c r="DE5" s="15"/>
      <c r="DF5" s="15"/>
      <c r="DG5" s="15"/>
      <c r="DH5" s="15"/>
      <c r="DI5" s="15"/>
      <c r="DJ5" s="15"/>
      <c r="DK5" s="15"/>
      <c r="DL5" s="15"/>
      <c r="DM5" s="15"/>
      <c r="DN5" s="15"/>
      <c r="DO5" s="15"/>
      <c r="DP5" s="15"/>
      <c r="DQ5" s="15"/>
      <c r="DR5" s="15"/>
      <c r="DS5" s="15"/>
      <c r="DT5" s="15"/>
      <c r="DU5" s="15"/>
      <c r="DV5" s="15"/>
      <c r="DW5" s="15"/>
      <c r="DX5" s="15"/>
      <c r="DY5" s="15"/>
      <c r="DZ5" s="15"/>
      <c r="EA5" s="15"/>
      <c r="EB5" s="15"/>
      <c r="EC5" s="15"/>
      <c r="ED5" s="15"/>
      <c r="EE5" s="15"/>
      <c r="EF5" s="15"/>
      <c r="EG5" s="15"/>
      <c r="EH5" s="15"/>
      <c r="EI5" s="15"/>
      <c r="EJ5" s="15"/>
      <c r="EK5" s="15"/>
      <c r="EL5" s="15"/>
      <c r="EM5" s="15"/>
      <c r="EN5" s="15"/>
      <c r="EO5" s="15"/>
      <c r="EP5" s="15"/>
      <c r="EQ5" s="15"/>
      <c r="ER5" s="15"/>
      <c r="ES5" s="15"/>
      <c r="ET5" s="15"/>
      <c r="EU5" s="15"/>
      <c r="EV5" s="15"/>
      <c r="EW5" s="15"/>
      <c r="EX5" s="15"/>
      <c r="EY5" s="15"/>
      <c r="EZ5" s="15"/>
      <c r="FA5" s="15"/>
      <c r="FB5" s="15"/>
      <c r="FC5" s="15"/>
      <c r="FD5" s="15"/>
      <c r="FE5" s="15"/>
      <c r="FF5" s="15"/>
      <c r="FG5" s="15"/>
      <c r="FH5" s="15"/>
      <c r="FI5" s="15"/>
      <c r="FJ5" s="15"/>
      <c r="FK5" s="15"/>
      <c r="FL5" s="15"/>
      <c r="FM5" s="15"/>
      <c r="FN5" s="15"/>
      <c r="FO5" s="15"/>
      <c r="FP5" s="15"/>
    </row>
    <row r="6" spans="1:180">
      <c r="A6" s="4"/>
      <c r="B6" s="20" t="s">
        <v>241</v>
      </c>
      <c r="C6" s="21"/>
      <c r="D6" s="21"/>
      <c r="E6" s="15"/>
      <c r="F6" s="15"/>
      <c r="G6" s="15"/>
      <c r="H6" s="15">
        <v>74.5</v>
      </c>
      <c r="I6" s="15">
        <v>76</v>
      </c>
      <c r="J6" s="15">
        <v>76.3</v>
      </c>
      <c r="K6" s="15">
        <v>80</v>
      </c>
      <c r="L6" s="15">
        <v>80.2</v>
      </c>
      <c r="M6" s="15">
        <v>84</v>
      </c>
      <c r="N6" s="15">
        <v>86</v>
      </c>
      <c r="O6" s="15">
        <v>90</v>
      </c>
      <c r="P6" s="15">
        <v>92</v>
      </c>
      <c r="Q6" s="15">
        <v>92</v>
      </c>
      <c r="R6" s="15">
        <v>92</v>
      </c>
      <c r="S6" s="15">
        <v>92</v>
      </c>
      <c r="T6" s="15">
        <v>92</v>
      </c>
      <c r="U6" s="15">
        <v>92</v>
      </c>
      <c r="V6" s="15">
        <v>92</v>
      </c>
      <c r="W6" s="15">
        <v>85</v>
      </c>
      <c r="X6" s="15">
        <v>75</v>
      </c>
      <c r="Y6" s="15">
        <v>72</v>
      </c>
      <c r="Z6" s="15">
        <v>69</v>
      </c>
      <c r="AA6" s="19">
        <v>68.5</v>
      </c>
      <c r="AB6" s="19">
        <v>68</v>
      </c>
      <c r="AC6" s="19">
        <v>67</v>
      </c>
      <c r="AD6" s="19">
        <v>67</v>
      </c>
      <c r="AE6" s="19">
        <v>67</v>
      </c>
      <c r="AF6" s="22">
        <f>Sheet1!AY6</f>
        <v>67</v>
      </c>
      <c r="AG6" s="22">
        <f>Sheet1!AZ6</f>
        <v>67</v>
      </c>
      <c r="AH6" s="22">
        <f>Sheet1!BA6</f>
        <v>67</v>
      </c>
      <c r="AI6" s="22">
        <f>Sheet1!BB6</f>
        <v>69.5</v>
      </c>
      <c r="AJ6" s="22">
        <f>Sheet1!BC6</f>
        <v>69.5</v>
      </c>
      <c r="AK6" s="22">
        <f>Sheet1!BD6</f>
        <v>69.5</v>
      </c>
      <c r="AL6" s="22">
        <f>Sheet1!BE6</f>
        <v>69.5</v>
      </c>
      <c r="AM6" s="22">
        <f>Sheet1!BF6</f>
        <v>69.5</v>
      </c>
      <c r="AN6" s="22">
        <f>Sheet1!BG6</f>
        <v>69.5</v>
      </c>
      <c r="AO6" s="22">
        <f>Sheet1!BH6</f>
        <v>69.5</v>
      </c>
      <c r="AP6" s="22">
        <f>Sheet1!BI6</f>
        <v>69.5</v>
      </c>
      <c r="AQ6" s="22">
        <f>Sheet1!BJ6</f>
        <v>69.5</v>
      </c>
      <c r="AR6" s="22">
        <f>Sheet1!BK6</f>
        <v>69.5</v>
      </c>
      <c r="AS6" s="22">
        <f>Sheet1!BL6</f>
        <v>69.5</v>
      </c>
      <c r="AT6" s="22">
        <f>Sheet1!BM6</f>
        <v>60</v>
      </c>
      <c r="AU6" s="22">
        <f>Sheet1!BN6</f>
        <v>57</v>
      </c>
      <c r="AV6" s="22">
        <f>Sheet1!BO6</f>
        <v>48</v>
      </c>
      <c r="AW6" s="22">
        <f>Sheet1!BP6</f>
        <v>42</v>
      </c>
      <c r="AX6" s="22">
        <f>Sheet1!BQ6</f>
        <v>41</v>
      </c>
      <c r="AY6" s="22">
        <f>Sheet1!BR6</f>
        <v>41</v>
      </c>
      <c r="AZ6" s="22">
        <f>Sheet1!BS6</f>
        <v>39.5</v>
      </c>
      <c r="BA6" s="22">
        <f>Sheet1!BT6</f>
        <v>39.5</v>
      </c>
      <c r="BB6" s="22">
        <f>Sheet1!BU6</f>
        <v>39.5</v>
      </c>
      <c r="BC6" s="22">
        <f>Sheet1!BV6</f>
        <v>37.5</v>
      </c>
      <c r="BD6" s="22">
        <f>Sheet1!BW6</f>
        <v>37.5</v>
      </c>
      <c r="BE6" s="22">
        <f>Sheet1!BX6</f>
        <v>37.5</v>
      </c>
      <c r="BF6" s="22">
        <f>Sheet1!BY6</f>
        <v>37.5</v>
      </c>
      <c r="BG6" s="22">
        <f>Sheet1!BZ6</f>
        <v>37.5</v>
      </c>
      <c r="BH6" s="22">
        <f>Sheet1!CA6</f>
        <v>37.5</v>
      </c>
      <c r="BI6" s="22">
        <f>Sheet1!CB6</f>
        <v>37.5</v>
      </c>
      <c r="BJ6" s="22">
        <f>Sheet1!CC6</f>
        <v>37.5</v>
      </c>
      <c r="BK6" s="22">
        <f>Sheet1!CD6</f>
        <v>37.5</v>
      </c>
      <c r="BL6" s="22">
        <f>Sheet1!CE6</f>
        <v>37.5</v>
      </c>
      <c r="BM6" s="22">
        <f>Sheet1!CF6</f>
        <v>37.5</v>
      </c>
      <c r="BN6" s="22">
        <f>Sheet1!CG6</f>
        <v>38.5</v>
      </c>
      <c r="BO6" s="22">
        <f>Sheet1!CH6</f>
        <v>38.5</v>
      </c>
      <c r="BP6" s="22">
        <f>Sheet1!CI6</f>
        <v>38.5</v>
      </c>
      <c r="BQ6" s="22">
        <f>Sheet1!CJ6</f>
        <v>38.5</v>
      </c>
      <c r="BR6" s="22">
        <f>Sheet1!CK6</f>
        <v>40</v>
      </c>
      <c r="BS6" s="22">
        <f>Sheet1!CL6</f>
        <v>40</v>
      </c>
      <c r="BT6" s="22">
        <f>Sheet1!CM6</f>
        <v>40</v>
      </c>
      <c r="BU6" s="22">
        <f>Sheet1!CN6</f>
        <v>40</v>
      </c>
      <c r="BV6" s="22">
        <f>Sheet1!CO6</f>
        <v>40</v>
      </c>
      <c r="BW6" s="22">
        <f>Sheet1!CP6</f>
        <v>40</v>
      </c>
      <c r="BX6" s="22">
        <f>Sheet1!CQ6</f>
        <v>40</v>
      </c>
      <c r="BY6" s="22">
        <f>Sheet1!CR6</f>
        <v>40</v>
      </c>
      <c r="BZ6" s="22">
        <f>Sheet1!CS6</f>
        <v>40</v>
      </c>
      <c r="CA6" s="22">
        <f>Sheet1!CT6</f>
        <v>40</v>
      </c>
      <c r="CB6" s="22">
        <f>Sheet1!CU6</f>
        <v>40</v>
      </c>
      <c r="CC6" s="22">
        <f>Sheet1!CV6</f>
        <v>40.5</v>
      </c>
      <c r="CD6" s="22">
        <f>Sheet1!CW6</f>
        <v>40.5</v>
      </c>
      <c r="CE6" s="22">
        <f>Sheet1!CX6</f>
        <v>40.5</v>
      </c>
      <c r="CF6" s="22">
        <f>Sheet1!CY6</f>
        <v>42</v>
      </c>
      <c r="CG6" s="22">
        <f>Sheet1!CZ6</f>
        <v>42</v>
      </c>
      <c r="CH6" s="22">
        <f>Sheet1!DA6</f>
        <v>42</v>
      </c>
      <c r="CI6" s="22">
        <f>Sheet1!DB6</f>
        <v>42</v>
      </c>
      <c r="CJ6" s="22">
        <f>Sheet1!DC6</f>
        <v>42</v>
      </c>
      <c r="CK6" s="22">
        <f>Sheet1!DD6</f>
        <v>42</v>
      </c>
      <c r="CL6" s="22">
        <f>Sheet1!DE6</f>
        <v>42</v>
      </c>
      <c r="CM6" s="22">
        <f>Sheet1!DF6</f>
        <v>42</v>
      </c>
      <c r="CN6" s="22">
        <f>Sheet1!DG6</f>
        <v>42</v>
      </c>
      <c r="CO6" s="22">
        <f>Sheet1!DH6</f>
        <v>42</v>
      </c>
      <c r="CP6" s="22">
        <f>Sheet1!DI6</f>
        <v>42</v>
      </c>
      <c r="CQ6" s="22">
        <f>Sheet1!DJ6</f>
        <v>42</v>
      </c>
      <c r="CR6" s="22">
        <f>Sheet1!DK6</f>
        <v>42</v>
      </c>
      <c r="CS6" s="22">
        <f>Sheet1!DL6</f>
        <v>42</v>
      </c>
      <c r="CT6" s="22">
        <f>Sheet1!DM6</f>
        <v>39.5</v>
      </c>
      <c r="CU6" s="22">
        <f>Sheet1!DN6</f>
        <v>39.5</v>
      </c>
      <c r="CV6" s="22">
        <f>Sheet1!DO6</f>
        <v>39.5</v>
      </c>
      <c r="CW6" s="22">
        <f>Sheet1!DP6</f>
        <v>39.5</v>
      </c>
      <c r="CX6" s="22">
        <f>Sheet1!DQ6</f>
        <v>38.5</v>
      </c>
      <c r="CY6" s="22">
        <f>Sheet1!DR6</f>
        <v>36.5</v>
      </c>
      <c r="CZ6" s="22">
        <f>Sheet1!DS6</f>
        <v>36.5</v>
      </c>
      <c r="DA6" s="22">
        <f>Sheet1!DT6</f>
        <v>36.5</v>
      </c>
      <c r="DB6" s="22">
        <f>Sheet1!DU6</f>
        <v>35.5</v>
      </c>
      <c r="DC6" s="22">
        <f>Sheet1!DV6</f>
        <v>35.5</v>
      </c>
      <c r="DD6" s="22">
        <f>Sheet1!DW6</f>
        <v>35.5</v>
      </c>
      <c r="DE6" s="22">
        <f>Sheet1!DX6</f>
        <v>36</v>
      </c>
      <c r="DF6" s="22">
        <f>Sheet1!DY6</f>
        <v>46</v>
      </c>
      <c r="DG6" s="22">
        <f>Sheet1!DZ6</f>
        <v>46</v>
      </c>
      <c r="DH6" s="22">
        <f>Sheet1!EA6</f>
        <v>48</v>
      </c>
      <c r="DI6" s="22">
        <f>Sheet1!EB6</f>
        <v>48</v>
      </c>
      <c r="DJ6" s="22">
        <f>Sheet1!EC6</f>
        <v>48</v>
      </c>
      <c r="DK6" s="22">
        <f>Sheet1!ED6</f>
        <v>48</v>
      </c>
      <c r="DL6" s="22">
        <f>Sheet1!EE6</f>
        <v>50</v>
      </c>
      <c r="DM6" s="22">
        <f>Sheet1!EF6</f>
        <v>50</v>
      </c>
      <c r="DN6" s="22">
        <f>Sheet1!EG6</f>
        <v>51</v>
      </c>
      <c r="DO6" s="22">
        <f>Sheet1!EH6</f>
        <v>51</v>
      </c>
      <c r="DP6" s="22">
        <f>Sheet1!EI6</f>
        <v>51.5</v>
      </c>
      <c r="DQ6" s="22">
        <f>Sheet1!EJ6</f>
        <v>52</v>
      </c>
      <c r="DR6" s="22">
        <f>Sheet1!EK6</f>
        <v>52.5</v>
      </c>
      <c r="DS6" s="22">
        <f>Sheet1!EL6</f>
        <v>52.5</v>
      </c>
      <c r="DT6" s="22">
        <f>Sheet1!EM6</f>
        <v>52.5</v>
      </c>
      <c r="DU6" s="22">
        <f>Sheet1!EN6</f>
        <v>52.5</v>
      </c>
      <c r="DV6" s="22">
        <f>Sheet1!EO6</f>
        <v>52.5</v>
      </c>
      <c r="DW6" s="22">
        <f>Sheet1!EP6</f>
        <v>52.5</v>
      </c>
      <c r="DX6" s="22">
        <f>Sheet1!EQ6</f>
        <v>52.5</v>
      </c>
      <c r="DY6" s="22">
        <f>Sheet1!ER6</f>
        <v>52.5</v>
      </c>
      <c r="DZ6" s="22">
        <f>Sheet1!ES6</f>
        <v>52.5</v>
      </c>
      <c r="EA6" s="22">
        <f>Sheet1!ET6</f>
        <v>52.5</v>
      </c>
      <c r="EB6" s="22">
        <f>Sheet1!EU6</f>
        <v>52.5</v>
      </c>
      <c r="EC6" s="22">
        <f>Sheet1!EV6</f>
        <v>52.5</v>
      </c>
      <c r="ED6" s="22">
        <f>Sheet1!EW6</f>
        <v>52.5</v>
      </c>
      <c r="EE6" s="22">
        <f>Sheet1!EX6</f>
        <v>52.5</v>
      </c>
      <c r="EF6" s="22">
        <f>Sheet1!EY6</f>
        <v>52.5</v>
      </c>
      <c r="EG6" s="22">
        <f>Sheet1!EZ6</f>
        <v>52.5</v>
      </c>
      <c r="EH6" s="22">
        <f>Sheet1!FA6</f>
        <v>52.5</v>
      </c>
      <c r="EI6" s="22">
        <f>Sheet1!FB6</f>
        <v>52.5</v>
      </c>
      <c r="EJ6" s="22">
        <f>Sheet1!FC6</f>
        <v>52.5</v>
      </c>
      <c r="EK6" s="22">
        <f>Sheet1!FD6</f>
        <v>48</v>
      </c>
      <c r="EL6" s="22">
        <f>Sheet1!FE6</f>
        <v>48</v>
      </c>
      <c r="EM6" s="22">
        <f>Sheet1!FF6</f>
        <v>43.5</v>
      </c>
      <c r="EN6" s="22">
        <f>Sheet1!FG6</f>
        <v>43.5</v>
      </c>
      <c r="EO6" s="22">
        <f>Sheet1!FH6</f>
        <v>39</v>
      </c>
      <c r="EP6" s="22">
        <f>Sheet1!FI6</f>
        <v>36</v>
      </c>
      <c r="EQ6" s="22">
        <f>Sheet1!FJ6</f>
        <v>36</v>
      </c>
      <c r="ER6" s="22">
        <f>Sheet1!FK6</f>
        <v>36</v>
      </c>
      <c r="ES6" s="22">
        <f>Sheet1!FL6</f>
        <v>36</v>
      </c>
      <c r="ET6" s="22">
        <f>Sheet1!FM6</f>
        <v>36</v>
      </c>
      <c r="EU6" s="22">
        <f>Sheet1!FN6</f>
        <v>36</v>
      </c>
      <c r="EV6" s="22">
        <f>Sheet1!FO6</f>
        <v>35.5</v>
      </c>
      <c r="EW6" s="22">
        <f>Sheet1!FP6</f>
        <v>35</v>
      </c>
      <c r="EX6" s="22">
        <f>Sheet1!FQ6</f>
        <v>35</v>
      </c>
      <c r="EY6" s="22">
        <f>Sheet1!FR6</f>
        <v>34.5</v>
      </c>
      <c r="EZ6" s="22">
        <f>Sheet1!FS6</f>
        <v>34.5</v>
      </c>
      <c r="FA6" s="22">
        <f>Sheet1!FT6</f>
        <v>34</v>
      </c>
      <c r="FB6" s="22">
        <f>Sheet1!FU6</f>
        <v>33.700000000000003</v>
      </c>
      <c r="FC6" s="22">
        <f>Sheet1!FV6</f>
        <v>33.700000000000003</v>
      </c>
      <c r="FD6" s="22">
        <f>Sheet1!FW6</f>
        <v>33.700000000000003</v>
      </c>
      <c r="FE6" s="22">
        <f>Sheet1!FX6</f>
        <v>33.700000000000003</v>
      </c>
      <c r="FF6" s="22">
        <f>Sheet1!FY6</f>
        <v>32.5</v>
      </c>
      <c r="FG6" s="22">
        <f>Sheet1!FZ6</f>
        <v>32.5</v>
      </c>
      <c r="FH6" s="22">
        <f>Sheet1!GA6</f>
        <v>32.5</v>
      </c>
      <c r="FI6" s="22">
        <f>Sheet1!GB6</f>
        <v>32.5</v>
      </c>
      <c r="FJ6" s="22">
        <f>Sheet1!GC6</f>
        <v>32.5</v>
      </c>
      <c r="FK6" s="22">
        <f>Sheet1!GD6</f>
        <v>32.5</v>
      </c>
      <c r="FL6" s="22">
        <f>Sheet1!GE6</f>
        <v>43</v>
      </c>
      <c r="FM6" s="22">
        <f>Sheet1!GF6</f>
        <v>43</v>
      </c>
      <c r="FN6" s="23">
        <f>Sheet1!GG6</f>
        <v>0</v>
      </c>
      <c r="FO6" s="23">
        <f>Sheet1!GH6</f>
        <v>16.153846153846153</v>
      </c>
      <c r="FP6" s="23">
        <f>Sheet1!GI6</f>
        <v>-18.095238095238102</v>
      </c>
    </row>
    <row r="7" spans="1:180">
      <c r="A7" s="4"/>
      <c r="B7" s="20" t="s">
        <v>198</v>
      </c>
      <c r="C7" s="24" t="e">
        <f>Sheet1!#REF!</f>
        <v>#REF!</v>
      </c>
      <c r="D7" s="24" t="e">
        <f>Sheet1!#REF!</f>
        <v>#REF!</v>
      </c>
      <c r="E7" s="15">
        <v>64.8</v>
      </c>
      <c r="F7" s="15">
        <v>64</v>
      </c>
      <c r="G7" s="15">
        <v>64</v>
      </c>
      <c r="H7" s="15">
        <v>64.5</v>
      </c>
      <c r="I7" s="15">
        <v>66</v>
      </c>
      <c r="J7" s="15">
        <v>68</v>
      </c>
      <c r="K7" s="15">
        <v>70.5</v>
      </c>
      <c r="L7" s="15">
        <v>71.5</v>
      </c>
      <c r="M7" s="15">
        <v>73.5</v>
      </c>
      <c r="N7" s="15">
        <v>75</v>
      </c>
      <c r="O7" s="15">
        <v>80</v>
      </c>
      <c r="P7" s="15">
        <v>82</v>
      </c>
      <c r="Q7" s="15">
        <v>82</v>
      </c>
      <c r="R7" s="15">
        <v>82</v>
      </c>
      <c r="S7" s="15">
        <v>82</v>
      </c>
      <c r="T7" s="15">
        <v>82</v>
      </c>
      <c r="U7" s="15">
        <v>82</v>
      </c>
      <c r="V7" s="15">
        <v>80</v>
      </c>
      <c r="W7" s="15">
        <v>75</v>
      </c>
      <c r="X7" s="15">
        <v>70</v>
      </c>
      <c r="Y7" s="15">
        <v>65</v>
      </c>
      <c r="Z7" s="15">
        <v>63.5</v>
      </c>
      <c r="AA7" s="19">
        <v>63</v>
      </c>
      <c r="AB7" s="19">
        <v>63</v>
      </c>
      <c r="AC7" s="19">
        <v>62.5</v>
      </c>
      <c r="AD7" s="19">
        <v>62.5</v>
      </c>
      <c r="AE7" s="19">
        <v>61</v>
      </c>
      <c r="AF7" s="22">
        <f>Sheet1!AY7</f>
        <v>61</v>
      </c>
      <c r="AG7" s="22">
        <f>Sheet1!AZ7</f>
        <v>61</v>
      </c>
      <c r="AH7" s="22">
        <f>Sheet1!BA7</f>
        <v>61</v>
      </c>
      <c r="AI7" s="22">
        <f>Sheet1!BB7</f>
        <v>61.5</v>
      </c>
      <c r="AJ7" s="22">
        <f>Sheet1!BC7</f>
        <v>61.5</v>
      </c>
      <c r="AK7" s="22">
        <f>Sheet1!BD7</f>
        <v>61.5</v>
      </c>
      <c r="AL7" s="22">
        <f>Sheet1!BE7</f>
        <v>61.5</v>
      </c>
      <c r="AM7" s="22">
        <f>Sheet1!BF7</f>
        <v>61.5</v>
      </c>
      <c r="AN7" s="22">
        <f>Sheet1!BG7</f>
        <v>61.5</v>
      </c>
      <c r="AO7" s="22">
        <f>Sheet1!BH7</f>
        <v>61.5</v>
      </c>
      <c r="AP7" s="22">
        <f>Sheet1!BI7</f>
        <v>61.5</v>
      </c>
      <c r="AQ7" s="22">
        <f>Sheet1!BJ7</f>
        <v>61.5</v>
      </c>
      <c r="AR7" s="22">
        <f>Sheet1!BK7</f>
        <v>60</v>
      </c>
      <c r="AS7" s="22">
        <f>Sheet1!BL7</f>
        <v>60</v>
      </c>
      <c r="AT7" s="22">
        <f>Sheet1!BM7</f>
        <v>58</v>
      </c>
      <c r="AU7" s="22">
        <f>Sheet1!BN7</f>
        <v>55</v>
      </c>
      <c r="AV7" s="22">
        <f>Sheet1!BO7</f>
        <v>48</v>
      </c>
      <c r="AW7" s="22">
        <f>Sheet1!BP7</f>
        <v>39</v>
      </c>
      <c r="AX7" s="22">
        <f>Sheet1!BQ7</f>
        <v>38</v>
      </c>
      <c r="AY7" s="22">
        <f>Sheet1!BR7</f>
        <v>38</v>
      </c>
      <c r="AZ7" s="22">
        <f>Sheet1!BS7</f>
        <v>37</v>
      </c>
      <c r="BA7" s="22">
        <f>Sheet1!BT7</f>
        <v>37</v>
      </c>
      <c r="BB7" s="22">
        <f>Sheet1!BU7</f>
        <v>37</v>
      </c>
      <c r="BC7" s="22">
        <f>Sheet1!BV7</f>
        <v>35</v>
      </c>
      <c r="BD7" s="22">
        <f>Sheet1!BW7</f>
        <v>35</v>
      </c>
      <c r="BE7" s="22">
        <f>Sheet1!BX7</f>
        <v>35</v>
      </c>
      <c r="BF7" s="22">
        <f>Sheet1!BY7</f>
        <v>35</v>
      </c>
      <c r="BG7" s="22">
        <f>Sheet1!BZ7</f>
        <v>35</v>
      </c>
      <c r="BH7" s="22">
        <f>Sheet1!CA7</f>
        <v>35</v>
      </c>
      <c r="BI7" s="22">
        <f>Sheet1!CB7</f>
        <v>35</v>
      </c>
      <c r="BJ7" s="22">
        <f>Sheet1!CC7</f>
        <v>35</v>
      </c>
      <c r="BK7" s="22">
        <f>Sheet1!CD7</f>
        <v>35</v>
      </c>
      <c r="BL7" s="22">
        <f>Sheet1!CE7</f>
        <v>35</v>
      </c>
      <c r="BM7" s="22">
        <f>Sheet1!CF7</f>
        <v>35</v>
      </c>
      <c r="BN7" s="22">
        <f>Sheet1!CG7</f>
        <v>35</v>
      </c>
      <c r="BO7" s="22">
        <f>Sheet1!CH7</f>
        <v>35</v>
      </c>
      <c r="BP7" s="22">
        <f>Sheet1!CI7</f>
        <v>35</v>
      </c>
      <c r="BQ7" s="22">
        <f>Sheet1!CJ7</f>
        <v>35</v>
      </c>
      <c r="BR7" s="22">
        <f>Sheet1!CK7</f>
        <v>35</v>
      </c>
      <c r="BS7" s="22">
        <f>Sheet1!CL7</f>
        <v>35</v>
      </c>
      <c r="BT7" s="22">
        <f>Sheet1!CM7</f>
        <v>35</v>
      </c>
      <c r="BU7" s="22">
        <f>Sheet1!CN7</f>
        <v>35</v>
      </c>
      <c r="BV7" s="22">
        <f>Sheet1!CO7</f>
        <v>35</v>
      </c>
      <c r="BW7" s="22">
        <f>Sheet1!CP7</f>
        <v>35</v>
      </c>
      <c r="BX7" s="22">
        <f>Sheet1!CQ7</f>
        <v>35</v>
      </c>
      <c r="BY7" s="22">
        <f>Sheet1!CR7</f>
        <v>35</v>
      </c>
      <c r="BZ7" s="22">
        <f>Sheet1!CS7</f>
        <v>35</v>
      </c>
      <c r="CA7" s="22">
        <f>Sheet1!CT7</f>
        <v>35</v>
      </c>
      <c r="CB7" s="22">
        <f>Sheet1!CU7</f>
        <v>35</v>
      </c>
      <c r="CC7" s="22">
        <f>Sheet1!CV7</f>
        <v>35</v>
      </c>
      <c r="CD7" s="22">
        <f>Sheet1!CW7</f>
        <v>35</v>
      </c>
      <c r="CE7" s="22">
        <f>Sheet1!CX7</f>
        <v>35</v>
      </c>
      <c r="CF7" s="22">
        <f>Sheet1!CY7</f>
        <v>35</v>
      </c>
      <c r="CG7" s="22">
        <f>Sheet1!CZ7</f>
        <v>35</v>
      </c>
      <c r="CH7" s="22">
        <f>Sheet1!DA7</f>
        <v>35</v>
      </c>
      <c r="CI7" s="22">
        <f>Sheet1!DB7</f>
        <v>35</v>
      </c>
      <c r="CJ7" s="22">
        <f>Sheet1!DC7</f>
        <v>35</v>
      </c>
      <c r="CK7" s="22">
        <f>Sheet1!DD7</f>
        <v>35</v>
      </c>
      <c r="CL7" s="22">
        <f>Sheet1!DE7</f>
        <v>35</v>
      </c>
      <c r="CM7" s="22">
        <f>Sheet1!DF7</f>
        <v>35</v>
      </c>
      <c r="CN7" s="22">
        <f>Sheet1!DG7</f>
        <v>35</v>
      </c>
      <c r="CO7" s="22">
        <f>Sheet1!DH7</f>
        <v>35</v>
      </c>
      <c r="CP7" s="22">
        <f>Sheet1!DI7</f>
        <v>35</v>
      </c>
      <c r="CQ7" s="22">
        <f>Sheet1!DJ7</f>
        <v>35</v>
      </c>
      <c r="CR7" s="22">
        <f>Sheet1!DK7</f>
        <v>35</v>
      </c>
      <c r="CS7" s="22">
        <f>Sheet1!DL7</f>
        <v>35</v>
      </c>
      <c r="CT7" s="22">
        <f>Sheet1!DM7</f>
        <v>35</v>
      </c>
      <c r="CU7" s="22">
        <f>Sheet1!DN7</f>
        <v>35</v>
      </c>
      <c r="CV7" s="22">
        <f>Sheet1!DO7</f>
        <v>35</v>
      </c>
      <c r="CW7" s="22">
        <f>Sheet1!DP7</f>
        <v>35</v>
      </c>
      <c r="CX7" s="22">
        <f>Sheet1!DQ7</f>
        <v>35</v>
      </c>
      <c r="CY7" s="22">
        <f>Sheet1!DR7</f>
        <v>35</v>
      </c>
      <c r="CZ7" s="22">
        <f>Sheet1!DS7</f>
        <v>35</v>
      </c>
      <c r="DA7" s="22">
        <f>Sheet1!DT7</f>
        <v>35</v>
      </c>
      <c r="DB7" s="22">
        <f>Sheet1!DU7</f>
        <v>33.5</v>
      </c>
      <c r="DC7" s="22">
        <f>Sheet1!DV7</f>
        <v>33.5</v>
      </c>
      <c r="DD7" s="22">
        <f>Sheet1!DW7</f>
        <v>33.5</v>
      </c>
      <c r="DE7" s="22">
        <f>Sheet1!DX7</f>
        <v>33.5</v>
      </c>
      <c r="DF7" s="22">
        <f>Sheet1!DY7</f>
        <v>43</v>
      </c>
      <c r="DG7" s="22">
        <f>Sheet1!DZ7</f>
        <v>43</v>
      </c>
      <c r="DH7" s="22">
        <f>Sheet1!EA7</f>
        <v>43</v>
      </c>
      <c r="DI7" s="22">
        <f>Sheet1!EB7</f>
        <v>43</v>
      </c>
      <c r="DJ7" s="22">
        <f>Sheet1!EC7</f>
        <v>43</v>
      </c>
      <c r="DK7" s="22">
        <f>Sheet1!ED7</f>
        <v>43</v>
      </c>
      <c r="DL7" s="22">
        <f>Sheet1!EE7</f>
        <v>43.5</v>
      </c>
      <c r="DM7" s="22">
        <f>Sheet1!EF7</f>
        <v>43.5</v>
      </c>
      <c r="DN7" s="22">
        <f>Sheet1!EG7</f>
        <v>43.5</v>
      </c>
      <c r="DO7" s="22">
        <f>Sheet1!EH7</f>
        <v>43.5</v>
      </c>
      <c r="DP7" s="22">
        <f>Sheet1!EI7</f>
        <v>43.5</v>
      </c>
      <c r="DQ7" s="22">
        <f>Sheet1!EJ7</f>
        <v>43.5</v>
      </c>
      <c r="DR7" s="22">
        <f>Sheet1!EK7</f>
        <v>43.5</v>
      </c>
      <c r="DS7" s="22">
        <f>Sheet1!EL7</f>
        <v>43.5</v>
      </c>
      <c r="DT7" s="22">
        <f>Sheet1!EM7</f>
        <v>43.5</v>
      </c>
      <c r="DU7" s="22">
        <f>Sheet1!EN7</f>
        <v>43.5</v>
      </c>
      <c r="DV7" s="22">
        <f>Sheet1!EO7</f>
        <v>43.5</v>
      </c>
      <c r="DW7" s="22">
        <f>Sheet1!EP7</f>
        <v>43.5</v>
      </c>
      <c r="DX7" s="22">
        <f>Sheet1!EQ7</f>
        <v>43.5</v>
      </c>
      <c r="DY7" s="22">
        <f>Sheet1!ER7</f>
        <v>43.5</v>
      </c>
      <c r="DZ7" s="22">
        <f>Sheet1!ES7</f>
        <v>43.5</v>
      </c>
      <c r="EA7" s="22">
        <f>Sheet1!ET7</f>
        <v>43.5</v>
      </c>
      <c r="EB7" s="22">
        <f>Sheet1!EU7</f>
        <v>43.5</v>
      </c>
      <c r="EC7" s="22">
        <f>Sheet1!EV7</f>
        <v>43.5</v>
      </c>
      <c r="ED7" s="22">
        <f>Sheet1!EW7</f>
        <v>43.5</v>
      </c>
      <c r="EE7" s="22">
        <f>Sheet1!EX7</f>
        <v>43.5</v>
      </c>
      <c r="EF7" s="22">
        <f>Sheet1!EY7</f>
        <v>43.5</v>
      </c>
      <c r="EG7" s="22">
        <f>Sheet1!EZ7</f>
        <v>43.5</v>
      </c>
      <c r="EH7" s="22">
        <f>Sheet1!FA7</f>
        <v>43.5</v>
      </c>
      <c r="EI7" s="22">
        <f>Sheet1!FB7</f>
        <v>43.5</v>
      </c>
      <c r="EJ7" s="22">
        <f>Sheet1!FC7</f>
        <v>43.5</v>
      </c>
      <c r="EK7" s="22">
        <f>Sheet1!FD7</f>
        <v>43</v>
      </c>
      <c r="EL7" s="22">
        <f>Sheet1!FE7</f>
        <v>43</v>
      </c>
      <c r="EM7" s="22">
        <f>Sheet1!FF7</f>
        <v>42.5</v>
      </c>
      <c r="EN7" s="22">
        <f>Sheet1!FG7</f>
        <v>42.5</v>
      </c>
      <c r="EO7" s="22">
        <f>Sheet1!FH7</f>
        <v>36</v>
      </c>
      <c r="EP7" s="22">
        <f>Sheet1!FI7</f>
        <v>34</v>
      </c>
      <c r="EQ7" s="22">
        <f>Sheet1!FJ7</f>
        <v>34</v>
      </c>
      <c r="ER7" s="22">
        <f>Sheet1!FK7</f>
        <v>34</v>
      </c>
      <c r="ES7" s="22">
        <f>Sheet1!FL7</f>
        <v>34</v>
      </c>
      <c r="ET7" s="22">
        <f>Sheet1!FM7</f>
        <v>34</v>
      </c>
      <c r="EU7" s="22">
        <f>Sheet1!FN7</f>
        <v>34</v>
      </c>
      <c r="EV7" s="22">
        <f>Sheet1!FO7</f>
        <v>33.5</v>
      </c>
      <c r="EW7" s="22">
        <f>Sheet1!FP7</f>
        <v>33.5</v>
      </c>
      <c r="EX7" s="22">
        <f>Sheet1!FQ7</f>
        <v>33.5</v>
      </c>
      <c r="EY7" s="22">
        <f>Sheet1!FR7</f>
        <v>32</v>
      </c>
      <c r="EZ7" s="22">
        <f>Sheet1!FS7</f>
        <v>32</v>
      </c>
      <c r="FA7" s="22">
        <f>Sheet1!FT7</f>
        <v>31</v>
      </c>
      <c r="FB7" s="22">
        <f>Sheet1!FU7</f>
        <v>31</v>
      </c>
      <c r="FC7" s="22">
        <f>Sheet1!FV7</f>
        <v>31</v>
      </c>
      <c r="FD7" s="22">
        <f>Sheet1!FW7</f>
        <v>31</v>
      </c>
      <c r="FE7" s="22">
        <f>Sheet1!FX7</f>
        <v>31</v>
      </c>
      <c r="FF7" s="22">
        <f>Sheet1!FY7</f>
        <v>30</v>
      </c>
      <c r="FG7" s="22">
        <f>Sheet1!FZ7</f>
        <v>30</v>
      </c>
      <c r="FH7" s="22">
        <f>Sheet1!GA7</f>
        <v>30</v>
      </c>
      <c r="FI7" s="22">
        <f>Sheet1!GB7</f>
        <v>30</v>
      </c>
      <c r="FJ7" s="22">
        <f>Sheet1!GC7</f>
        <v>30</v>
      </c>
      <c r="FK7" s="22">
        <f>Sheet1!GD7</f>
        <v>30</v>
      </c>
      <c r="FL7" s="22">
        <f>Sheet1!GE7</f>
        <v>38</v>
      </c>
      <c r="FM7" s="22">
        <f>Sheet1!GF7</f>
        <v>38</v>
      </c>
      <c r="FN7" s="23">
        <f>Sheet1!GG7</f>
        <v>0</v>
      </c>
      <c r="FO7" s="23">
        <f>Sheet1!GH7</f>
        <v>13.333333333333334</v>
      </c>
      <c r="FP7" s="23">
        <f>Sheet1!GI7</f>
        <v>-12.643678160919535</v>
      </c>
    </row>
    <row r="8" spans="1:180">
      <c r="A8" s="4"/>
      <c r="B8" s="20" t="s">
        <v>199</v>
      </c>
      <c r="C8" s="24" t="e">
        <f>Sheet1!#REF!</f>
        <v>#REF!</v>
      </c>
      <c r="D8" s="24" t="e">
        <f>Sheet1!#REF!</f>
        <v>#REF!</v>
      </c>
      <c r="E8" s="15">
        <v>62.5</v>
      </c>
      <c r="F8" s="15">
        <v>62</v>
      </c>
      <c r="G8" s="15">
        <v>62</v>
      </c>
      <c r="H8" s="15">
        <v>62</v>
      </c>
      <c r="I8" s="15">
        <v>64</v>
      </c>
      <c r="J8" s="15">
        <v>65</v>
      </c>
      <c r="K8" s="15">
        <v>68</v>
      </c>
      <c r="L8" s="15">
        <v>69</v>
      </c>
      <c r="M8" s="15">
        <v>71.5</v>
      </c>
      <c r="N8" s="15">
        <v>73</v>
      </c>
      <c r="O8" s="15">
        <v>77</v>
      </c>
      <c r="P8" s="15">
        <v>77</v>
      </c>
      <c r="Q8" s="15">
        <v>77</v>
      </c>
      <c r="R8" s="15">
        <v>77</v>
      </c>
      <c r="S8" s="15">
        <v>77</v>
      </c>
      <c r="T8" s="15">
        <v>77</v>
      </c>
      <c r="U8" s="15">
        <v>77</v>
      </c>
      <c r="V8" s="15">
        <v>77</v>
      </c>
      <c r="W8" s="15">
        <v>72</v>
      </c>
      <c r="X8" s="15">
        <v>65</v>
      </c>
      <c r="Y8" s="15">
        <v>65</v>
      </c>
      <c r="Z8" s="15">
        <v>65</v>
      </c>
      <c r="AA8" s="19">
        <v>65</v>
      </c>
      <c r="AB8" s="19">
        <v>64</v>
      </c>
      <c r="AC8" s="19">
        <v>60</v>
      </c>
      <c r="AD8" s="19">
        <v>60</v>
      </c>
      <c r="AE8" s="19">
        <v>59.5</v>
      </c>
      <c r="AF8" s="22">
        <f>Sheet1!AY8</f>
        <v>59.5</v>
      </c>
      <c r="AG8" s="22">
        <f>Sheet1!AZ8</f>
        <v>59.5</v>
      </c>
      <c r="AH8" s="22">
        <f>Sheet1!BA8</f>
        <v>59.5</v>
      </c>
      <c r="AI8" s="22">
        <f>Sheet1!BB8</f>
        <v>59.5</v>
      </c>
      <c r="AJ8" s="22">
        <f>Sheet1!BC8</f>
        <v>59.5</v>
      </c>
      <c r="AK8" s="22">
        <f>Sheet1!BD8</f>
        <v>59.5</v>
      </c>
      <c r="AL8" s="22">
        <f>Sheet1!BE8</f>
        <v>59.5</v>
      </c>
      <c r="AM8" s="22">
        <f>Sheet1!BF8</f>
        <v>59.5</v>
      </c>
      <c r="AN8" s="22">
        <f>Sheet1!BG8</f>
        <v>59.5</v>
      </c>
      <c r="AO8" s="22">
        <f>Sheet1!BH8</f>
        <v>59.5</v>
      </c>
      <c r="AP8" s="22">
        <f>Sheet1!BI8</f>
        <v>59.5</v>
      </c>
      <c r="AQ8" s="22">
        <f>Sheet1!BJ8</f>
        <v>59.5</v>
      </c>
      <c r="AR8" s="22">
        <f>Sheet1!BK8</f>
        <v>58</v>
      </c>
      <c r="AS8" s="22">
        <f>Sheet1!BL8</f>
        <v>58</v>
      </c>
      <c r="AT8" s="22">
        <f>Sheet1!BM8</f>
        <v>55</v>
      </c>
      <c r="AU8" s="22">
        <f>Sheet1!BN8</f>
        <v>52</v>
      </c>
      <c r="AV8" s="22">
        <f>Sheet1!BO8</f>
        <v>46</v>
      </c>
      <c r="AW8" s="22">
        <f>Sheet1!BP8</f>
        <v>38</v>
      </c>
      <c r="AX8" s="22">
        <f>Sheet1!BQ8</f>
        <v>37</v>
      </c>
      <c r="AY8" s="22">
        <f>Sheet1!BR8</f>
        <v>37</v>
      </c>
      <c r="AZ8" s="22">
        <f>Sheet1!BS8</f>
        <v>36</v>
      </c>
      <c r="BA8" s="22">
        <f>Sheet1!BT8</f>
        <v>36</v>
      </c>
      <c r="BB8" s="22">
        <f>Sheet1!BU8</f>
        <v>36</v>
      </c>
      <c r="BC8" s="22">
        <f>Sheet1!BV8</f>
        <v>34</v>
      </c>
      <c r="BD8" s="22">
        <f>Sheet1!BW8</f>
        <v>34</v>
      </c>
      <c r="BE8" s="22">
        <f>Sheet1!BX8</f>
        <v>34</v>
      </c>
      <c r="BF8" s="22">
        <f>Sheet1!BY8</f>
        <v>34</v>
      </c>
      <c r="BG8" s="22">
        <f>Sheet1!BZ8</f>
        <v>34</v>
      </c>
      <c r="BH8" s="22">
        <f>Sheet1!CA8</f>
        <v>34</v>
      </c>
      <c r="BI8" s="22">
        <f>Sheet1!CB8</f>
        <v>34</v>
      </c>
      <c r="BJ8" s="22">
        <f>Sheet1!CC8</f>
        <v>34</v>
      </c>
      <c r="BK8" s="22">
        <f>Sheet1!CD8</f>
        <v>34</v>
      </c>
      <c r="BL8" s="22">
        <f>Sheet1!CE8</f>
        <v>34</v>
      </c>
      <c r="BM8" s="22">
        <f>Sheet1!CF8</f>
        <v>34</v>
      </c>
      <c r="BN8" s="22">
        <f>Sheet1!CG8</f>
        <v>34</v>
      </c>
      <c r="BO8" s="22">
        <f>Sheet1!CH8</f>
        <v>34</v>
      </c>
      <c r="BP8" s="22">
        <f>Sheet1!CI8</f>
        <v>34</v>
      </c>
      <c r="BQ8" s="22">
        <f>Sheet1!CJ8</f>
        <v>34</v>
      </c>
      <c r="BR8" s="22">
        <f>Sheet1!CK8</f>
        <v>34</v>
      </c>
      <c r="BS8" s="22">
        <f>Sheet1!CL8</f>
        <v>34</v>
      </c>
      <c r="BT8" s="22">
        <f>Sheet1!CM8</f>
        <v>34</v>
      </c>
      <c r="BU8" s="22">
        <f>Sheet1!CN8</f>
        <v>34</v>
      </c>
      <c r="BV8" s="22">
        <f>Sheet1!CO8</f>
        <v>34</v>
      </c>
      <c r="BW8" s="22">
        <f>Sheet1!CP8</f>
        <v>34</v>
      </c>
      <c r="BX8" s="22">
        <f>Sheet1!CQ8</f>
        <v>34</v>
      </c>
      <c r="BY8" s="22">
        <f>Sheet1!CR8</f>
        <v>34</v>
      </c>
      <c r="BZ8" s="22">
        <f>Sheet1!CS8</f>
        <v>34</v>
      </c>
      <c r="CA8" s="22">
        <f>Sheet1!CT8</f>
        <v>34</v>
      </c>
      <c r="CB8" s="22">
        <f>Sheet1!CU8</f>
        <v>34</v>
      </c>
      <c r="CC8" s="22">
        <f>Sheet1!CV8</f>
        <v>34</v>
      </c>
      <c r="CD8" s="22">
        <f>Sheet1!CW8</f>
        <v>34</v>
      </c>
      <c r="CE8" s="22">
        <f>Sheet1!CX8</f>
        <v>34</v>
      </c>
      <c r="CF8" s="22">
        <f>Sheet1!CY8</f>
        <v>34</v>
      </c>
      <c r="CG8" s="22">
        <f>Sheet1!CZ8</f>
        <v>34</v>
      </c>
      <c r="CH8" s="22">
        <f>Sheet1!DA8</f>
        <v>34</v>
      </c>
      <c r="CI8" s="22">
        <f>Sheet1!DB8</f>
        <v>34</v>
      </c>
      <c r="CJ8" s="22">
        <f>Sheet1!DC8</f>
        <v>34</v>
      </c>
      <c r="CK8" s="22">
        <f>Sheet1!DD8</f>
        <v>34</v>
      </c>
      <c r="CL8" s="22">
        <f>Sheet1!DE8</f>
        <v>34</v>
      </c>
      <c r="CM8" s="22">
        <f>Sheet1!DF8</f>
        <v>34</v>
      </c>
      <c r="CN8" s="22">
        <f>Sheet1!DG8</f>
        <v>34</v>
      </c>
      <c r="CO8" s="22">
        <f>Sheet1!DH8</f>
        <v>34</v>
      </c>
      <c r="CP8" s="22">
        <f>Sheet1!DI8</f>
        <v>34</v>
      </c>
      <c r="CQ8" s="22">
        <f>Sheet1!DJ8</f>
        <v>34</v>
      </c>
      <c r="CR8" s="22">
        <f>Sheet1!DK8</f>
        <v>34</v>
      </c>
      <c r="CS8" s="22">
        <f>Sheet1!DL8</f>
        <v>34</v>
      </c>
      <c r="CT8" s="22">
        <f>Sheet1!DM8</f>
        <v>34</v>
      </c>
      <c r="CU8" s="22">
        <f>Sheet1!DN8</f>
        <v>34</v>
      </c>
      <c r="CV8" s="22">
        <f>Sheet1!DO8</f>
        <v>34</v>
      </c>
      <c r="CW8" s="22">
        <f>Sheet1!DP8</f>
        <v>34</v>
      </c>
      <c r="CX8" s="22">
        <f>Sheet1!DQ8</f>
        <v>34</v>
      </c>
      <c r="CY8" s="22">
        <f>Sheet1!DR8</f>
        <v>34</v>
      </c>
      <c r="CZ8" s="22">
        <f>Sheet1!DS8</f>
        <v>34</v>
      </c>
      <c r="DA8" s="22">
        <f>Sheet1!DT8</f>
        <v>34</v>
      </c>
      <c r="DB8" s="22">
        <f>Sheet1!DU8</f>
        <v>32.5</v>
      </c>
      <c r="DC8" s="22">
        <f>Sheet1!DV8</f>
        <v>32.5</v>
      </c>
      <c r="DD8" s="22">
        <f>Sheet1!DW8</f>
        <v>32.5</v>
      </c>
      <c r="DE8" s="22">
        <f>Sheet1!DX8</f>
        <v>32.5</v>
      </c>
      <c r="DF8" s="22">
        <f>Sheet1!DY8</f>
        <v>42</v>
      </c>
      <c r="DG8" s="22">
        <f>Sheet1!DZ8</f>
        <v>42</v>
      </c>
      <c r="DH8" s="22">
        <f>Sheet1!EA8</f>
        <v>42</v>
      </c>
      <c r="DI8" s="22">
        <f>Sheet1!EB8</f>
        <v>42</v>
      </c>
      <c r="DJ8" s="22">
        <f>Sheet1!EC8</f>
        <v>42</v>
      </c>
      <c r="DK8" s="22">
        <f>Sheet1!ED8</f>
        <v>42</v>
      </c>
      <c r="DL8" s="22">
        <f>Sheet1!EE8</f>
        <v>42.5</v>
      </c>
      <c r="DM8" s="22">
        <f>Sheet1!EF8</f>
        <v>42.5</v>
      </c>
      <c r="DN8" s="22">
        <f>Sheet1!EG8</f>
        <v>42.5</v>
      </c>
      <c r="DO8" s="22">
        <f>Sheet1!EH8</f>
        <v>42.5</v>
      </c>
      <c r="DP8" s="22">
        <f>Sheet1!EI8</f>
        <v>42.5</v>
      </c>
      <c r="DQ8" s="22">
        <f>Sheet1!EJ8</f>
        <v>42.5</v>
      </c>
      <c r="DR8" s="22">
        <f>Sheet1!EK8</f>
        <v>42.5</v>
      </c>
      <c r="DS8" s="22">
        <f>Sheet1!EL8</f>
        <v>42.5</v>
      </c>
      <c r="DT8" s="22">
        <f>Sheet1!EM8</f>
        <v>42.5</v>
      </c>
      <c r="DU8" s="22">
        <f>Sheet1!EN8</f>
        <v>42.5</v>
      </c>
      <c r="DV8" s="22">
        <f>Sheet1!EO8</f>
        <v>42.5</v>
      </c>
      <c r="DW8" s="22">
        <f>Sheet1!EP8</f>
        <v>42.5</v>
      </c>
      <c r="DX8" s="22">
        <f>Sheet1!EQ8</f>
        <v>42.5</v>
      </c>
      <c r="DY8" s="22">
        <f>Sheet1!ER8</f>
        <v>42.5</v>
      </c>
      <c r="DZ8" s="22">
        <f>Sheet1!ES8</f>
        <v>42.5</v>
      </c>
      <c r="EA8" s="22">
        <f>Sheet1!ET8</f>
        <v>42.5</v>
      </c>
      <c r="EB8" s="22">
        <f>Sheet1!EU8</f>
        <v>42.5</v>
      </c>
      <c r="EC8" s="22">
        <f>Sheet1!EV8</f>
        <v>42.5</v>
      </c>
      <c r="ED8" s="22">
        <f>Sheet1!EW8</f>
        <v>42.5</v>
      </c>
      <c r="EE8" s="22">
        <f>Sheet1!EX8</f>
        <v>42.5</v>
      </c>
      <c r="EF8" s="22">
        <f>Sheet1!EY8</f>
        <v>42.5</v>
      </c>
      <c r="EG8" s="22">
        <f>Sheet1!EZ8</f>
        <v>42.5</v>
      </c>
      <c r="EH8" s="22">
        <f>Sheet1!FA8</f>
        <v>42.5</v>
      </c>
      <c r="EI8" s="22">
        <f>Sheet1!FB8</f>
        <v>42.5</v>
      </c>
      <c r="EJ8" s="22">
        <f>Sheet1!FC8</f>
        <v>42.5</v>
      </c>
      <c r="EK8" s="22">
        <f>Sheet1!FD8</f>
        <v>42</v>
      </c>
      <c r="EL8" s="22">
        <f>Sheet1!FE8</f>
        <v>42</v>
      </c>
      <c r="EM8" s="22">
        <f>Sheet1!FF8</f>
        <v>39.9</v>
      </c>
      <c r="EN8" s="22">
        <f>Sheet1!FG8</f>
        <v>39.9</v>
      </c>
      <c r="EO8" s="22">
        <f>Sheet1!FH8</f>
        <v>35.5</v>
      </c>
      <c r="EP8" s="22">
        <f>Sheet1!FI8</f>
        <v>33</v>
      </c>
      <c r="EQ8" s="22">
        <f>Sheet1!FJ8</f>
        <v>33</v>
      </c>
      <c r="ER8" s="22">
        <f>Sheet1!FK8</f>
        <v>33</v>
      </c>
      <c r="ES8" s="22">
        <f>Sheet1!FL8</f>
        <v>33</v>
      </c>
      <c r="ET8" s="22">
        <f>Sheet1!FM8</f>
        <v>33</v>
      </c>
      <c r="EU8" s="22">
        <f>Sheet1!FN8</f>
        <v>33</v>
      </c>
      <c r="EV8" s="22">
        <f>Sheet1!FO8</f>
        <v>33</v>
      </c>
      <c r="EW8" s="22">
        <f>Sheet1!FP8</f>
        <v>32</v>
      </c>
      <c r="EX8" s="22">
        <f>Sheet1!FQ8</f>
        <v>32</v>
      </c>
      <c r="EY8" s="22">
        <f>Sheet1!FR8</f>
        <v>31</v>
      </c>
      <c r="EZ8" s="22">
        <f>Sheet1!FS8</f>
        <v>31</v>
      </c>
      <c r="FA8" s="22">
        <f>Sheet1!FT8</f>
        <v>30</v>
      </c>
      <c r="FB8" s="22">
        <f>Sheet1!FU8</f>
        <v>30</v>
      </c>
      <c r="FC8" s="22">
        <f>Sheet1!FV8</f>
        <v>30</v>
      </c>
      <c r="FD8" s="22">
        <f>Sheet1!FW8</f>
        <v>30</v>
      </c>
      <c r="FE8" s="22">
        <f>Sheet1!FX8</f>
        <v>30</v>
      </c>
      <c r="FF8" s="22">
        <f>Sheet1!FY8</f>
        <v>28</v>
      </c>
      <c r="FG8" s="22">
        <f>Sheet1!FZ8</f>
        <v>28</v>
      </c>
      <c r="FH8" s="22">
        <f>Sheet1!GA8</f>
        <v>28</v>
      </c>
      <c r="FI8" s="22">
        <f>Sheet1!GB8</f>
        <v>28</v>
      </c>
      <c r="FJ8" s="22">
        <f>Sheet1!GC8</f>
        <v>28</v>
      </c>
      <c r="FK8" s="22">
        <f>Sheet1!GD8</f>
        <v>28</v>
      </c>
      <c r="FL8" s="22">
        <f>Sheet1!GE8</f>
        <v>36</v>
      </c>
      <c r="FM8" s="22">
        <f>Sheet1!GF8</f>
        <v>36</v>
      </c>
      <c r="FN8" s="23">
        <f>Sheet1!GG8</f>
        <v>0</v>
      </c>
      <c r="FO8" s="23">
        <f>Sheet1!GH8</f>
        <v>14.285714285714285</v>
      </c>
      <c r="FP8" s="23">
        <f>Sheet1!GI8</f>
        <v>-15.294117647058826</v>
      </c>
    </row>
    <row r="9" spans="1:180">
      <c r="A9" s="4"/>
      <c r="B9" s="20" t="s">
        <v>242</v>
      </c>
      <c r="C9" s="25"/>
      <c r="D9" s="25"/>
      <c r="E9" s="15"/>
      <c r="F9" s="15"/>
      <c r="G9" s="15"/>
      <c r="H9" s="15"/>
      <c r="I9" s="15"/>
      <c r="J9" s="15"/>
      <c r="K9" s="15"/>
      <c r="L9" s="15"/>
      <c r="M9" s="15"/>
      <c r="N9" s="15"/>
      <c r="O9" s="15">
        <v>0</v>
      </c>
      <c r="P9" s="15">
        <v>75</v>
      </c>
      <c r="Q9" s="15">
        <v>75</v>
      </c>
      <c r="R9" s="15">
        <v>80</v>
      </c>
      <c r="S9" s="15">
        <v>80</v>
      </c>
      <c r="T9" s="15">
        <v>80</v>
      </c>
      <c r="U9" s="15">
        <v>78</v>
      </c>
      <c r="V9" s="15">
        <v>78</v>
      </c>
      <c r="W9" s="15">
        <v>0</v>
      </c>
      <c r="X9" s="15">
        <v>0</v>
      </c>
      <c r="Y9" s="15">
        <v>62</v>
      </c>
      <c r="Z9" s="15">
        <v>62</v>
      </c>
      <c r="AA9" s="19">
        <v>62</v>
      </c>
      <c r="AB9" s="19">
        <v>62</v>
      </c>
      <c r="AC9" s="19">
        <v>61</v>
      </c>
      <c r="AD9" s="19">
        <v>61</v>
      </c>
      <c r="AE9" s="19">
        <v>61</v>
      </c>
      <c r="AF9" s="22">
        <f>Sheet1!AY9</f>
        <v>61</v>
      </c>
      <c r="AG9" s="22">
        <f>Sheet1!AZ9</f>
        <v>61</v>
      </c>
      <c r="AH9" s="22">
        <f>Sheet1!BA9</f>
        <v>61</v>
      </c>
      <c r="AI9" s="22">
        <f>Sheet1!BB9</f>
        <v>61</v>
      </c>
      <c r="AJ9" s="22">
        <f>Sheet1!BC9</f>
        <v>61</v>
      </c>
      <c r="AK9" s="22">
        <f>Sheet1!BD9</f>
        <v>61</v>
      </c>
      <c r="AL9" s="22">
        <f>Sheet1!BE9</f>
        <v>61</v>
      </c>
      <c r="AM9" s="22">
        <f>Sheet1!BF9</f>
        <v>61</v>
      </c>
      <c r="AN9" s="22">
        <f>Sheet1!BG9</f>
        <v>61</v>
      </c>
      <c r="AO9" s="22">
        <f>Sheet1!BH9</f>
        <v>62.5</v>
      </c>
      <c r="AP9" s="22">
        <f>Sheet1!BI9</f>
        <v>62.5</v>
      </c>
      <c r="AQ9" s="22">
        <f>Sheet1!BJ9</f>
        <v>62.5</v>
      </c>
      <c r="AR9" s="22">
        <f>Sheet1!BK9</f>
        <v>59</v>
      </c>
      <c r="AS9" s="22">
        <f>Sheet1!BL9</f>
        <v>55</v>
      </c>
      <c r="AT9" s="22">
        <f>Sheet1!BM9</f>
        <v>51</v>
      </c>
      <c r="AU9" s="22">
        <f>Sheet1!BN9</f>
        <v>51</v>
      </c>
      <c r="AV9" s="22">
        <f>Sheet1!BO9</f>
        <v>44</v>
      </c>
      <c r="AW9" s="22">
        <f>Sheet1!BP9</f>
        <v>40</v>
      </c>
      <c r="AX9" s="22">
        <f>Sheet1!BQ9</f>
        <v>39</v>
      </c>
      <c r="AY9" s="22">
        <f>Sheet1!BR9</f>
        <v>39</v>
      </c>
      <c r="AZ9" s="22">
        <f>Sheet1!BS9</f>
        <v>38</v>
      </c>
      <c r="BA9" s="22">
        <f>Sheet1!BT9</f>
        <v>38</v>
      </c>
      <c r="BB9" s="22">
        <f>Sheet1!BU9</f>
        <v>38</v>
      </c>
      <c r="BC9" s="22">
        <f>Sheet1!BV9</f>
        <v>36.5</v>
      </c>
      <c r="BD9" s="22">
        <f>Sheet1!BW9</f>
        <v>36.5</v>
      </c>
      <c r="BE9" s="22">
        <f>Sheet1!BX9</f>
        <v>36.5</v>
      </c>
      <c r="BF9" s="22">
        <f>Sheet1!BY9</f>
        <v>36.5</v>
      </c>
      <c r="BG9" s="22">
        <f>Sheet1!BZ9</f>
        <v>36.5</v>
      </c>
      <c r="BH9" s="22">
        <f>Sheet1!CA9</f>
        <v>36.5</v>
      </c>
      <c r="BI9" s="22">
        <f>Sheet1!CB9</f>
        <v>36.5</v>
      </c>
      <c r="BJ9" s="22">
        <f>Sheet1!CC9</f>
        <v>36.5</v>
      </c>
      <c r="BK9" s="22">
        <f>Sheet1!CD9</f>
        <v>36.5</v>
      </c>
      <c r="BL9" s="22">
        <f>Sheet1!CE9</f>
        <v>36.5</v>
      </c>
      <c r="BM9" s="22">
        <f>Sheet1!CF9</f>
        <v>36.5</v>
      </c>
      <c r="BN9" s="22">
        <f>Sheet1!CG9</f>
        <v>37</v>
      </c>
      <c r="BO9" s="22">
        <f>Sheet1!CH9</f>
        <v>37</v>
      </c>
      <c r="BP9" s="22">
        <f>Sheet1!CI9</f>
        <v>37</v>
      </c>
      <c r="BQ9" s="22">
        <f>Sheet1!CJ9</f>
        <v>37</v>
      </c>
      <c r="BR9" s="22">
        <f>Sheet1!CK9</f>
        <v>37</v>
      </c>
      <c r="BS9" s="22">
        <f>Sheet1!CL9</f>
        <v>37</v>
      </c>
      <c r="BT9" s="22">
        <f>Sheet1!CM9</f>
        <v>37</v>
      </c>
      <c r="BU9" s="22">
        <f>Sheet1!CN9</f>
        <v>37</v>
      </c>
      <c r="BV9" s="22">
        <f>Sheet1!CO9</f>
        <v>37</v>
      </c>
      <c r="BW9" s="22">
        <f>Sheet1!CP9</f>
        <v>37</v>
      </c>
      <c r="BX9" s="22">
        <f>Sheet1!CQ9</f>
        <v>37</v>
      </c>
      <c r="BY9" s="22">
        <f>Sheet1!CR9</f>
        <v>37</v>
      </c>
      <c r="BZ9" s="22">
        <f>Sheet1!CS9</f>
        <v>37</v>
      </c>
      <c r="CA9" s="22">
        <f>Sheet1!CT9</f>
        <v>37</v>
      </c>
      <c r="CB9" s="22">
        <f>Sheet1!CU9</f>
        <v>37</v>
      </c>
      <c r="CC9" s="22">
        <f>Sheet1!CV9</f>
        <v>37</v>
      </c>
      <c r="CD9" s="22">
        <f>Sheet1!CW9</f>
        <v>37</v>
      </c>
      <c r="CE9" s="22">
        <f>Sheet1!CX9</f>
        <v>37</v>
      </c>
      <c r="CF9" s="22">
        <f>Sheet1!CY9</f>
        <v>39</v>
      </c>
      <c r="CG9" s="22">
        <f>Sheet1!CZ9</f>
        <v>39</v>
      </c>
      <c r="CH9" s="22">
        <f>Sheet1!DA9</f>
        <v>39</v>
      </c>
      <c r="CI9" s="22">
        <f>Sheet1!DB9</f>
        <v>39</v>
      </c>
      <c r="CJ9" s="22">
        <f>Sheet1!DC9</f>
        <v>39</v>
      </c>
      <c r="CK9" s="22">
        <f>Sheet1!DD9</f>
        <v>39</v>
      </c>
      <c r="CL9" s="22">
        <f>Sheet1!DE9</f>
        <v>39</v>
      </c>
      <c r="CM9" s="22">
        <f>Sheet1!DF9</f>
        <v>39</v>
      </c>
      <c r="CN9" s="22">
        <f>Sheet1!DG9</f>
        <v>39</v>
      </c>
      <c r="CO9" s="22">
        <f>Sheet1!DH9</f>
        <v>39</v>
      </c>
      <c r="CP9" s="22">
        <f>Sheet1!DI9</f>
        <v>39</v>
      </c>
      <c r="CQ9" s="22">
        <f>Sheet1!DJ9</f>
        <v>39</v>
      </c>
      <c r="CR9" s="22">
        <f>Sheet1!DK9</f>
        <v>39</v>
      </c>
      <c r="CS9" s="22">
        <f>Sheet1!DL9</f>
        <v>39</v>
      </c>
      <c r="CT9" s="22">
        <f>Sheet1!DM9</f>
        <v>37.5</v>
      </c>
      <c r="CU9" s="22">
        <f>Sheet1!DN9</f>
        <v>37.5</v>
      </c>
      <c r="CV9" s="22">
        <f>Sheet1!DO9</f>
        <v>36.5</v>
      </c>
      <c r="CW9" s="22">
        <f>Sheet1!DP9</f>
        <v>35.5</v>
      </c>
      <c r="CX9" s="22">
        <f>Sheet1!DQ9</f>
        <v>35.5</v>
      </c>
      <c r="CY9" s="22">
        <f>Sheet1!DR9</f>
        <v>35.5</v>
      </c>
      <c r="CZ9" s="22">
        <f>Sheet1!DS9</f>
        <v>35.5</v>
      </c>
      <c r="DA9" s="22">
        <f>Sheet1!DT9</f>
        <v>35.5</v>
      </c>
      <c r="DB9" s="22">
        <f>Sheet1!DU9</f>
        <v>34</v>
      </c>
      <c r="DC9" s="22">
        <f>Sheet1!DV9</f>
        <v>34</v>
      </c>
      <c r="DD9" s="22">
        <f>Sheet1!DW9</f>
        <v>36</v>
      </c>
      <c r="DE9" s="22">
        <f>Sheet1!DX9</f>
        <v>34</v>
      </c>
      <c r="DF9" s="22">
        <f>Sheet1!DY9</f>
        <v>44</v>
      </c>
      <c r="DG9" s="22">
        <f>Sheet1!DZ9</f>
        <v>44</v>
      </c>
      <c r="DH9" s="22">
        <f>Sheet1!EA9</f>
        <v>45</v>
      </c>
      <c r="DI9" s="22">
        <f>Sheet1!EB9</f>
        <v>45</v>
      </c>
      <c r="DJ9" s="22">
        <f>Sheet1!EC9</f>
        <v>45</v>
      </c>
      <c r="DK9" s="22">
        <f>Sheet1!ED9</f>
        <v>45</v>
      </c>
      <c r="DL9" s="22">
        <f>Sheet1!EE9</f>
        <v>47</v>
      </c>
      <c r="DM9" s="22">
        <f>Sheet1!EF9</f>
        <v>47</v>
      </c>
      <c r="DN9" s="22">
        <f>Sheet1!EG9</f>
        <v>49</v>
      </c>
      <c r="DO9" s="22">
        <f>Sheet1!EH9</f>
        <v>49</v>
      </c>
      <c r="DP9" s="22">
        <f>Sheet1!EI9</f>
        <v>50</v>
      </c>
      <c r="DQ9" s="22">
        <f>Sheet1!EJ9</f>
        <v>50</v>
      </c>
      <c r="DR9" s="22">
        <f>Sheet1!EK9</f>
        <v>50</v>
      </c>
      <c r="DS9" s="22">
        <f>Sheet1!EL9</f>
        <v>50</v>
      </c>
      <c r="DT9" s="22">
        <f>Sheet1!EM9</f>
        <v>50</v>
      </c>
      <c r="DU9" s="22">
        <f>Sheet1!EN9</f>
        <v>50</v>
      </c>
      <c r="DV9" s="22">
        <f>Sheet1!EO9</f>
        <v>50</v>
      </c>
      <c r="DW9" s="22">
        <f>Sheet1!EP9</f>
        <v>50</v>
      </c>
      <c r="DX9" s="22">
        <f>Sheet1!EQ9</f>
        <v>50</v>
      </c>
      <c r="DY9" s="22">
        <f>Sheet1!ER9</f>
        <v>50</v>
      </c>
      <c r="DZ9" s="22">
        <f>Sheet1!ES9</f>
        <v>50</v>
      </c>
      <c r="EA9" s="22">
        <f>Sheet1!ET9</f>
        <v>50</v>
      </c>
      <c r="EB9" s="22">
        <f>Sheet1!EU9</f>
        <v>50</v>
      </c>
      <c r="EC9" s="22">
        <f>Sheet1!EV9</f>
        <v>50</v>
      </c>
      <c r="ED9" s="22">
        <f>Sheet1!EW9</f>
        <v>50</v>
      </c>
      <c r="EE9" s="22">
        <f>Sheet1!EX9</f>
        <v>50</v>
      </c>
      <c r="EF9" s="22">
        <f>Sheet1!EY9</f>
        <v>50</v>
      </c>
      <c r="EG9" s="22">
        <f>Sheet1!EZ9</f>
        <v>50</v>
      </c>
      <c r="EH9" s="22">
        <f>Sheet1!FA9</f>
        <v>50</v>
      </c>
      <c r="EI9" s="22">
        <f>Sheet1!FB9</f>
        <v>50</v>
      </c>
      <c r="EJ9" s="22">
        <f>Sheet1!FC9</f>
        <v>50</v>
      </c>
      <c r="EK9" s="22">
        <f>Sheet1!FD9</f>
        <v>46</v>
      </c>
      <c r="EL9" s="22">
        <f>Sheet1!FE9</f>
        <v>46</v>
      </c>
      <c r="EM9" s="22">
        <f>Sheet1!FF9</f>
        <v>42.5</v>
      </c>
      <c r="EN9" s="22">
        <f>Sheet1!FG9</f>
        <v>42.5</v>
      </c>
      <c r="EO9" s="22">
        <f>Sheet1!FH9</f>
        <v>38</v>
      </c>
      <c r="EP9" s="22">
        <f>Sheet1!FI9</f>
        <v>35</v>
      </c>
      <c r="EQ9" s="22">
        <f>Sheet1!FJ9</f>
        <v>35</v>
      </c>
      <c r="ER9" s="22">
        <f>Sheet1!FK9</f>
        <v>35</v>
      </c>
      <c r="ES9" s="22">
        <f>Sheet1!FL9</f>
        <v>35</v>
      </c>
      <c r="ET9" s="22">
        <f>Sheet1!FM9</f>
        <v>35</v>
      </c>
      <c r="EU9" s="22">
        <f>Sheet1!FN9</f>
        <v>35</v>
      </c>
      <c r="EV9" s="22">
        <f>Sheet1!FO9</f>
        <v>35</v>
      </c>
      <c r="EW9" s="22">
        <f>Sheet1!FP9</f>
        <v>33.5</v>
      </c>
      <c r="EX9" s="22">
        <f>Sheet1!FQ9</f>
        <v>33.5</v>
      </c>
      <c r="EY9" s="22">
        <f>Sheet1!FR9</f>
        <v>33.5</v>
      </c>
      <c r="EZ9" s="22">
        <f>Sheet1!FS9</f>
        <v>33.5</v>
      </c>
      <c r="FA9" s="22">
        <f>Sheet1!FT9</f>
        <v>33</v>
      </c>
      <c r="FB9" s="22">
        <f>Sheet1!FU9</f>
        <v>33</v>
      </c>
      <c r="FC9" s="22">
        <f>Sheet1!FV9</f>
        <v>33</v>
      </c>
      <c r="FD9" s="22">
        <f>Sheet1!FW9</f>
        <v>33</v>
      </c>
      <c r="FE9" s="22">
        <f>Sheet1!FX9</f>
        <v>33</v>
      </c>
      <c r="FF9" s="22">
        <f>Sheet1!FY9</f>
        <v>31.5</v>
      </c>
      <c r="FG9" s="22">
        <f>Sheet1!FZ9</f>
        <v>31.5</v>
      </c>
      <c r="FH9" s="22">
        <f>Sheet1!GA9</f>
        <v>31.5</v>
      </c>
      <c r="FI9" s="22">
        <f>Sheet1!GB9</f>
        <v>31.5</v>
      </c>
      <c r="FJ9" s="22">
        <f>Sheet1!GC9</f>
        <v>31.5</v>
      </c>
      <c r="FK9" s="22">
        <f>Sheet1!GD9</f>
        <v>31.5</v>
      </c>
      <c r="FL9" s="22">
        <f>Sheet1!GE9</f>
        <v>41</v>
      </c>
      <c r="FM9" s="22">
        <f>Sheet1!GF9</f>
        <v>41</v>
      </c>
      <c r="FN9" s="23">
        <f>Sheet1!GG9</f>
        <v>0</v>
      </c>
      <c r="FO9" s="23">
        <f>Sheet1!GH9</f>
        <v>15.079365079365079</v>
      </c>
      <c r="FP9" s="23">
        <f>Sheet1!GI9</f>
        <v>-18</v>
      </c>
    </row>
    <row r="10" spans="1:180">
      <c r="A10" s="4"/>
      <c r="B10" s="17" t="s">
        <v>202</v>
      </c>
      <c r="C10" s="18"/>
      <c r="D10" s="18"/>
      <c r="E10" s="26"/>
      <c r="F10" s="26"/>
      <c r="G10" s="26"/>
      <c r="H10" s="26"/>
      <c r="I10" s="26"/>
      <c r="J10" s="26"/>
      <c r="K10" s="26"/>
      <c r="L10" s="26"/>
      <c r="M10" s="26"/>
      <c r="N10" s="26"/>
      <c r="O10" s="26"/>
      <c r="P10" s="26"/>
      <c r="Q10" s="26"/>
      <c r="R10" s="26"/>
      <c r="S10" s="26"/>
      <c r="T10" s="26"/>
      <c r="U10" s="26"/>
      <c r="V10" s="26"/>
      <c r="W10" s="26"/>
      <c r="X10" s="26"/>
      <c r="Y10" s="26"/>
      <c r="Z10" s="26"/>
      <c r="AA10" s="19"/>
      <c r="AB10" s="26"/>
      <c r="AC10" s="26"/>
      <c r="AD10" s="26"/>
      <c r="AE10" s="26"/>
      <c r="AF10" s="23"/>
      <c r="AG10" s="23"/>
      <c r="AH10" s="23"/>
      <c r="AI10" s="23"/>
      <c r="AJ10" s="23"/>
      <c r="AK10" s="23"/>
      <c r="AL10" s="23"/>
      <c r="AM10" s="23"/>
      <c r="AN10" s="23"/>
      <c r="AO10" s="23"/>
      <c r="AP10" s="23"/>
      <c r="AQ10" s="23"/>
      <c r="AR10" s="23"/>
      <c r="AS10" s="23"/>
      <c r="AT10" s="23"/>
      <c r="AU10" s="23"/>
      <c r="AV10" s="23"/>
      <c r="AW10" s="23"/>
      <c r="AX10" s="23"/>
      <c r="AY10" s="23"/>
      <c r="AZ10" s="23"/>
      <c r="BA10" s="23"/>
      <c r="BB10" s="23"/>
      <c r="BC10" s="23"/>
      <c r="BD10" s="23"/>
      <c r="BE10" s="23"/>
      <c r="BF10" s="23"/>
      <c r="BG10" s="23"/>
      <c r="BH10" s="23"/>
      <c r="BI10" s="23"/>
      <c r="BJ10" s="23"/>
      <c r="BK10" s="23"/>
      <c r="BL10" s="23"/>
      <c r="BM10" s="23"/>
      <c r="BN10" s="23"/>
      <c r="BO10" s="23"/>
      <c r="BP10" s="23"/>
      <c r="BQ10" s="23"/>
      <c r="BR10" s="23"/>
      <c r="BS10" s="23"/>
      <c r="BT10" s="23"/>
      <c r="BU10" s="23"/>
      <c r="BV10" s="23"/>
      <c r="BW10" s="23"/>
      <c r="BX10" s="23"/>
      <c r="BY10" s="23"/>
      <c r="BZ10" s="23"/>
      <c r="CA10" s="23"/>
      <c r="CB10" s="23"/>
      <c r="CC10" s="23"/>
      <c r="CD10" s="23"/>
      <c r="CE10" s="23"/>
      <c r="CF10" s="23"/>
      <c r="CG10" s="23"/>
      <c r="CH10" s="23"/>
      <c r="CI10" s="23"/>
      <c r="CJ10" s="23"/>
      <c r="CK10" s="23"/>
      <c r="CL10" s="23"/>
      <c r="CM10" s="23"/>
      <c r="CN10" s="23"/>
      <c r="CO10" s="23"/>
      <c r="CP10" s="23"/>
      <c r="CQ10" s="23"/>
      <c r="CR10" s="23"/>
      <c r="CS10" s="23"/>
      <c r="CT10" s="23"/>
      <c r="CU10" s="23"/>
      <c r="CV10" s="23"/>
      <c r="CW10" s="23"/>
      <c r="CX10" s="23"/>
      <c r="CY10" s="23"/>
      <c r="CZ10" s="23"/>
      <c r="DA10" s="23"/>
      <c r="DB10" s="23"/>
      <c r="DC10" s="23"/>
      <c r="DD10" s="23"/>
      <c r="DE10" s="23"/>
      <c r="DF10" s="23"/>
      <c r="DG10" s="23"/>
      <c r="DH10" s="23"/>
      <c r="DI10" s="23"/>
      <c r="DJ10" s="23"/>
      <c r="DK10" s="23"/>
      <c r="DL10" s="23"/>
      <c r="DM10" s="23"/>
      <c r="DN10" s="23"/>
      <c r="DO10" s="23"/>
      <c r="DP10" s="23"/>
      <c r="DQ10" s="23"/>
      <c r="DR10" s="23"/>
      <c r="DS10" s="23"/>
      <c r="DT10" s="23"/>
      <c r="DU10" s="23"/>
      <c r="DV10" s="23"/>
      <c r="DW10" s="23"/>
      <c r="DX10" s="23"/>
      <c r="DY10" s="23"/>
      <c r="DZ10" s="23"/>
      <c r="EA10" s="23"/>
      <c r="EB10" s="23"/>
      <c r="EC10" s="23"/>
      <c r="ED10" s="23"/>
      <c r="EE10" s="23"/>
      <c r="EF10" s="23"/>
      <c r="EG10" s="23"/>
      <c r="EH10" s="23"/>
      <c r="EI10" s="23"/>
      <c r="EJ10" s="23"/>
      <c r="EK10" s="23"/>
      <c r="EL10" s="23"/>
      <c r="EM10" s="23"/>
      <c r="EN10" s="23"/>
      <c r="EO10" s="23"/>
      <c r="EP10" s="23"/>
      <c r="EQ10" s="23"/>
      <c r="ER10" s="23"/>
      <c r="ES10" s="23"/>
      <c r="ET10" s="23"/>
      <c r="EU10" s="23"/>
      <c r="EV10" s="23"/>
      <c r="EW10" s="23"/>
      <c r="EX10" s="23"/>
      <c r="EY10" s="23"/>
      <c r="EZ10" s="23"/>
      <c r="FA10" s="23"/>
      <c r="FB10" s="23"/>
      <c r="FC10" s="23"/>
      <c r="FD10" s="23"/>
      <c r="FE10" s="23"/>
      <c r="FF10" s="23"/>
      <c r="FG10" s="23"/>
      <c r="FH10" s="23"/>
      <c r="FI10" s="23"/>
      <c r="FJ10" s="23"/>
      <c r="FK10" s="23"/>
      <c r="FL10" s="23"/>
      <c r="FM10" s="23"/>
      <c r="FN10" s="23"/>
      <c r="FO10" s="23"/>
      <c r="FP10" s="23"/>
    </row>
    <row r="11" spans="1:180">
      <c r="A11" s="4"/>
      <c r="B11" s="27" t="s">
        <v>243</v>
      </c>
      <c r="C11" s="28" t="e">
        <f>Sheet1!#REF!</f>
        <v>#REF!</v>
      </c>
      <c r="D11" s="28" t="e">
        <f>Sheet1!#REF!</f>
        <v>#REF!</v>
      </c>
      <c r="E11" s="26">
        <v>2.8</v>
      </c>
      <c r="F11" s="26">
        <v>2.8</v>
      </c>
      <c r="G11" s="26">
        <v>2.75</v>
      </c>
      <c r="H11" s="26">
        <v>2.78</v>
      </c>
      <c r="I11" s="26">
        <v>2.78</v>
      </c>
      <c r="J11" s="26">
        <v>2.9</v>
      </c>
      <c r="K11" s="26">
        <v>2.95</v>
      </c>
      <c r="L11" s="26">
        <v>2.95</v>
      </c>
      <c r="M11" s="26">
        <v>3.15</v>
      </c>
      <c r="N11" s="26">
        <v>3.35</v>
      </c>
      <c r="O11" s="26">
        <v>3.35</v>
      </c>
      <c r="P11" s="26">
        <v>3.35</v>
      </c>
      <c r="Q11" s="26">
        <v>3.35</v>
      </c>
      <c r="R11" s="26">
        <v>3.35</v>
      </c>
      <c r="S11" s="26">
        <v>3.08</v>
      </c>
      <c r="T11" s="26">
        <v>3.08</v>
      </c>
      <c r="U11" s="26">
        <v>2.8</v>
      </c>
      <c r="V11" s="26">
        <v>2.75</v>
      </c>
      <c r="W11" s="26">
        <v>2.5499999999999998</v>
      </c>
      <c r="X11" s="26">
        <v>2.4</v>
      </c>
      <c r="Y11" s="26">
        <v>2.4</v>
      </c>
      <c r="Z11" s="26">
        <v>2.4</v>
      </c>
      <c r="AA11" s="19">
        <v>2.35</v>
      </c>
      <c r="AB11" s="19">
        <v>2.2999999999999998</v>
      </c>
      <c r="AC11" s="19">
        <v>2.12</v>
      </c>
      <c r="AD11" s="19">
        <v>2.12</v>
      </c>
      <c r="AE11" s="19">
        <v>2.0499999999999998</v>
      </c>
      <c r="AF11" s="29">
        <f>Sheet1!AY12</f>
        <v>2</v>
      </c>
      <c r="AG11" s="29">
        <f>Sheet1!AZ12</f>
        <v>2</v>
      </c>
      <c r="AH11" s="29">
        <f>Sheet1!BA12</f>
        <v>2</v>
      </c>
      <c r="AI11" s="29">
        <f>Sheet1!BB12</f>
        <v>2</v>
      </c>
      <c r="AJ11" s="29">
        <f>Sheet1!BC12</f>
        <v>2.02</v>
      </c>
      <c r="AK11" s="29">
        <f>Sheet1!BD12</f>
        <v>2.02</v>
      </c>
      <c r="AL11" s="29">
        <f>Sheet1!BE12</f>
        <v>2.02</v>
      </c>
      <c r="AM11" s="29">
        <f>Sheet1!BF12</f>
        <v>2.02</v>
      </c>
      <c r="AN11" s="29">
        <f>Sheet1!BG12</f>
        <v>2.02</v>
      </c>
      <c r="AO11" s="29">
        <f>Sheet1!BH12</f>
        <v>2.02</v>
      </c>
      <c r="AP11" s="29">
        <f>Sheet1!BI12</f>
        <v>2</v>
      </c>
      <c r="AQ11" s="29">
        <f>Sheet1!BJ12</f>
        <v>1.95</v>
      </c>
      <c r="AR11" s="29">
        <f>Sheet1!BK12</f>
        <v>1.8</v>
      </c>
      <c r="AS11" s="29">
        <f>Sheet1!BL12</f>
        <v>1.8</v>
      </c>
      <c r="AT11" s="29">
        <f>Sheet1!BM12</f>
        <v>1.7</v>
      </c>
      <c r="AU11" s="29">
        <f>Sheet1!BN12</f>
        <v>1.7</v>
      </c>
      <c r="AV11" s="29">
        <f>Sheet1!BO12</f>
        <v>1.67</v>
      </c>
      <c r="AW11" s="29">
        <f>Sheet1!BP12</f>
        <v>1.55</v>
      </c>
      <c r="AX11" s="29">
        <f>Sheet1!BQ12</f>
        <v>1.45</v>
      </c>
      <c r="AY11" s="29">
        <f>Sheet1!BR12</f>
        <v>1.25</v>
      </c>
      <c r="AZ11" s="29">
        <f>Sheet1!BS12</f>
        <v>1.25</v>
      </c>
      <c r="BA11" s="29">
        <f>Sheet1!BT12</f>
        <v>1.25</v>
      </c>
      <c r="BB11" s="29">
        <f>Sheet1!BU12</f>
        <v>1.25</v>
      </c>
      <c r="BC11" s="29">
        <f>Sheet1!BV12</f>
        <v>1.25</v>
      </c>
      <c r="BD11" s="29">
        <f>Sheet1!BW12</f>
        <v>1.25</v>
      </c>
      <c r="BE11" s="29">
        <f>Sheet1!BX12</f>
        <v>1.25</v>
      </c>
      <c r="BF11" s="29">
        <f>Sheet1!BY12</f>
        <v>1.25</v>
      </c>
      <c r="BG11" s="29">
        <f>Sheet1!BZ12</f>
        <v>1.25</v>
      </c>
      <c r="BH11" s="29">
        <f>Sheet1!CA12</f>
        <v>1.25</v>
      </c>
      <c r="BI11" s="29">
        <f>Sheet1!CB12</f>
        <v>1.25</v>
      </c>
      <c r="BJ11" s="29">
        <f>Sheet1!CC12</f>
        <v>1.25</v>
      </c>
      <c r="BK11" s="29">
        <f>Sheet1!CD12</f>
        <v>1.25</v>
      </c>
      <c r="BL11" s="29">
        <f>Sheet1!CE12</f>
        <v>1.25</v>
      </c>
      <c r="BM11" s="29">
        <f>Sheet1!CF12</f>
        <v>1.25</v>
      </c>
      <c r="BN11" s="29">
        <f>Sheet1!CG12</f>
        <v>1.25</v>
      </c>
      <c r="BO11" s="29">
        <f>Sheet1!CH12</f>
        <v>1.25</v>
      </c>
      <c r="BP11" s="29">
        <f>Sheet1!CI12</f>
        <v>1.1499999999999999</v>
      </c>
      <c r="BQ11" s="29">
        <f>Sheet1!CJ12</f>
        <v>1.1499999999999999</v>
      </c>
      <c r="BR11" s="29">
        <f>Sheet1!CK12</f>
        <v>1.1499999999999999</v>
      </c>
      <c r="BS11" s="29">
        <f>Sheet1!CL12</f>
        <v>1.1499999999999999</v>
      </c>
      <c r="BT11" s="29">
        <f>Sheet1!CM12</f>
        <v>1.1499999999999999</v>
      </c>
      <c r="BU11" s="29">
        <f>Sheet1!CN12</f>
        <v>1.1499999999999999</v>
      </c>
      <c r="BV11" s="29">
        <f>Sheet1!CO12</f>
        <v>1.1499999999999999</v>
      </c>
      <c r="BW11" s="29">
        <f>Sheet1!CP12</f>
        <v>1.1000000000000001</v>
      </c>
      <c r="BX11" s="29">
        <f>Sheet1!CQ12</f>
        <v>1.08</v>
      </c>
      <c r="BY11" s="29">
        <f>Sheet1!CR12</f>
        <v>1.08</v>
      </c>
      <c r="BZ11" s="29">
        <f>Sheet1!CS12</f>
        <v>1.08</v>
      </c>
      <c r="CA11" s="29">
        <f>Sheet1!CT12</f>
        <v>1.08</v>
      </c>
      <c r="CB11" s="29">
        <f>Sheet1!CU12</f>
        <v>1.08</v>
      </c>
      <c r="CC11" s="29">
        <f>Sheet1!CV12</f>
        <v>1.08</v>
      </c>
      <c r="CD11" s="29">
        <f>Sheet1!CW12</f>
        <v>1.08</v>
      </c>
      <c r="CE11" s="29">
        <f>Sheet1!CX12</f>
        <v>1.08</v>
      </c>
      <c r="CF11" s="29">
        <f>Sheet1!CY12</f>
        <v>1.08</v>
      </c>
      <c r="CG11" s="29">
        <f>Sheet1!CZ12</f>
        <v>1.08</v>
      </c>
      <c r="CH11" s="29">
        <f>Sheet1!DA12</f>
        <v>1.08</v>
      </c>
      <c r="CI11" s="29">
        <f>Sheet1!DB12</f>
        <v>1.08</v>
      </c>
      <c r="CJ11" s="29">
        <f>Sheet1!DC12</f>
        <v>1.08</v>
      </c>
      <c r="CK11" s="29">
        <f>Sheet1!DD12</f>
        <v>1.08</v>
      </c>
      <c r="CL11" s="29">
        <f>Sheet1!DE12</f>
        <v>1.08</v>
      </c>
      <c r="CM11" s="29">
        <f>Sheet1!DF12</f>
        <v>1.08</v>
      </c>
      <c r="CN11" s="29">
        <f>Sheet1!DG12</f>
        <v>1.08</v>
      </c>
      <c r="CO11" s="29">
        <f>Sheet1!DH12</f>
        <v>1.08</v>
      </c>
      <c r="CP11" s="29">
        <f>Sheet1!DI12</f>
        <v>1.08</v>
      </c>
      <c r="CQ11" s="29"/>
      <c r="CR11" s="23"/>
      <c r="CS11" s="23"/>
      <c r="CT11" s="23"/>
      <c r="CU11" s="23"/>
      <c r="CV11" s="23"/>
      <c r="CW11" s="23"/>
      <c r="CX11" s="23"/>
      <c r="CY11" s="23"/>
      <c r="CZ11" s="23"/>
      <c r="DA11" s="23"/>
      <c r="DB11" s="23"/>
      <c r="DC11" s="23"/>
      <c r="DD11" s="23"/>
      <c r="DE11" s="23"/>
      <c r="DF11" s="23"/>
      <c r="DG11" s="23"/>
      <c r="DH11" s="23"/>
      <c r="DI11" s="23"/>
      <c r="DJ11" s="23"/>
      <c r="DK11" s="23"/>
      <c r="DL11" s="23"/>
      <c r="DM11" s="23"/>
      <c r="DN11" s="23"/>
      <c r="DO11" s="23"/>
      <c r="DP11" s="23"/>
      <c r="DQ11" s="23"/>
      <c r="DR11" s="23"/>
      <c r="DS11" s="23"/>
      <c r="DT11" s="23"/>
      <c r="DU11" s="23"/>
      <c r="DV11" s="23"/>
      <c r="DW11" s="23"/>
      <c r="DX11" s="23"/>
      <c r="DY11" s="23"/>
      <c r="DZ11" s="23"/>
      <c r="EA11" s="23"/>
      <c r="EB11" s="23"/>
      <c r="EC11" s="23"/>
      <c r="ED11" s="23"/>
      <c r="EE11" s="23"/>
      <c r="EF11" s="23"/>
      <c r="EG11" s="23"/>
      <c r="EH11" s="23"/>
      <c r="EI11" s="23"/>
      <c r="EJ11" s="23"/>
      <c r="EK11" s="23"/>
      <c r="EL11" s="23"/>
      <c r="EM11" s="23"/>
      <c r="EN11" s="23"/>
      <c r="EO11" s="23"/>
      <c r="EP11" s="23"/>
      <c r="EQ11" s="23"/>
      <c r="ER11" s="23"/>
      <c r="ES11" s="23"/>
      <c r="ET11" s="23"/>
      <c r="EU11" s="23"/>
      <c r="EV11" s="23"/>
      <c r="EW11" s="23"/>
      <c r="EX11" s="23"/>
      <c r="EY11" s="23"/>
      <c r="EZ11" s="23"/>
      <c r="FA11" s="23"/>
      <c r="FB11" s="23"/>
      <c r="FC11" s="23"/>
      <c r="FD11" s="23"/>
      <c r="FE11" s="23"/>
      <c r="FF11" s="23"/>
      <c r="FG11" s="23"/>
      <c r="FH11" s="23"/>
      <c r="FI11" s="23"/>
      <c r="FJ11" s="23"/>
      <c r="FK11" s="23"/>
      <c r="FL11" s="23" t="s">
        <v>204</v>
      </c>
      <c r="FM11" s="23" t="s">
        <v>204</v>
      </c>
      <c r="FN11" s="23" t="s">
        <v>204</v>
      </c>
      <c r="FO11" s="23" t="s">
        <v>204</v>
      </c>
      <c r="FP11" s="23" t="s">
        <v>204</v>
      </c>
    </row>
    <row r="12" spans="1:180">
      <c r="A12" s="4"/>
      <c r="B12" s="27" t="s">
        <v>244</v>
      </c>
      <c r="C12" s="28" t="e">
        <f>Sheet1!#REF!</f>
        <v>#REF!</v>
      </c>
      <c r="D12" s="28" t="e">
        <f>Sheet1!#REF!</f>
        <v>#REF!</v>
      </c>
      <c r="E12" s="26">
        <v>4</v>
      </c>
      <c r="F12" s="26">
        <v>4</v>
      </c>
      <c r="G12" s="26">
        <v>4</v>
      </c>
      <c r="H12" s="26">
        <v>3.77</v>
      </c>
      <c r="I12" s="26">
        <v>3.77</v>
      </c>
      <c r="J12" s="26">
        <v>3.77</v>
      </c>
      <c r="K12" s="26">
        <v>3.92</v>
      </c>
      <c r="L12" s="26">
        <v>3.92</v>
      </c>
      <c r="M12" s="26">
        <v>4.0999999999999996</v>
      </c>
      <c r="N12" s="26">
        <v>4.3499999999999996</v>
      </c>
      <c r="O12" s="26">
        <v>4.3499999999999996</v>
      </c>
      <c r="P12" s="26">
        <v>4.3499999999999996</v>
      </c>
      <c r="Q12" s="26">
        <v>4.25</v>
      </c>
      <c r="R12" s="26">
        <v>4.2</v>
      </c>
      <c r="S12" s="26">
        <v>4.0199999999999996</v>
      </c>
      <c r="T12" s="26">
        <v>4.0199999999999996</v>
      </c>
      <c r="U12" s="26">
        <v>3.9</v>
      </c>
      <c r="V12" s="26">
        <v>3.66</v>
      </c>
      <c r="W12" s="26">
        <v>3.45</v>
      </c>
      <c r="X12" s="26">
        <v>3.3</v>
      </c>
      <c r="Y12" s="26">
        <v>3.3</v>
      </c>
      <c r="Z12" s="26">
        <v>3.3</v>
      </c>
      <c r="AA12" s="19">
        <v>3.3</v>
      </c>
      <c r="AB12" s="19">
        <v>3.3</v>
      </c>
      <c r="AC12" s="19">
        <v>3.3</v>
      </c>
      <c r="AD12" s="19">
        <v>3.05</v>
      </c>
      <c r="AE12" s="19">
        <v>3</v>
      </c>
      <c r="AF12" s="29">
        <f>Sheet1!AY13</f>
        <v>3</v>
      </c>
      <c r="AG12" s="29">
        <f>Sheet1!AZ13</f>
        <v>3</v>
      </c>
      <c r="AH12" s="29">
        <f>Sheet1!BA13</f>
        <v>3</v>
      </c>
      <c r="AI12" s="29">
        <f>Sheet1!BB13</f>
        <v>2.95</v>
      </c>
      <c r="AJ12" s="29">
        <f>Sheet1!BC13</f>
        <v>2.95</v>
      </c>
      <c r="AK12" s="29">
        <f>Sheet1!BD13</f>
        <v>2.85</v>
      </c>
      <c r="AL12" s="29">
        <f>Sheet1!BE13</f>
        <v>2.8</v>
      </c>
      <c r="AM12" s="29">
        <f>Sheet1!BF13</f>
        <v>2.8</v>
      </c>
      <c r="AN12" s="29">
        <f>Sheet1!BG13</f>
        <v>2.8</v>
      </c>
      <c r="AO12" s="29">
        <f>Sheet1!BH13</f>
        <v>2.8</v>
      </c>
      <c r="AP12" s="29">
        <f>Sheet1!BI13</f>
        <v>2.75</v>
      </c>
      <c r="AQ12" s="29">
        <f>Sheet1!BJ13</f>
        <v>2.75</v>
      </c>
      <c r="AR12" s="29">
        <f>Sheet1!BK13</f>
        <v>2.4</v>
      </c>
      <c r="AS12" s="29">
        <f>Sheet1!BL13</f>
        <v>2.4</v>
      </c>
      <c r="AT12" s="29">
        <f>Sheet1!BM13</f>
        <v>2.35</v>
      </c>
      <c r="AU12" s="29">
        <f>Sheet1!BN13</f>
        <v>2.35</v>
      </c>
      <c r="AV12" s="29">
        <f>Sheet1!BO13</f>
        <v>2.15</v>
      </c>
      <c r="AW12" s="29">
        <f>Sheet1!BP13</f>
        <v>2.13</v>
      </c>
      <c r="AX12" s="29">
        <f>Sheet1!BQ13</f>
        <v>1.95</v>
      </c>
      <c r="AY12" s="29">
        <f>Sheet1!BR13</f>
        <v>1.85</v>
      </c>
      <c r="AZ12" s="29">
        <f>Sheet1!BS13</f>
        <v>1.85</v>
      </c>
      <c r="BA12" s="29">
        <f>Sheet1!BT13</f>
        <v>1.85</v>
      </c>
      <c r="BB12" s="29">
        <f>Sheet1!BU13</f>
        <v>1.85</v>
      </c>
      <c r="BC12" s="29">
        <f>Sheet1!BV13</f>
        <v>1.85</v>
      </c>
      <c r="BD12" s="29">
        <f>Sheet1!BW13</f>
        <v>1.85</v>
      </c>
      <c r="BE12" s="29">
        <f>Sheet1!BX13</f>
        <v>1.85</v>
      </c>
      <c r="BF12" s="29">
        <f>Sheet1!BY13</f>
        <v>1.85</v>
      </c>
      <c r="BG12" s="29">
        <f>Sheet1!BZ13</f>
        <v>1.85</v>
      </c>
      <c r="BH12" s="29">
        <f>Sheet1!CA13</f>
        <v>1.85</v>
      </c>
      <c r="BI12" s="29">
        <f>Sheet1!CB13</f>
        <v>1.85</v>
      </c>
      <c r="BJ12" s="29">
        <f>Sheet1!CC13</f>
        <v>1.85</v>
      </c>
      <c r="BK12" s="29">
        <f>Sheet1!CD13</f>
        <v>1.85</v>
      </c>
      <c r="BL12" s="29">
        <f>Sheet1!CE13</f>
        <v>1.85</v>
      </c>
      <c r="BM12" s="29">
        <f>Sheet1!CF13</f>
        <v>1.85</v>
      </c>
      <c r="BN12" s="29">
        <f>Sheet1!CG13</f>
        <v>1.85</v>
      </c>
      <c r="BO12" s="29">
        <f>Sheet1!CH13</f>
        <v>1.85</v>
      </c>
      <c r="BP12" s="29">
        <f>Sheet1!CI13</f>
        <v>1.75</v>
      </c>
      <c r="BQ12" s="29">
        <f>Sheet1!CJ13</f>
        <v>1.7</v>
      </c>
      <c r="BR12" s="29">
        <f>Sheet1!CK13</f>
        <v>1.72</v>
      </c>
      <c r="BS12" s="29">
        <f>Sheet1!CL13</f>
        <v>1.72</v>
      </c>
      <c r="BT12" s="29">
        <f>Sheet1!CM13</f>
        <v>1.72</v>
      </c>
      <c r="BU12" s="29">
        <f>Sheet1!CN13</f>
        <v>1.72</v>
      </c>
      <c r="BV12" s="29">
        <f>Sheet1!CO13</f>
        <v>1.72</v>
      </c>
      <c r="BW12" s="29">
        <f>Sheet1!CP13</f>
        <v>1.65</v>
      </c>
      <c r="BX12" s="29">
        <f>Sheet1!CQ13</f>
        <v>1.65</v>
      </c>
      <c r="BY12" s="29">
        <f>Sheet1!CR13</f>
        <v>1.65</v>
      </c>
      <c r="BZ12" s="29">
        <f>Sheet1!CS13</f>
        <v>1.65</v>
      </c>
      <c r="CA12" s="29">
        <f>Sheet1!CT13</f>
        <v>1.65</v>
      </c>
      <c r="CB12" s="29">
        <f>Sheet1!CU13</f>
        <v>1.65</v>
      </c>
      <c r="CC12" s="29">
        <f>Sheet1!CV13</f>
        <v>1.65</v>
      </c>
      <c r="CD12" s="29">
        <f>Sheet1!CW13</f>
        <v>1.65</v>
      </c>
      <c r="CE12" s="29">
        <f>Sheet1!CX13</f>
        <v>1.65</v>
      </c>
      <c r="CF12" s="29">
        <f>Sheet1!CY13</f>
        <v>1.65</v>
      </c>
      <c r="CG12" s="29">
        <f>Sheet1!CZ13</f>
        <v>1.65</v>
      </c>
      <c r="CH12" s="29">
        <f>Sheet1!DA13</f>
        <v>1.65</v>
      </c>
      <c r="CI12" s="29">
        <f>Sheet1!DB13</f>
        <v>1.65</v>
      </c>
      <c r="CJ12" s="29">
        <f>Sheet1!DC13</f>
        <v>1.65</v>
      </c>
      <c r="CK12" s="29">
        <f>Sheet1!DD13</f>
        <v>1.65</v>
      </c>
      <c r="CL12" s="29">
        <f>Sheet1!DE13</f>
        <v>1.65</v>
      </c>
      <c r="CM12" s="29">
        <f>Sheet1!DF13</f>
        <v>1.65</v>
      </c>
      <c r="CN12" s="29">
        <f>Sheet1!DG13</f>
        <v>1.65</v>
      </c>
      <c r="CO12" s="29">
        <f>Sheet1!DH13</f>
        <v>1.65</v>
      </c>
      <c r="CP12" s="29">
        <f>Sheet1!DI13</f>
        <v>1.58</v>
      </c>
      <c r="CQ12" s="29"/>
      <c r="CR12" s="23"/>
      <c r="CS12" s="23"/>
      <c r="CT12" s="23"/>
      <c r="CU12" s="23"/>
      <c r="CV12" s="23"/>
      <c r="CW12" s="23"/>
      <c r="CX12" s="23"/>
      <c r="CY12" s="23"/>
      <c r="CZ12" s="23"/>
      <c r="DA12" s="23"/>
      <c r="DB12" s="23"/>
      <c r="DC12" s="23"/>
      <c r="DD12" s="23"/>
      <c r="DE12" s="23"/>
      <c r="DF12" s="23"/>
      <c r="DG12" s="23"/>
      <c r="DH12" s="23"/>
      <c r="DI12" s="23"/>
      <c r="DJ12" s="23"/>
      <c r="DK12" s="23"/>
      <c r="DL12" s="23"/>
      <c r="DM12" s="23"/>
      <c r="DN12" s="23"/>
      <c r="DO12" s="23"/>
      <c r="DP12" s="23"/>
      <c r="DQ12" s="23"/>
      <c r="DR12" s="23"/>
      <c r="DS12" s="23"/>
      <c r="DT12" s="23"/>
      <c r="DU12" s="23"/>
      <c r="DV12" s="23"/>
      <c r="DW12" s="23"/>
      <c r="DX12" s="23"/>
      <c r="DY12" s="23"/>
      <c r="DZ12" s="23"/>
      <c r="EA12" s="23"/>
      <c r="EB12" s="23"/>
      <c r="EC12" s="23"/>
      <c r="ED12" s="23"/>
      <c r="EE12" s="23"/>
      <c r="EF12" s="23"/>
      <c r="EG12" s="23"/>
      <c r="EH12" s="23"/>
      <c r="EI12" s="23"/>
      <c r="EJ12" s="23"/>
      <c r="EK12" s="23"/>
      <c r="EL12" s="23"/>
      <c r="EM12" s="23"/>
      <c r="EN12" s="23"/>
      <c r="EO12" s="23"/>
      <c r="EP12" s="23"/>
      <c r="EQ12" s="23"/>
      <c r="ER12" s="23"/>
      <c r="ES12" s="23"/>
      <c r="ET12" s="23"/>
      <c r="EU12" s="23"/>
      <c r="EV12" s="23"/>
      <c r="EW12" s="23"/>
      <c r="EX12" s="23"/>
      <c r="EY12" s="23"/>
      <c r="EZ12" s="23"/>
      <c r="FA12" s="23"/>
      <c r="FB12" s="23"/>
      <c r="FC12" s="23"/>
      <c r="FD12" s="23"/>
      <c r="FE12" s="23"/>
      <c r="FF12" s="23"/>
      <c r="FG12" s="23"/>
      <c r="FH12" s="23"/>
      <c r="FI12" s="23"/>
      <c r="FJ12" s="23"/>
      <c r="FK12" s="23"/>
      <c r="FL12" s="23" t="s">
        <v>204</v>
      </c>
      <c r="FM12" s="23" t="s">
        <v>204</v>
      </c>
      <c r="FN12" s="23" t="s">
        <v>204</v>
      </c>
      <c r="FO12" s="23" t="s">
        <v>204</v>
      </c>
      <c r="FP12" s="23" t="s">
        <v>204</v>
      </c>
    </row>
    <row r="13" spans="1:180">
      <c r="A13" s="4"/>
      <c r="B13" s="27" t="s">
        <v>207</v>
      </c>
      <c r="C13" s="28" t="e">
        <f>Sheet1!#REF!</f>
        <v>#REF!</v>
      </c>
      <c r="D13" s="28" t="e">
        <f>Sheet1!#REF!</f>
        <v>#REF!</v>
      </c>
      <c r="E13" s="26">
        <v>5</v>
      </c>
      <c r="F13" s="26">
        <v>5</v>
      </c>
      <c r="G13" s="26">
        <v>5</v>
      </c>
      <c r="H13" s="26">
        <v>3.84</v>
      </c>
      <c r="I13" s="26">
        <v>3.84</v>
      </c>
      <c r="J13" s="26">
        <v>3.84</v>
      </c>
      <c r="K13" s="26">
        <v>3.98</v>
      </c>
      <c r="L13" s="26">
        <v>3.98</v>
      </c>
      <c r="M13" s="26">
        <v>4.25</v>
      </c>
      <c r="N13" s="26">
        <v>4.32</v>
      </c>
      <c r="O13" s="26">
        <v>4.32</v>
      </c>
      <c r="P13" s="26">
        <v>4.32</v>
      </c>
      <c r="Q13" s="26">
        <v>4.32</v>
      </c>
      <c r="R13" s="26">
        <v>4.32</v>
      </c>
      <c r="S13" s="26">
        <v>4.2</v>
      </c>
      <c r="T13" s="26">
        <v>4.2</v>
      </c>
      <c r="U13" s="26">
        <v>3.95</v>
      </c>
      <c r="V13" s="26">
        <v>3.85</v>
      </c>
      <c r="W13" s="26">
        <v>3.5</v>
      </c>
      <c r="X13" s="26">
        <v>3.35</v>
      </c>
      <c r="Y13" s="26">
        <v>3.35</v>
      </c>
      <c r="Z13" s="26">
        <v>3.35</v>
      </c>
      <c r="AA13" s="19">
        <v>3.35</v>
      </c>
      <c r="AB13" s="19">
        <v>3.35</v>
      </c>
      <c r="AC13" s="19">
        <v>3.35</v>
      </c>
      <c r="AD13" s="19">
        <v>3.35</v>
      </c>
      <c r="AE13" s="19">
        <v>3.25</v>
      </c>
      <c r="AF13" s="29">
        <f>Sheet1!AY15</f>
        <v>3.23</v>
      </c>
      <c r="AG13" s="29">
        <f>Sheet1!AZ15</f>
        <v>3.23</v>
      </c>
      <c r="AH13" s="29">
        <f>Sheet1!BA15</f>
        <v>3.23</v>
      </c>
      <c r="AI13" s="29">
        <f>Sheet1!BB15</f>
        <v>3.1</v>
      </c>
      <c r="AJ13" s="29">
        <f>Sheet1!BC15</f>
        <v>3.1</v>
      </c>
      <c r="AK13" s="29">
        <f>Sheet1!BD15</f>
        <v>3.08</v>
      </c>
      <c r="AL13" s="29">
        <f>Sheet1!BE15</f>
        <v>3.08</v>
      </c>
      <c r="AM13" s="29">
        <f>Sheet1!BF15</f>
        <v>3.08</v>
      </c>
      <c r="AN13" s="29">
        <f>Sheet1!BG15</f>
        <v>3.08</v>
      </c>
      <c r="AO13" s="29">
        <f>Sheet1!BH15</f>
        <v>3.08</v>
      </c>
      <c r="AP13" s="29">
        <f>Sheet1!BI15</f>
        <v>2.95</v>
      </c>
      <c r="AQ13" s="29">
        <f>Sheet1!BJ15</f>
        <v>2.85</v>
      </c>
      <c r="AR13" s="29">
        <f>Sheet1!BK15</f>
        <v>2.75</v>
      </c>
      <c r="AS13" s="29">
        <f>Sheet1!BL15</f>
        <v>2.65</v>
      </c>
      <c r="AT13" s="29">
        <f>Sheet1!BM15</f>
        <v>2.6</v>
      </c>
      <c r="AU13" s="29">
        <f>Sheet1!BN15</f>
        <v>2.6</v>
      </c>
      <c r="AV13" s="29">
        <f>Sheet1!BO15</f>
        <v>2.2999999999999998</v>
      </c>
      <c r="AW13" s="29">
        <f>Sheet1!BP15</f>
        <v>2.23</v>
      </c>
      <c r="AX13" s="29">
        <f>Sheet1!BQ15</f>
        <v>2.1</v>
      </c>
      <c r="AY13" s="29">
        <f>Sheet1!BR15</f>
        <v>1.85</v>
      </c>
      <c r="AZ13" s="29">
        <f>Sheet1!BS15</f>
        <v>1.85</v>
      </c>
      <c r="BA13" s="29">
        <f>Sheet1!BT15</f>
        <v>1.85</v>
      </c>
      <c r="BB13" s="29">
        <f>Sheet1!BU15</f>
        <v>1.85</v>
      </c>
      <c r="BC13" s="29">
        <f>Sheet1!BV15</f>
        <v>1.85</v>
      </c>
      <c r="BD13" s="29">
        <f>Sheet1!BW15</f>
        <v>1.85</v>
      </c>
      <c r="BE13" s="29">
        <f>Sheet1!BX15</f>
        <v>1.85</v>
      </c>
      <c r="BF13" s="29">
        <f>Sheet1!BY15</f>
        <v>1.85</v>
      </c>
      <c r="BG13" s="29">
        <f>Sheet1!BZ15</f>
        <v>1.85</v>
      </c>
      <c r="BH13" s="29">
        <f>Sheet1!CA15</f>
        <v>1.85</v>
      </c>
      <c r="BI13" s="29">
        <f>Sheet1!CB15</f>
        <v>1.85</v>
      </c>
      <c r="BJ13" s="29">
        <f>Sheet1!CC15</f>
        <v>1.75</v>
      </c>
      <c r="BK13" s="29">
        <f>Sheet1!CD15</f>
        <v>1.7</v>
      </c>
      <c r="BL13" s="29">
        <f>Sheet1!CE15</f>
        <v>1.7</v>
      </c>
      <c r="BM13" s="29">
        <f>Sheet1!CF15</f>
        <v>1.6</v>
      </c>
      <c r="BN13" s="29">
        <f>Sheet1!CG15</f>
        <v>1.55</v>
      </c>
      <c r="BO13" s="29">
        <f>Sheet1!CH15</f>
        <v>1.5</v>
      </c>
      <c r="BP13" s="29">
        <f>Sheet1!CI15</f>
        <v>1.5</v>
      </c>
      <c r="BQ13" s="29">
        <f>Sheet1!CJ15</f>
        <v>1.5</v>
      </c>
      <c r="BR13" s="29">
        <f>Sheet1!CK15</f>
        <v>1.5</v>
      </c>
      <c r="BS13" s="29">
        <f>Sheet1!CL15</f>
        <v>1.5</v>
      </c>
      <c r="BT13" s="29">
        <f>Sheet1!CM15</f>
        <v>1.45</v>
      </c>
      <c r="BU13" s="29">
        <f>Sheet1!CN15</f>
        <v>1.45</v>
      </c>
      <c r="BV13" s="29">
        <f>Sheet1!CO15</f>
        <v>1.45</v>
      </c>
      <c r="BW13" s="29">
        <f>Sheet1!CP15</f>
        <v>1.45</v>
      </c>
      <c r="BX13" s="29">
        <f>Sheet1!CQ15</f>
        <v>1.45</v>
      </c>
      <c r="BY13" s="29">
        <f>Sheet1!CR15</f>
        <v>1.45</v>
      </c>
      <c r="BZ13" s="29">
        <f>Sheet1!CS15</f>
        <v>1.45</v>
      </c>
      <c r="CA13" s="29">
        <f>Sheet1!CT15</f>
        <v>1.45</v>
      </c>
      <c r="CB13" s="29">
        <f>Sheet1!CU15</f>
        <v>1.45</v>
      </c>
      <c r="CC13" s="29">
        <f>Sheet1!CV15</f>
        <v>1.45</v>
      </c>
      <c r="CD13" s="29">
        <f>Sheet1!CW15</f>
        <v>1.45</v>
      </c>
      <c r="CE13" s="29">
        <f>Sheet1!CX15</f>
        <v>1.45</v>
      </c>
      <c r="CF13" s="29">
        <f>Sheet1!CY15</f>
        <v>1.55</v>
      </c>
      <c r="CG13" s="29">
        <f>Sheet1!CZ15</f>
        <v>1.55</v>
      </c>
      <c r="CH13" s="29">
        <f>Sheet1!DA15</f>
        <v>1.55</v>
      </c>
      <c r="CI13" s="29">
        <f>Sheet1!DB15</f>
        <v>1.55</v>
      </c>
      <c r="CJ13" s="29">
        <f>Sheet1!DC15</f>
        <v>1.55</v>
      </c>
      <c r="CK13" s="29">
        <f>Sheet1!DD15</f>
        <v>1.55</v>
      </c>
      <c r="CL13" s="29">
        <f>Sheet1!DE15</f>
        <v>1.55</v>
      </c>
      <c r="CM13" s="29">
        <f>Sheet1!DF15</f>
        <v>1.55</v>
      </c>
      <c r="CN13" s="29">
        <f>Sheet1!DG15</f>
        <v>1.55</v>
      </c>
      <c r="CO13" s="29">
        <f>Sheet1!DH15</f>
        <v>1.55</v>
      </c>
      <c r="CP13" s="29">
        <f>Sheet1!DI15</f>
        <v>1.55</v>
      </c>
      <c r="CQ13" s="29">
        <f>Sheet1!DJ15</f>
        <v>1.58</v>
      </c>
      <c r="CR13" s="29">
        <f>Sheet1!DK15</f>
        <v>1.58</v>
      </c>
      <c r="CS13" s="29">
        <f>Sheet1!DL15</f>
        <v>1.55</v>
      </c>
      <c r="CT13" s="29">
        <f>Sheet1!DM15</f>
        <v>1.45</v>
      </c>
      <c r="CU13" s="29">
        <f>Sheet1!DN15</f>
        <v>1.45</v>
      </c>
      <c r="CV13" s="29">
        <f>Sheet1!DO15</f>
        <v>1.35</v>
      </c>
      <c r="CW13" s="29">
        <f>Sheet1!DP15</f>
        <v>1.3</v>
      </c>
      <c r="CX13" s="29">
        <f>Sheet1!DQ15</f>
        <v>1.3</v>
      </c>
      <c r="CY13" s="29">
        <f>Sheet1!DR15</f>
        <v>1.3</v>
      </c>
      <c r="CZ13" s="29">
        <f>Sheet1!DS15</f>
        <v>1.3</v>
      </c>
      <c r="DA13" s="29">
        <f>Sheet1!DT15</f>
        <v>1.3</v>
      </c>
      <c r="DB13" s="29">
        <f>Sheet1!DU15</f>
        <v>1.25</v>
      </c>
      <c r="DC13" s="29">
        <f>Sheet1!DV15</f>
        <v>1.23</v>
      </c>
      <c r="DD13" s="29">
        <f>Sheet1!DW15</f>
        <v>1.23</v>
      </c>
      <c r="DE13" s="29">
        <f>Sheet1!DX15</f>
        <v>1.3</v>
      </c>
      <c r="DF13" s="29">
        <f>Sheet1!DY15</f>
        <v>1.4</v>
      </c>
      <c r="DG13" s="29">
        <f>Sheet1!DZ15</f>
        <v>1.45</v>
      </c>
      <c r="DH13" s="29">
        <f>Sheet1!EA15</f>
        <v>1.55</v>
      </c>
      <c r="DI13" s="29">
        <f>Sheet1!EB15</f>
        <v>1.55</v>
      </c>
      <c r="DJ13" s="29">
        <f>Sheet1!EC15</f>
        <v>1.55</v>
      </c>
      <c r="DK13" s="29">
        <f>Sheet1!ED15</f>
        <v>1.55</v>
      </c>
      <c r="DL13" s="29">
        <f>Sheet1!EE15</f>
        <v>1.6</v>
      </c>
      <c r="DM13" s="29">
        <f>Sheet1!EF15</f>
        <v>1.6</v>
      </c>
      <c r="DN13" s="29">
        <f>Sheet1!EG15</f>
        <v>1.65</v>
      </c>
      <c r="DO13" s="29">
        <f>Sheet1!EH15</f>
        <v>1.7</v>
      </c>
      <c r="DP13" s="29">
        <f>Sheet1!EI15</f>
        <v>1.7</v>
      </c>
      <c r="DQ13" s="29">
        <f>Sheet1!EJ15</f>
        <v>1.7</v>
      </c>
      <c r="DR13" s="29">
        <f>Sheet1!EK15</f>
        <v>1.7</v>
      </c>
      <c r="DS13" s="29">
        <f>Sheet1!EL15</f>
        <v>1.7</v>
      </c>
      <c r="DT13" s="29">
        <f>Sheet1!EM15</f>
        <v>1.7</v>
      </c>
      <c r="DU13" s="29">
        <f>Sheet1!EN15</f>
        <v>1.65</v>
      </c>
      <c r="DV13" s="29">
        <f>Sheet1!EO15</f>
        <v>1.65</v>
      </c>
      <c r="DW13" s="29">
        <f>Sheet1!EP15</f>
        <v>1.65</v>
      </c>
      <c r="DX13" s="29">
        <f>Sheet1!EQ15</f>
        <v>1.55</v>
      </c>
      <c r="DY13" s="29">
        <f>Sheet1!ER15</f>
        <v>1.53</v>
      </c>
      <c r="DZ13" s="29">
        <f>Sheet1!ES15</f>
        <v>1.5</v>
      </c>
      <c r="EA13" s="29">
        <f>Sheet1!ET15</f>
        <v>1.5</v>
      </c>
      <c r="EB13" s="29">
        <f>Sheet1!EU15</f>
        <v>1.55</v>
      </c>
      <c r="EC13" s="29">
        <f>Sheet1!EV15</f>
        <v>1.55</v>
      </c>
      <c r="ED13" s="29">
        <f>Sheet1!EW15</f>
        <v>1.55</v>
      </c>
      <c r="EE13" s="29">
        <f>Sheet1!EX15</f>
        <v>1.55</v>
      </c>
      <c r="EF13" s="29">
        <f>Sheet1!EY15</f>
        <v>1.55</v>
      </c>
      <c r="EG13" s="29">
        <f>Sheet1!EZ15</f>
        <v>1.5</v>
      </c>
      <c r="EH13" s="29">
        <f>Sheet1!FA15</f>
        <v>1.48</v>
      </c>
      <c r="EI13" s="29">
        <f>Sheet1!FB15</f>
        <v>1.4</v>
      </c>
      <c r="EJ13" s="29">
        <f>Sheet1!FC15</f>
        <v>1.4</v>
      </c>
      <c r="EK13" s="29">
        <f>Sheet1!FD15</f>
        <v>1.35</v>
      </c>
      <c r="EL13" s="29">
        <f>Sheet1!FE15</f>
        <v>1.35</v>
      </c>
      <c r="EM13" s="29">
        <f>Sheet1!FF15</f>
        <v>1.3</v>
      </c>
      <c r="EN13" s="29">
        <f>Sheet1!FG15</f>
        <v>1.3</v>
      </c>
      <c r="EO13" s="29">
        <f>Sheet1!FH15</f>
        <v>1.28</v>
      </c>
      <c r="EP13" s="29">
        <f>Sheet1!FI15</f>
        <v>1.23</v>
      </c>
      <c r="EQ13" s="29">
        <f>Sheet1!FJ15</f>
        <v>1.1850000000000001</v>
      </c>
      <c r="ER13" s="29">
        <f>Sheet1!FK15</f>
        <v>1.1850000000000001</v>
      </c>
      <c r="ES13" s="29">
        <f>Sheet1!FL15</f>
        <v>1.1850000000000001</v>
      </c>
      <c r="ET13" s="29">
        <f>Sheet1!FM15</f>
        <v>1.19</v>
      </c>
      <c r="EU13" s="29">
        <f>Sheet1!FN15</f>
        <v>1.19</v>
      </c>
      <c r="EV13" s="29">
        <f>Sheet1!FO15</f>
        <v>1.19</v>
      </c>
      <c r="EW13" s="29">
        <f>Sheet1!FP15</f>
        <v>1.19</v>
      </c>
      <c r="EX13" s="29">
        <f>Sheet1!FQ15</f>
        <v>1.19</v>
      </c>
      <c r="EY13" s="29">
        <f>Sheet1!FR15</f>
        <v>1.19</v>
      </c>
      <c r="EZ13" s="29">
        <f>Sheet1!FS15</f>
        <v>1.19</v>
      </c>
      <c r="FA13" s="29">
        <f>Sheet1!FT15</f>
        <v>1.19</v>
      </c>
      <c r="FB13" s="29">
        <f>Sheet1!FU15</f>
        <v>1.18</v>
      </c>
      <c r="FC13" s="29">
        <f>Sheet1!FV15</f>
        <v>1.18</v>
      </c>
      <c r="FD13" s="29">
        <f>Sheet1!FW15</f>
        <v>1.1599999999999999</v>
      </c>
      <c r="FE13" s="29">
        <f>Sheet1!FX15</f>
        <v>1.1599999999999999</v>
      </c>
      <c r="FF13" s="29">
        <f>Sheet1!FY15</f>
        <v>1.1000000000000001</v>
      </c>
      <c r="FG13" s="29">
        <f>Sheet1!FZ15</f>
        <v>1.1000000000000001</v>
      </c>
      <c r="FH13" s="29">
        <f>Sheet1!GA15</f>
        <v>1.1000000000000001</v>
      </c>
      <c r="FI13" s="29">
        <f>Sheet1!GB15</f>
        <v>1.2</v>
      </c>
      <c r="FJ13" s="29">
        <f>Sheet1!GC15</f>
        <v>1.25</v>
      </c>
      <c r="FK13" s="29">
        <f>Sheet1!GD15</f>
        <v>1.2</v>
      </c>
      <c r="FL13" s="29">
        <f>Sheet1!GE15</f>
        <v>1.2</v>
      </c>
      <c r="FM13" s="29">
        <f>Sheet1!GF15</f>
        <v>1.1499999999999999</v>
      </c>
      <c r="FN13" s="23">
        <f>Sheet1!GG15</f>
        <v>-4.1666666666666714</v>
      </c>
      <c r="FO13" s="23">
        <f>Sheet1!GH15</f>
        <v>6.6666666666666821</v>
      </c>
      <c r="FP13" s="23">
        <f>Sheet1!GI15</f>
        <v>-25.806451612903231</v>
      </c>
    </row>
    <row r="14" spans="1:180">
      <c r="A14" s="4"/>
      <c r="B14" s="30" t="s">
        <v>208</v>
      </c>
      <c r="C14" s="31" t="e">
        <f>Sheet1!#REF!</f>
        <v>#REF!</v>
      </c>
      <c r="D14" s="31" t="e">
        <f>Sheet1!#REF!</f>
        <v>#REF!</v>
      </c>
      <c r="E14" s="26">
        <v>3.5</v>
      </c>
      <c r="F14" s="26">
        <v>3.5</v>
      </c>
      <c r="G14" s="26">
        <v>3.5</v>
      </c>
      <c r="H14" s="26">
        <v>2.9</v>
      </c>
      <c r="I14" s="26">
        <v>2.9</v>
      </c>
      <c r="J14" s="26">
        <v>2.9</v>
      </c>
      <c r="K14" s="26">
        <v>3.01</v>
      </c>
      <c r="L14" s="26">
        <v>3.01</v>
      </c>
      <c r="M14" s="26">
        <v>3.2</v>
      </c>
      <c r="N14" s="26">
        <v>3.26</v>
      </c>
      <c r="O14" s="26">
        <v>3.26</v>
      </c>
      <c r="P14" s="26">
        <v>3.26</v>
      </c>
      <c r="Q14" s="26">
        <v>3.26</v>
      </c>
      <c r="R14" s="26">
        <v>3.26</v>
      </c>
      <c r="S14" s="26">
        <v>3.2</v>
      </c>
      <c r="T14" s="26">
        <v>3.2</v>
      </c>
      <c r="U14" s="26">
        <v>3.05</v>
      </c>
      <c r="V14" s="26">
        <v>2.9</v>
      </c>
      <c r="W14" s="26">
        <v>2.7</v>
      </c>
      <c r="X14" s="26">
        <v>2.5499999999999998</v>
      </c>
      <c r="Y14" s="26">
        <v>2.5499999999999998</v>
      </c>
      <c r="Z14" s="26">
        <v>2.5499999999999998</v>
      </c>
      <c r="AA14" s="19">
        <v>2.5499999999999998</v>
      </c>
      <c r="AB14" s="19">
        <v>2.5499999999999998</v>
      </c>
      <c r="AC14" s="19">
        <v>2.5499999999999998</v>
      </c>
      <c r="AD14" s="19">
        <v>2.5499999999999998</v>
      </c>
      <c r="AE14" s="19">
        <v>2.4</v>
      </c>
      <c r="AF14" s="29">
        <f>Sheet1!AY16</f>
        <v>2.2999999999999998</v>
      </c>
      <c r="AG14" s="29">
        <f>Sheet1!AZ16</f>
        <v>2.2999999999999998</v>
      </c>
      <c r="AH14" s="29">
        <f>Sheet1!BA16</f>
        <v>2.2999999999999998</v>
      </c>
      <c r="AI14" s="29">
        <f>Sheet1!BB16</f>
        <v>2.2999999999999998</v>
      </c>
      <c r="AJ14" s="29">
        <f>Sheet1!BC16</f>
        <v>2.2000000000000002</v>
      </c>
      <c r="AK14" s="29">
        <f>Sheet1!BD16</f>
        <v>2.15</v>
      </c>
      <c r="AL14" s="29">
        <f>Sheet1!BE16</f>
        <v>2.15</v>
      </c>
      <c r="AM14" s="29">
        <f>Sheet1!BF16</f>
        <v>2.15</v>
      </c>
      <c r="AN14" s="29">
        <f>Sheet1!BG16</f>
        <v>2.15</v>
      </c>
      <c r="AO14" s="29">
        <f>Sheet1!BH16</f>
        <v>2.08</v>
      </c>
      <c r="AP14" s="29">
        <f>Sheet1!BI16</f>
        <v>1.98</v>
      </c>
      <c r="AQ14" s="29">
        <f>Sheet1!BJ16</f>
        <v>1.85</v>
      </c>
      <c r="AR14" s="29">
        <f>Sheet1!BK16</f>
        <v>1.7</v>
      </c>
      <c r="AS14" s="29">
        <f>Sheet1!BL16</f>
        <v>1.6</v>
      </c>
      <c r="AT14" s="29">
        <f>Sheet1!BM16</f>
        <v>1.55</v>
      </c>
      <c r="AU14" s="29">
        <f>Sheet1!BN16</f>
        <v>1.55</v>
      </c>
      <c r="AV14" s="29">
        <f>Sheet1!BO16</f>
        <v>1.53</v>
      </c>
      <c r="AW14" s="29">
        <f>Sheet1!BP16</f>
        <v>1.48</v>
      </c>
      <c r="AX14" s="29">
        <f>Sheet1!BQ16</f>
        <v>1.25</v>
      </c>
      <c r="AY14" s="29">
        <f>Sheet1!BR16</f>
        <v>1.1499999999999999</v>
      </c>
      <c r="AZ14" s="29">
        <f>Sheet1!BS16</f>
        <v>1.1499999999999999</v>
      </c>
      <c r="BA14" s="29">
        <f>Sheet1!BT16</f>
        <v>1.1499999999999999</v>
      </c>
      <c r="BB14" s="29">
        <f>Sheet1!BU16</f>
        <v>1.1499999999999999</v>
      </c>
      <c r="BC14" s="29">
        <f>Sheet1!BV16</f>
        <v>1.1499999999999999</v>
      </c>
      <c r="BD14" s="29">
        <f>Sheet1!BW16</f>
        <v>1.1499999999999999</v>
      </c>
      <c r="BE14" s="29">
        <f>Sheet1!BX16</f>
        <v>1.1499999999999999</v>
      </c>
      <c r="BF14" s="29">
        <f>Sheet1!BY16</f>
        <v>1.1499999999999999</v>
      </c>
      <c r="BG14" s="29">
        <f>Sheet1!BZ16</f>
        <v>1.1499999999999999</v>
      </c>
      <c r="BH14" s="29">
        <f>Sheet1!CA16</f>
        <v>1.1499999999999999</v>
      </c>
      <c r="BI14" s="29">
        <f>Sheet1!CB16</f>
        <v>1.1499999999999999</v>
      </c>
      <c r="BJ14" s="29">
        <f>Sheet1!CC16</f>
        <v>1.1499999999999999</v>
      </c>
      <c r="BK14" s="29">
        <f>Sheet1!CD16</f>
        <v>1.1499999999999999</v>
      </c>
      <c r="BL14" s="29">
        <f>Sheet1!CE16</f>
        <v>1.1499999999999999</v>
      </c>
      <c r="BM14" s="29">
        <f>Sheet1!CF16</f>
        <v>1.1499999999999999</v>
      </c>
      <c r="BN14" s="29">
        <f>Sheet1!CG16</f>
        <v>1.1499999999999999</v>
      </c>
      <c r="BO14" s="29">
        <f>Sheet1!CH16</f>
        <v>1.08</v>
      </c>
      <c r="BP14" s="29">
        <f>Sheet1!CI16</f>
        <v>1.08</v>
      </c>
      <c r="BQ14" s="29">
        <f>Sheet1!CJ16</f>
        <v>1.08</v>
      </c>
      <c r="BR14" s="29">
        <f>Sheet1!CK16</f>
        <v>1.1200000000000001</v>
      </c>
      <c r="BS14" s="29">
        <f>Sheet1!CL16</f>
        <v>1.1200000000000001</v>
      </c>
      <c r="BT14" s="29">
        <f>Sheet1!CM16</f>
        <v>1.06</v>
      </c>
      <c r="BU14" s="29">
        <f>Sheet1!CN16</f>
        <v>1.06</v>
      </c>
      <c r="BV14" s="29">
        <f>Sheet1!CO16</f>
        <v>1.06</v>
      </c>
      <c r="BW14" s="29">
        <f>Sheet1!CP16</f>
        <v>1.03</v>
      </c>
      <c r="BX14" s="29">
        <f>Sheet1!CQ16</f>
        <v>1.02</v>
      </c>
      <c r="BY14" s="29">
        <f>Sheet1!CR16</f>
        <v>1.02</v>
      </c>
      <c r="BZ14" s="29">
        <f>Sheet1!CS16</f>
        <v>1.02</v>
      </c>
      <c r="CA14" s="29">
        <f>Sheet1!CT16</f>
        <v>1.02</v>
      </c>
      <c r="CB14" s="29">
        <f>Sheet1!CU16</f>
        <v>1.02</v>
      </c>
      <c r="CC14" s="29">
        <f>Sheet1!CV16</f>
        <v>1.05</v>
      </c>
      <c r="CD14" s="29">
        <f>Sheet1!CW16</f>
        <v>1.08</v>
      </c>
      <c r="CE14" s="29">
        <f>Sheet1!CX16</f>
        <v>1.08</v>
      </c>
      <c r="CF14" s="29">
        <f>Sheet1!CY16</f>
        <v>1.18</v>
      </c>
      <c r="CG14" s="29">
        <f>Sheet1!CZ16</f>
        <v>1.18</v>
      </c>
      <c r="CH14" s="29">
        <f>Sheet1!DA16</f>
        <v>1.18</v>
      </c>
      <c r="CI14" s="29">
        <f>Sheet1!DB16</f>
        <v>1.18</v>
      </c>
      <c r="CJ14" s="29">
        <f>Sheet1!DC16</f>
        <v>1.18</v>
      </c>
      <c r="CK14" s="29">
        <f>Sheet1!DD16</f>
        <v>1.18</v>
      </c>
      <c r="CL14" s="29">
        <f>Sheet1!DE16</f>
        <v>1.18</v>
      </c>
      <c r="CM14" s="29">
        <f>Sheet1!DF16</f>
        <v>1.18</v>
      </c>
      <c r="CN14" s="29">
        <f>Sheet1!DG16</f>
        <v>1.2</v>
      </c>
      <c r="CO14" s="29">
        <f>Sheet1!DH16</f>
        <v>1.2</v>
      </c>
      <c r="CP14" s="29">
        <f>Sheet1!DI16</f>
        <v>1.23</v>
      </c>
      <c r="CQ14" s="29">
        <f>Sheet1!DJ16</f>
        <v>1.28</v>
      </c>
      <c r="CR14" s="29">
        <f>Sheet1!DK16</f>
        <v>1.28</v>
      </c>
      <c r="CS14" s="29">
        <f>Sheet1!DL16</f>
        <v>1.28</v>
      </c>
      <c r="CT14" s="29">
        <f>Sheet1!DM16</f>
        <v>1.1499999999999999</v>
      </c>
      <c r="CU14" s="29">
        <f>Sheet1!DN16</f>
        <v>1.1499999999999999</v>
      </c>
      <c r="CV14" s="29">
        <f>Sheet1!DO16</f>
        <v>1.02</v>
      </c>
      <c r="CW14" s="29">
        <f>Sheet1!DP16</f>
        <v>0.98</v>
      </c>
      <c r="CX14" s="29">
        <f>Sheet1!DQ16</f>
        <v>0.98</v>
      </c>
      <c r="CY14" s="29">
        <f>Sheet1!DR16</f>
        <v>0.98</v>
      </c>
      <c r="CZ14" s="29">
        <f>Sheet1!DS16</f>
        <v>0.98</v>
      </c>
      <c r="DA14" s="29">
        <f>Sheet1!DT16</f>
        <v>0.98</v>
      </c>
      <c r="DB14" s="29">
        <f>Sheet1!DU16</f>
        <v>0.9</v>
      </c>
      <c r="DC14" s="29">
        <f>Sheet1!DV16</f>
        <v>0.86</v>
      </c>
      <c r="DD14" s="29">
        <f>Sheet1!DW16</f>
        <v>0.86</v>
      </c>
      <c r="DE14" s="29">
        <f>Sheet1!DX16</f>
        <v>0.95</v>
      </c>
      <c r="DF14" s="29">
        <f>Sheet1!DY16</f>
        <v>1.05</v>
      </c>
      <c r="DG14" s="29">
        <f>Sheet1!DZ16</f>
        <v>1.1000000000000001</v>
      </c>
      <c r="DH14" s="29">
        <f>Sheet1!EA16</f>
        <v>1.2</v>
      </c>
      <c r="DI14" s="29">
        <f>Sheet1!EB16</f>
        <v>1.2</v>
      </c>
      <c r="DJ14" s="29">
        <f>Sheet1!EC16</f>
        <v>1.2</v>
      </c>
      <c r="DK14" s="29">
        <f>Sheet1!ED16</f>
        <v>1.2</v>
      </c>
      <c r="DL14" s="29">
        <f>Sheet1!EE16</f>
        <v>1.25</v>
      </c>
      <c r="DM14" s="29">
        <f>Sheet1!EF16</f>
        <v>1.25</v>
      </c>
      <c r="DN14" s="29">
        <f>Sheet1!EG16</f>
        <v>1.3</v>
      </c>
      <c r="DO14" s="29">
        <f>Sheet1!EH16</f>
        <v>1.35</v>
      </c>
      <c r="DP14" s="29">
        <f>Sheet1!EI16</f>
        <v>1.35</v>
      </c>
      <c r="DQ14" s="29">
        <f>Sheet1!EJ16</f>
        <v>1.35</v>
      </c>
      <c r="DR14" s="29">
        <f>Sheet1!EK16</f>
        <v>1.35</v>
      </c>
      <c r="DS14" s="29">
        <f>Sheet1!EL16</f>
        <v>1.35</v>
      </c>
      <c r="DT14" s="29">
        <f>Sheet1!EM16</f>
        <v>1.35</v>
      </c>
      <c r="DU14" s="29">
        <f>Sheet1!EN16</f>
        <v>1.3</v>
      </c>
      <c r="DV14" s="29">
        <f>Sheet1!EO16</f>
        <v>1.3</v>
      </c>
      <c r="DW14" s="29">
        <f>Sheet1!EP16</f>
        <v>1.3</v>
      </c>
      <c r="DX14" s="29">
        <f>Sheet1!EQ16</f>
        <v>1.2</v>
      </c>
      <c r="DY14" s="29">
        <f>Sheet1!ER16</f>
        <v>1.18</v>
      </c>
      <c r="DZ14" s="29">
        <f>Sheet1!ES16</f>
        <v>1.18</v>
      </c>
      <c r="EA14" s="29">
        <f>Sheet1!ET16</f>
        <v>1.18</v>
      </c>
      <c r="EB14" s="29">
        <f>Sheet1!EU16</f>
        <v>1.24</v>
      </c>
      <c r="EC14" s="29">
        <f>Sheet1!EV16</f>
        <v>1.24</v>
      </c>
      <c r="ED14" s="29">
        <f>Sheet1!EW16</f>
        <v>1.25</v>
      </c>
      <c r="EE14" s="29">
        <f>Sheet1!EX16</f>
        <v>1.25</v>
      </c>
      <c r="EF14" s="29">
        <f>Sheet1!EY16</f>
        <v>1.25</v>
      </c>
      <c r="EG14" s="29">
        <f>Sheet1!EZ16</f>
        <v>1.25</v>
      </c>
      <c r="EH14" s="29">
        <f>Sheet1!FA16</f>
        <v>1.2</v>
      </c>
      <c r="EI14" s="29">
        <f>Sheet1!FB16</f>
        <v>1.1200000000000001</v>
      </c>
      <c r="EJ14" s="29">
        <f>Sheet1!FC16</f>
        <v>1.1200000000000001</v>
      </c>
      <c r="EK14" s="29">
        <f>Sheet1!FD16</f>
        <v>1.05</v>
      </c>
      <c r="EL14" s="29">
        <f>Sheet1!FE16</f>
        <v>1.05</v>
      </c>
      <c r="EM14" s="29">
        <f>Sheet1!FF16</f>
        <v>1</v>
      </c>
      <c r="EN14" s="29">
        <f>Sheet1!FG16</f>
        <v>0.98</v>
      </c>
      <c r="EO14" s="29">
        <f>Sheet1!FH16</f>
        <v>0.96</v>
      </c>
      <c r="EP14" s="29">
        <f>Sheet1!FI16</f>
        <v>0.92</v>
      </c>
      <c r="EQ14" s="29">
        <f>Sheet1!FJ16</f>
        <v>0.9</v>
      </c>
      <c r="ER14" s="29">
        <f>Sheet1!FK16</f>
        <v>0.9</v>
      </c>
      <c r="ES14" s="29">
        <f>Sheet1!FL16</f>
        <v>0.9</v>
      </c>
      <c r="ET14" s="29">
        <f>Sheet1!FM16</f>
        <v>0.9</v>
      </c>
      <c r="EU14" s="29">
        <f>Sheet1!FN16</f>
        <v>0.9</v>
      </c>
      <c r="EV14" s="29">
        <f>Sheet1!FO16</f>
        <v>0.9</v>
      </c>
      <c r="EW14" s="29">
        <f>Sheet1!FP16</f>
        <v>0.9</v>
      </c>
      <c r="EX14" s="29">
        <f>Sheet1!FQ16</f>
        <v>0.9</v>
      </c>
      <c r="EY14" s="29">
        <f>Sheet1!FR16</f>
        <v>0.9</v>
      </c>
      <c r="EZ14" s="29">
        <f>Sheet1!FS16</f>
        <v>0.9</v>
      </c>
      <c r="FA14" s="29">
        <f>Sheet1!FT16</f>
        <v>0.9</v>
      </c>
      <c r="FB14" s="29">
        <f>Sheet1!FU16</f>
        <v>0.9</v>
      </c>
      <c r="FC14" s="29">
        <f>Sheet1!FV16</f>
        <v>0.9</v>
      </c>
      <c r="FD14" s="29">
        <f>Sheet1!FW16</f>
        <v>0.87</v>
      </c>
      <c r="FE14" s="29">
        <f>Sheet1!FX16</f>
        <v>0.87</v>
      </c>
      <c r="FF14" s="29">
        <f>Sheet1!FY16</f>
        <v>0.8</v>
      </c>
      <c r="FG14" s="29">
        <f>Sheet1!FZ16</f>
        <v>0.8</v>
      </c>
      <c r="FH14" s="29">
        <f>Sheet1!GA16</f>
        <v>0.8</v>
      </c>
      <c r="FI14" s="29">
        <f>Sheet1!GB16</f>
        <v>0.9</v>
      </c>
      <c r="FJ14" s="29">
        <f>Sheet1!GC16</f>
        <v>1.1200000000000001</v>
      </c>
      <c r="FK14" s="29">
        <f>Sheet1!GD16</f>
        <v>1.1000000000000001</v>
      </c>
      <c r="FL14" s="29">
        <f>Sheet1!GE16</f>
        <v>1.08</v>
      </c>
      <c r="FM14" s="29">
        <f>Sheet1!GF16</f>
        <v>1.02</v>
      </c>
      <c r="FN14" s="23">
        <f>Sheet1!GG16</f>
        <v>-5.5555555555555571</v>
      </c>
      <c r="FO14" s="23">
        <f>Sheet1!GH16</f>
        <v>30.909090909090907</v>
      </c>
      <c r="FP14" s="23">
        <f>Sheet1!GI16</f>
        <v>-18.400000000000006</v>
      </c>
    </row>
    <row r="15" spans="1:180">
      <c r="A15" s="4"/>
      <c r="B15" s="30" t="s">
        <v>245</v>
      </c>
      <c r="C15" s="21"/>
      <c r="D15" s="21"/>
      <c r="E15" s="26"/>
      <c r="F15" s="26"/>
      <c r="G15" s="26"/>
      <c r="H15" s="26"/>
      <c r="I15" s="26"/>
      <c r="J15" s="26"/>
      <c r="K15" s="26"/>
      <c r="L15" s="26"/>
      <c r="M15" s="26"/>
      <c r="N15" s="26"/>
      <c r="O15" s="26"/>
      <c r="P15" s="26"/>
      <c r="Q15" s="26"/>
      <c r="R15" s="26"/>
      <c r="S15" s="26"/>
      <c r="T15" s="26"/>
      <c r="U15" s="26"/>
      <c r="V15" s="26"/>
      <c r="W15" s="26"/>
      <c r="X15" s="26"/>
      <c r="Y15" s="26"/>
      <c r="Z15" s="26"/>
      <c r="AA15" s="19"/>
      <c r="AB15" s="19"/>
      <c r="AC15" s="19"/>
      <c r="AD15" s="19"/>
      <c r="AE15" s="19"/>
      <c r="AF15" s="29"/>
      <c r="AG15" s="29"/>
      <c r="AH15" s="29"/>
      <c r="AI15" s="29"/>
      <c r="AJ15" s="29"/>
      <c r="AK15" s="29"/>
      <c r="AL15" s="29"/>
      <c r="AM15" s="29"/>
      <c r="AN15" s="29"/>
      <c r="AO15" s="29"/>
      <c r="AP15" s="29"/>
      <c r="AQ15" s="29"/>
      <c r="AR15" s="29"/>
      <c r="AS15" s="29"/>
      <c r="AT15" s="29"/>
      <c r="AU15" s="29"/>
      <c r="AV15" s="29"/>
      <c r="AW15" s="29"/>
      <c r="AX15" s="29"/>
      <c r="AY15" s="29"/>
      <c r="AZ15" s="29"/>
      <c r="BA15" s="29"/>
      <c r="BB15" s="29"/>
      <c r="BC15" s="29"/>
      <c r="BD15" s="29"/>
      <c r="BE15" s="29"/>
      <c r="BF15" s="29"/>
      <c r="BG15" s="29"/>
      <c r="BH15" s="29"/>
      <c r="BI15" s="29"/>
      <c r="BJ15" s="29"/>
      <c r="BK15" s="29"/>
      <c r="BL15" s="29"/>
      <c r="BM15" s="29"/>
      <c r="BN15" s="29"/>
      <c r="BO15" s="29"/>
      <c r="BP15" s="29">
        <f>Sheet1!CI17</f>
        <v>1.3</v>
      </c>
      <c r="BQ15" s="29">
        <f>Sheet1!CJ17</f>
        <v>1.25</v>
      </c>
      <c r="BR15" s="29">
        <f>Sheet1!CK17</f>
        <v>1.3</v>
      </c>
      <c r="BS15" s="29">
        <f>Sheet1!CL17</f>
        <v>1.3</v>
      </c>
      <c r="BT15" s="29">
        <f>Sheet1!CM17</f>
        <v>1.25</v>
      </c>
      <c r="BU15" s="29">
        <f>Sheet1!CN17</f>
        <v>1.25</v>
      </c>
      <c r="BV15" s="29">
        <f>Sheet1!CO17</f>
        <v>1.25</v>
      </c>
      <c r="BW15" s="29">
        <f>Sheet1!CP17</f>
        <v>1.2</v>
      </c>
      <c r="BX15" s="29">
        <f>Sheet1!CQ17</f>
        <v>1.2</v>
      </c>
      <c r="BY15" s="29">
        <f>Sheet1!CR17</f>
        <v>1.2</v>
      </c>
      <c r="BZ15" s="29">
        <f>Sheet1!CS17</f>
        <v>1.2</v>
      </c>
      <c r="CA15" s="29">
        <f>Sheet1!CT17</f>
        <v>1.2</v>
      </c>
      <c r="CB15" s="29">
        <f>Sheet1!CU17</f>
        <v>1.2</v>
      </c>
      <c r="CC15" s="29">
        <f>Sheet1!CV17</f>
        <v>1.1499999999999999</v>
      </c>
      <c r="CD15" s="29">
        <f>Sheet1!CW17</f>
        <v>1.2</v>
      </c>
      <c r="CE15" s="29">
        <f>Sheet1!CX17</f>
        <v>1.25</v>
      </c>
      <c r="CF15" s="29">
        <f>Sheet1!CY17</f>
        <v>1.33</v>
      </c>
      <c r="CG15" s="29">
        <f>Sheet1!CZ17</f>
        <v>1.33</v>
      </c>
      <c r="CH15" s="29">
        <f>Sheet1!DA17</f>
        <v>1.33</v>
      </c>
      <c r="CI15" s="29">
        <f>Sheet1!DB17</f>
        <v>1.33</v>
      </c>
      <c r="CJ15" s="29">
        <f>Sheet1!DC17</f>
        <v>1.33</v>
      </c>
      <c r="CK15" s="29">
        <f>Sheet1!DD17</f>
        <v>1.3</v>
      </c>
      <c r="CL15" s="29">
        <f>Sheet1!DE17</f>
        <v>1.3</v>
      </c>
      <c r="CM15" s="29">
        <f>Sheet1!DF17</f>
        <v>1.35</v>
      </c>
      <c r="CN15" s="29">
        <f>Sheet1!DG17</f>
        <v>1.4</v>
      </c>
      <c r="CO15" s="29">
        <f>Sheet1!DH17</f>
        <v>1.4</v>
      </c>
      <c r="CP15" s="29">
        <f>Sheet1!DI17</f>
        <v>1.45</v>
      </c>
      <c r="CQ15" s="29">
        <f>Sheet1!DJ17</f>
        <v>1.55</v>
      </c>
      <c r="CR15" s="29">
        <f>Sheet1!DK17</f>
        <v>1.53</v>
      </c>
      <c r="CS15" s="29">
        <f>Sheet1!DL17</f>
        <v>1.5</v>
      </c>
      <c r="CT15" s="29">
        <f>Sheet1!DM17</f>
        <v>1.3</v>
      </c>
      <c r="CU15" s="29">
        <f>Sheet1!DN17</f>
        <v>1.3</v>
      </c>
      <c r="CV15" s="29">
        <f>Sheet1!DO17</f>
        <v>1.1499999999999999</v>
      </c>
      <c r="CW15" s="29">
        <f>Sheet1!DP17</f>
        <v>1.1000000000000001</v>
      </c>
      <c r="CX15" s="29">
        <f>Sheet1!DQ17</f>
        <v>1.0900000000000001</v>
      </c>
      <c r="CY15" s="29">
        <f>Sheet1!DR17</f>
        <v>1.08</v>
      </c>
      <c r="CZ15" s="29">
        <f>Sheet1!DS17</f>
        <v>1.08</v>
      </c>
      <c r="DA15" s="29">
        <f>Sheet1!DT17</f>
        <v>1.08</v>
      </c>
      <c r="DB15" s="29">
        <f>Sheet1!DU17</f>
        <v>1.03</v>
      </c>
      <c r="DC15" s="29">
        <f>Sheet1!DV17</f>
        <v>1.0249999999999999</v>
      </c>
      <c r="DD15" s="29">
        <f>Sheet1!DW17</f>
        <v>1.0249999999999999</v>
      </c>
      <c r="DE15" s="29">
        <f>Sheet1!DX17</f>
        <v>1.1000000000000001</v>
      </c>
      <c r="DF15" s="29">
        <f>Sheet1!DY17</f>
        <v>1.2</v>
      </c>
      <c r="DG15" s="29">
        <f>Sheet1!DZ17</f>
        <v>1.25</v>
      </c>
      <c r="DH15" s="29">
        <f>Sheet1!EA17</f>
        <v>1.35</v>
      </c>
      <c r="DI15" s="29">
        <f>Sheet1!EB17</f>
        <v>1.35</v>
      </c>
      <c r="DJ15" s="29">
        <f>Sheet1!EC17</f>
        <v>1.35</v>
      </c>
      <c r="DK15" s="29">
        <f>Sheet1!ED17</f>
        <v>1.35</v>
      </c>
      <c r="DL15" s="29">
        <f>Sheet1!EE17</f>
        <v>1.4</v>
      </c>
      <c r="DM15" s="29">
        <f>Sheet1!EF17</f>
        <v>1.4</v>
      </c>
      <c r="DN15" s="29">
        <f>Sheet1!EG17</f>
        <v>1.4</v>
      </c>
      <c r="DO15" s="29">
        <f>Sheet1!EH17</f>
        <v>1.4</v>
      </c>
      <c r="DP15" s="29">
        <f>Sheet1!EI17</f>
        <v>1.4</v>
      </c>
      <c r="DQ15" s="29">
        <f>Sheet1!EJ17</f>
        <v>1.4</v>
      </c>
      <c r="DR15" s="29">
        <f>Sheet1!EK17</f>
        <v>1.4</v>
      </c>
      <c r="DS15" s="29">
        <f>Sheet1!EL17</f>
        <v>1.4</v>
      </c>
      <c r="DT15" s="29">
        <f>Sheet1!EM17</f>
        <v>1.4</v>
      </c>
      <c r="DU15" s="29">
        <f>Sheet1!EN17</f>
        <v>1.33</v>
      </c>
      <c r="DV15" s="29">
        <f>Sheet1!EO17</f>
        <v>1.3</v>
      </c>
      <c r="DW15" s="29">
        <f>Sheet1!EP17</f>
        <v>1.3</v>
      </c>
      <c r="DX15" s="29">
        <f>Sheet1!EQ17</f>
        <v>1.25</v>
      </c>
      <c r="DY15" s="29">
        <f>Sheet1!ER17</f>
        <v>1.23</v>
      </c>
      <c r="DZ15" s="29">
        <f>Sheet1!ES17</f>
        <v>1.2</v>
      </c>
      <c r="EA15" s="29">
        <f>Sheet1!ET17</f>
        <v>1.2</v>
      </c>
      <c r="EB15" s="29">
        <f>Sheet1!EU17</f>
        <v>1.3</v>
      </c>
      <c r="EC15" s="29">
        <f>Sheet1!EV17</f>
        <v>1.3</v>
      </c>
      <c r="ED15" s="29">
        <f>Sheet1!EW17</f>
        <v>1.35</v>
      </c>
      <c r="EE15" s="29">
        <f>Sheet1!EX17</f>
        <v>1.35</v>
      </c>
      <c r="EF15" s="29">
        <f>Sheet1!EY17</f>
        <v>1.35</v>
      </c>
      <c r="EG15" s="29">
        <f>Sheet1!EZ17</f>
        <v>1.3</v>
      </c>
      <c r="EH15" s="29">
        <f>Sheet1!FA17</f>
        <v>1.28</v>
      </c>
      <c r="EI15" s="29">
        <f>Sheet1!FB17</f>
        <v>1.2</v>
      </c>
      <c r="EJ15" s="29">
        <f>Sheet1!FC17</f>
        <v>1.2</v>
      </c>
      <c r="EK15" s="29">
        <f>Sheet1!FD17</f>
        <v>1.17</v>
      </c>
      <c r="EL15" s="29">
        <f>Sheet1!FE17</f>
        <v>1.1499999999999999</v>
      </c>
      <c r="EM15" s="29">
        <f>Sheet1!FF17</f>
        <v>1.1000000000000001</v>
      </c>
      <c r="EN15" s="29">
        <f>Sheet1!FG17</f>
        <v>1.1000000000000001</v>
      </c>
      <c r="EO15" s="29">
        <f>Sheet1!FH17</f>
        <v>1.05</v>
      </c>
      <c r="EP15" s="29">
        <f>Sheet1!FI17</f>
        <v>1.02</v>
      </c>
      <c r="EQ15" s="29">
        <f>Sheet1!FJ17</f>
        <v>0.99</v>
      </c>
      <c r="ER15" s="29">
        <f>Sheet1!FK17</f>
        <v>0.99</v>
      </c>
      <c r="ES15" s="29">
        <f>Sheet1!FL17</f>
        <v>0.99</v>
      </c>
      <c r="ET15" s="29">
        <f>Sheet1!FM17</f>
        <v>0.99</v>
      </c>
      <c r="EU15" s="29">
        <f>Sheet1!FN17</f>
        <v>0.99</v>
      </c>
      <c r="EV15" s="29">
        <f>Sheet1!FO17</f>
        <v>0.99</v>
      </c>
      <c r="EW15" s="29">
        <f>Sheet1!FP17</f>
        <v>0.99</v>
      </c>
      <c r="EX15" s="29">
        <f>Sheet1!FQ17</f>
        <v>0.99</v>
      </c>
      <c r="EY15" s="29">
        <f>Sheet1!FR17</f>
        <v>0.98</v>
      </c>
      <c r="EZ15" s="29">
        <f>Sheet1!FS17</f>
        <v>0.98</v>
      </c>
      <c r="FA15" s="29">
        <f>Sheet1!FT17</f>
        <v>0.98</v>
      </c>
      <c r="FB15" s="29">
        <f>Sheet1!FU17</f>
        <v>0.98</v>
      </c>
      <c r="FC15" s="29">
        <f>Sheet1!FV17</f>
        <v>0.98</v>
      </c>
      <c r="FD15" s="29">
        <f>Sheet1!FW17</f>
        <v>0.95</v>
      </c>
      <c r="FE15" s="29">
        <f>Sheet1!FX17</f>
        <v>0.95</v>
      </c>
      <c r="FF15" s="29">
        <f>Sheet1!FY17</f>
        <v>0.9</v>
      </c>
      <c r="FG15" s="29">
        <f>Sheet1!FZ17</f>
        <v>0.9</v>
      </c>
      <c r="FH15" s="29">
        <f>Sheet1!GA17</f>
        <v>0.9</v>
      </c>
      <c r="FI15" s="29">
        <f>Sheet1!GB17</f>
        <v>1</v>
      </c>
      <c r="FJ15" s="29">
        <f>Sheet1!GC17</f>
        <v>1.1499999999999999</v>
      </c>
      <c r="FK15" s="29">
        <f>Sheet1!GD17</f>
        <v>1.1000000000000001</v>
      </c>
      <c r="FL15" s="29">
        <f>Sheet1!GE17</f>
        <v>1.08</v>
      </c>
      <c r="FM15" s="29">
        <f>Sheet1!GF17</f>
        <v>1.05</v>
      </c>
      <c r="FN15" s="23">
        <f>Sheet1!GG17</f>
        <v>-2.7777777777777857</v>
      </c>
      <c r="FO15" s="23">
        <f>Sheet1!GH17</f>
        <v>18.378378378378372</v>
      </c>
      <c r="FP15" s="23">
        <f>Sheet1!GI17</f>
        <v>-22.222222222222229</v>
      </c>
    </row>
    <row r="16" spans="1:180">
      <c r="A16" s="4"/>
      <c r="B16" s="32" t="s">
        <v>210</v>
      </c>
      <c r="C16" s="18"/>
      <c r="D16" s="18"/>
      <c r="E16" s="15"/>
      <c r="F16" s="15"/>
      <c r="G16" s="15"/>
      <c r="H16" s="15"/>
      <c r="I16" s="15"/>
      <c r="J16" s="15"/>
      <c r="K16" s="15"/>
      <c r="L16" s="15"/>
      <c r="M16" s="15"/>
      <c r="N16" s="15"/>
      <c r="O16" s="15"/>
      <c r="P16" s="15"/>
      <c r="Q16" s="15"/>
      <c r="R16" s="15"/>
      <c r="S16" s="15"/>
      <c r="T16" s="15"/>
      <c r="U16" s="15"/>
      <c r="V16" s="15"/>
      <c r="W16" s="15"/>
      <c r="X16" s="15"/>
      <c r="Y16" s="15"/>
      <c r="Z16" s="15"/>
      <c r="AA16" s="19"/>
      <c r="AB16" s="15"/>
      <c r="AC16" s="15"/>
      <c r="AD16" s="15"/>
      <c r="AE16" s="15"/>
      <c r="AF16" s="33"/>
      <c r="AG16" s="33"/>
      <c r="AH16" s="33"/>
      <c r="AI16" s="33"/>
      <c r="AJ16" s="33"/>
      <c r="AK16" s="33"/>
      <c r="AL16" s="33"/>
      <c r="AM16" s="23"/>
      <c r="AN16" s="23"/>
      <c r="AO16" s="23"/>
      <c r="AP16" s="23"/>
      <c r="AQ16" s="23"/>
      <c r="AR16" s="23"/>
      <c r="AS16" s="23"/>
      <c r="AT16" s="23"/>
      <c r="AU16" s="23"/>
      <c r="AV16" s="23"/>
      <c r="AW16" s="23"/>
      <c r="AX16" s="23"/>
      <c r="AY16" s="23"/>
      <c r="AZ16" s="23"/>
      <c r="BA16" s="23"/>
      <c r="BB16" s="23"/>
      <c r="BC16" s="23"/>
      <c r="BD16" s="23"/>
      <c r="BE16" s="23"/>
      <c r="BF16" s="23"/>
      <c r="BG16" s="23"/>
      <c r="BH16" s="23"/>
      <c r="BI16" s="23"/>
      <c r="BJ16" s="23"/>
      <c r="BK16" s="23"/>
      <c r="BL16" s="23"/>
      <c r="BM16" s="23"/>
      <c r="BN16" s="23"/>
      <c r="BO16" s="23"/>
      <c r="BP16" s="23"/>
      <c r="BQ16" s="23"/>
      <c r="BR16" s="23"/>
      <c r="BS16" s="23"/>
      <c r="BT16" s="23"/>
      <c r="BU16" s="23"/>
      <c r="BV16" s="23"/>
      <c r="BW16" s="23"/>
      <c r="BX16" s="23"/>
      <c r="BY16" s="23"/>
      <c r="BZ16" s="23"/>
      <c r="CA16" s="23"/>
      <c r="CB16" s="23"/>
      <c r="CC16" s="23"/>
      <c r="CD16" s="23"/>
      <c r="CE16" s="23"/>
      <c r="CF16" s="23"/>
      <c r="CG16" s="23"/>
      <c r="CH16" s="23"/>
      <c r="CI16" s="23"/>
      <c r="CJ16" s="23"/>
      <c r="CK16" s="23"/>
      <c r="CL16" s="23"/>
      <c r="CM16" s="23"/>
      <c r="CN16" s="23"/>
      <c r="CO16" s="23"/>
      <c r="CP16" s="23"/>
      <c r="CQ16" s="23"/>
      <c r="CR16" s="23"/>
      <c r="CS16" s="23"/>
      <c r="CT16" s="23"/>
      <c r="CU16" s="23"/>
      <c r="CV16" s="23"/>
      <c r="CW16" s="23"/>
      <c r="CX16" s="23"/>
      <c r="CY16" s="23"/>
      <c r="CZ16" s="23"/>
      <c r="DA16" s="23"/>
      <c r="DB16" s="23"/>
      <c r="DC16" s="23"/>
      <c r="DD16" s="23"/>
      <c r="DE16" s="23"/>
      <c r="DF16" s="23"/>
      <c r="DG16" s="23"/>
      <c r="DH16" s="23"/>
      <c r="DI16" s="23"/>
      <c r="DJ16" s="23"/>
      <c r="DK16" s="23"/>
      <c r="DL16" s="23"/>
      <c r="DM16" s="23"/>
      <c r="DN16" s="23"/>
      <c r="DO16" s="23"/>
      <c r="DP16" s="23"/>
      <c r="DQ16" s="23"/>
      <c r="DR16" s="23"/>
      <c r="DS16" s="23"/>
      <c r="DT16" s="23"/>
      <c r="DU16" s="23"/>
      <c r="DV16" s="23"/>
      <c r="DW16" s="23"/>
      <c r="DX16" s="23"/>
      <c r="DY16" s="23"/>
      <c r="DZ16" s="23"/>
      <c r="EA16" s="23"/>
      <c r="EB16" s="23"/>
      <c r="EC16" s="23"/>
      <c r="ED16" s="23"/>
      <c r="EE16" s="23"/>
      <c r="EF16" s="23"/>
      <c r="EG16" s="23"/>
      <c r="EH16" s="23"/>
      <c r="EI16" s="23"/>
      <c r="EJ16" s="23"/>
      <c r="EK16" s="23"/>
      <c r="EL16" s="23"/>
      <c r="EM16" s="23"/>
      <c r="EN16" s="23"/>
      <c r="EO16" s="23"/>
      <c r="EP16" s="23"/>
      <c r="EQ16" s="23"/>
      <c r="ER16" s="23"/>
      <c r="ES16" s="23"/>
      <c r="ET16" s="23"/>
      <c r="EU16" s="23"/>
      <c r="EV16" s="23"/>
      <c r="EW16" s="23"/>
      <c r="EX16" s="23"/>
      <c r="EY16" s="23"/>
      <c r="EZ16" s="23"/>
      <c r="FA16" s="23"/>
      <c r="FB16" s="23"/>
      <c r="FC16" s="23"/>
      <c r="FD16" s="23"/>
      <c r="FE16" s="23"/>
      <c r="FF16" s="23"/>
      <c r="FG16" s="23"/>
      <c r="FH16" s="23"/>
      <c r="FI16" s="23"/>
      <c r="FJ16" s="23"/>
      <c r="FK16" s="23"/>
      <c r="FL16" s="23"/>
      <c r="FM16" s="23"/>
      <c r="FN16" s="23"/>
      <c r="FO16" s="23"/>
      <c r="FP16" s="23"/>
    </row>
    <row r="17" spans="1:172">
      <c r="A17" s="4"/>
      <c r="B17" s="30" t="s">
        <v>246</v>
      </c>
      <c r="C17" s="28" t="e">
        <f>Sheet1!#REF!</f>
        <v>#REF!</v>
      </c>
      <c r="D17" s="28" t="e">
        <f>Sheet1!#REF!</f>
        <v>#REF!</v>
      </c>
      <c r="E17" s="15">
        <v>0.72</v>
      </c>
      <c r="F17" s="15">
        <v>0.71</v>
      </c>
      <c r="G17" s="15">
        <v>0.71499999999999997</v>
      </c>
      <c r="H17" s="15">
        <v>0.73</v>
      </c>
      <c r="I17" s="15">
        <v>0.73499999999999999</v>
      </c>
      <c r="J17" s="15">
        <v>0.745</v>
      </c>
      <c r="K17" s="15">
        <v>0.75</v>
      </c>
      <c r="L17" s="15">
        <v>0.755</v>
      </c>
      <c r="M17" s="15">
        <v>0.76</v>
      </c>
      <c r="N17" s="15">
        <v>0.76</v>
      </c>
      <c r="O17" s="15">
        <v>0.76</v>
      </c>
      <c r="P17" s="15">
        <v>0.76</v>
      </c>
      <c r="Q17" s="15">
        <v>0.75</v>
      </c>
      <c r="R17" s="15">
        <v>0.71</v>
      </c>
      <c r="S17" s="15">
        <v>0.65</v>
      </c>
      <c r="T17" s="15">
        <v>0.65</v>
      </c>
      <c r="U17" s="15">
        <v>0.61</v>
      </c>
      <c r="V17" s="15">
        <v>0.55000000000000004</v>
      </c>
      <c r="W17" s="15">
        <v>0.51</v>
      </c>
      <c r="X17" s="15">
        <v>0.48</v>
      </c>
      <c r="Y17" s="15">
        <v>0.46</v>
      </c>
      <c r="Z17" s="15">
        <v>0.46</v>
      </c>
      <c r="AA17" s="19">
        <v>0.46</v>
      </c>
      <c r="AB17" s="19">
        <v>0.45</v>
      </c>
      <c r="AC17" s="19">
        <v>0.43</v>
      </c>
      <c r="AD17" s="19">
        <v>0.42499999999999999</v>
      </c>
      <c r="AE17" s="19">
        <v>0.39</v>
      </c>
      <c r="AF17" s="29">
        <f>Sheet1!AY19</f>
        <v>0.36</v>
      </c>
      <c r="AG17" s="29">
        <f>Sheet1!AZ19</f>
        <v>0.36</v>
      </c>
      <c r="AH17" s="29">
        <f>Sheet1!BA19</f>
        <v>0.39</v>
      </c>
      <c r="AI17" s="29">
        <f>Sheet1!BB19</f>
        <v>0.39</v>
      </c>
      <c r="AJ17" s="29">
        <f>Sheet1!BC19</f>
        <v>0.39</v>
      </c>
      <c r="AK17" s="29">
        <f>Sheet1!BD19</f>
        <v>0.39</v>
      </c>
      <c r="AL17" s="29">
        <f>Sheet1!BE19</f>
        <v>0.39</v>
      </c>
      <c r="AM17" s="29">
        <f>Sheet1!BF19</f>
        <v>0.39</v>
      </c>
      <c r="AN17" s="29">
        <f>Sheet1!BG19</f>
        <v>0.39</v>
      </c>
      <c r="AO17" s="29">
        <f>Sheet1!BH19</f>
        <v>0.38</v>
      </c>
      <c r="AP17" s="29">
        <f>Sheet1!BI19</f>
        <v>0.38</v>
      </c>
      <c r="AQ17" s="29">
        <f>Sheet1!BJ19</f>
        <v>0.38</v>
      </c>
      <c r="AR17" s="29">
        <f>Sheet1!BK19</f>
        <v>0.375</v>
      </c>
      <c r="AS17" s="29">
        <f>Sheet1!BL19</f>
        <v>0.375</v>
      </c>
      <c r="AT17" s="29">
        <f>Sheet1!BM19</f>
        <v>0.35</v>
      </c>
      <c r="AU17" s="29">
        <f>Sheet1!BN19</f>
        <v>0.35</v>
      </c>
      <c r="AV17" s="29">
        <f>Sheet1!BO19</f>
        <v>0.34</v>
      </c>
      <c r="AW17" s="29">
        <f>Sheet1!BP19</f>
        <v>0.34</v>
      </c>
      <c r="AX17" s="29">
        <f>Sheet1!BQ19</f>
        <v>0.34</v>
      </c>
      <c r="AY17" s="29">
        <f>Sheet1!BR19</f>
        <v>0.31</v>
      </c>
      <c r="AZ17" s="29">
        <f>Sheet1!BS19</f>
        <v>0.31</v>
      </c>
      <c r="BA17" s="29">
        <f>Sheet1!BT19</f>
        <v>0.31</v>
      </c>
      <c r="BB17" s="29">
        <f>Sheet1!BU19</f>
        <v>0.31</v>
      </c>
      <c r="BC17" s="29">
        <f>Sheet1!BV19</f>
        <v>0.31</v>
      </c>
      <c r="BD17" s="29">
        <f>Sheet1!BW19</f>
        <v>0.31</v>
      </c>
      <c r="BE17" s="29">
        <f>Sheet1!BX19</f>
        <v>0.31</v>
      </c>
      <c r="BF17" s="29">
        <f>Sheet1!BY19</f>
        <v>0.31</v>
      </c>
      <c r="BG17" s="29">
        <f>Sheet1!BZ19</f>
        <v>0.31</v>
      </c>
      <c r="BH17" s="29">
        <f>Sheet1!CA19</f>
        <v>0.31</v>
      </c>
      <c r="BI17" s="29">
        <f>Sheet1!CB19</f>
        <v>0.31</v>
      </c>
      <c r="BJ17" s="29">
        <f>Sheet1!CC19</f>
        <v>0.31</v>
      </c>
      <c r="BK17" s="29">
        <f>Sheet1!CD19</f>
        <v>0.31</v>
      </c>
      <c r="BL17" s="29">
        <f>Sheet1!CE19</f>
        <v>0.31</v>
      </c>
      <c r="BM17" s="29">
        <f>Sheet1!CF19</f>
        <v>0.31</v>
      </c>
      <c r="BN17" s="29">
        <f>Sheet1!CG19</f>
        <v>0.31</v>
      </c>
      <c r="BO17" s="29">
        <f>Sheet1!CH19</f>
        <v>0.31</v>
      </c>
      <c r="BP17" s="29">
        <f>Sheet1!CI19</f>
        <v>0.31</v>
      </c>
      <c r="BQ17" s="29">
        <f>Sheet1!CJ19</f>
        <v>0.3</v>
      </c>
      <c r="BR17" s="29">
        <f>Sheet1!CK19</f>
        <v>0.28000000000000003</v>
      </c>
      <c r="BS17" s="29">
        <f>Sheet1!CL19</f>
        <v>0.28000000000000003</v>
      </c>
      <c r="BT17" s="29">
        <f>Sheet1!CM19</f>
        <v>0.28000000000000003</v>
      </c>
      <c r="BU17" s="29">
        <f>Sheet1!CN19</f>
        <v>0.28000000000000003</v>
      </c>
      <c r="BV17" s="29">
        <f>Sheet1!CO19</f>
        <v>0.28000000000000003</v>
      </c>
      <c r="BW17" s="29">
        <f>Sheet1!CP19</f>
        <v>0.28000000000000003</v>
      </c>
      <c r="BX17" s="29">
        <f>Sheet1!CQ19</f>
        <v>0.27500000000000002</v>
      </c>
      <c r="BY17" s="29">
        <f>Sheet1!CR19</f>
        <v>0.27500000000000002</v>
      </c>
      <c r="BZ17" s="29">
        <f>Sheet1!CS19</f>
        <v>0.27500000000000002</v>
      </c>
      <c r="CA17" s="29">
        <f>Sheet1!CT19</f>
        <v>0.27500000000000002</v>
      </c>
      <c r="CB17" s="29">
        <f>Sheet1!CU19</f>
        <v>0.27500000000000002</v>
      </c>
      <c r="CC17" s="29">
        <f>Sheet1!CV19</f>
        <v>0.27500000000000002</v>
      </c>
      <c r="CD17" s="29">
        <f>Sheet1!CW19</f>
        <v>0.27500000000000002</v>
      </c>
      <c r="CE17" s="29">
        <f>Sheet1!CX19</f>
        <v>0.27500000000000002</v>
      </c>
      <c r="CF17" s="29">
        <f>Sheet1!CY19</f>
        <v>0.27500000000000002</v>
      </c>
      <c r="CG17" s="29">
        <f>Sheet1!CZ19</f>
        <v>0.27500000000000002</v>
      </c>
      <c r="CH17" s="29">
        <f>Sheet1!DA19</f>
        <v>0.27500000000000002</v>
      </c>
      <c r="CI17" s="29">
        <f>Sheet1!DB19</f>
        <v>0.27500000000000002</v>
      </c>
      <c r="CJ17" s="29">
        <f>Sheet1!DC19</f>
        <v>0.27500000000000002</v>
      </c>
      <c r="CK17" s="29">
        <f>Sheet1!DD19</f>
        <v>0.27500000000000002</v>
      </c>
      <c r="CL17" s="29">
        <f>Sheet1!DE19</f>
        <v>0.27500000000000002</v>
      </c>
      <c r="CM17" s="29">
        <f>Sheet1!DF19</f>
        <v>0.27500000000000002</v>
      </c>
      <c r="CN17" s="29">
        <f>Sheet1!DG19</f>
        <v>0.27500000000000002</v>
      </c>
      <c r="CO17" s="29">
        <f>Sheet1!DH19</f>
        <v>0.27500000000000002</v>
      </c>
      <c r="CP17" s="29">
        <f>Sheet1!DI19</f>
        <v>0.27500000000000002</v>
      </c>
      <c r="CQ17" s="29">
        <f>Sheet1!DJ19</f>
        <v>0.27500000000000002</v>
      </c>
      <c r="CR17" s="29">
        <f>Sheet1!DK19</f>
        <v>0.27500000000000002</v>
      </c>
      <c r="CS17" s="29">
        <f>Sheet1!DL19</f>
        <v>0.27500000000000002</v>
      </c>
      <c r="CT17" s="29">
        <f>Sheet1!DM19</f>
        <v>0.27500000000000002</v>
      </c>
      <c r="CU17" s="29">
        <f>Sheet1!DN19</f>
        <v>0.27500000000000002</v>
      </c>
      <c r="CV17" s="29">
        <f>Sheet1!DO19</f>
        <v>0.27500000000000002</v>
      </c>
      <c r="CW17" s="29">
        <f>Sheet1!DP19</f>
        <v>0.27</v>
      </c>
      <c r="CX17" s="29">
        <f>Sheet1!DQ19</f>
        <v>0.27</v>
      </c>
      <c r="CY17" s="29">
        <f>Sheet1!DR19</f>
        <v>0.27</v>
      </c>
      <c r="CZ17" s="29">
        <f>Sheet1!DS19</f>
        <v>0.27</v>
      </c>
      <c r="DA17" s="29">
        <f>Sheet1!DT19</f>
        <v>0.27</v>
      </c>
      <c r="DB17" s="29">
        <f>Sheet1!DU19</f>
        <v>0.27</v>
      </c>
      <c r="DC17" s="29">
        <f>Sheet1!DV19</f>
        <v>0.27</v>
      </c>
      <c r="DD17" s="29" t="s">
        <v>204</v>
      </c>
      <c r="DE17" s="23"/>
      <c r="DF17" s="23"/>
      <c r="DG17" s="23"/>
      <c r="DH17" s="23"/>
      <c r="DI17" s="23"/>
      <c r="DJ17" s="23"/>
      <c r="DK17" s="23"/>
      <c r="DL17" s="23"/>
      <c r="DM17" s="23"/>
      <c r="DN17" s="23"/>
      <c r="DO17" s="23"/>
      <c r="DP17" s="23"/>
      <c r="DQ17" s="23"/>
      <c r="DR17" s="23"/>
      <c r="DS17" s="23"/>
      <c r="DT17" s="23"/>
      <c r="DU17" s="23"/>
      <c r="DV17" s="23"/>
      <c r="DW17" s="23"/>
      <c r="DX17" s="23"/>
      <c r="DY17" s="23"/>
      <c r="DZ17" s="23"/>
      <c r="EA17" s="23"/>
      <c r="EB17" s="23"/>
      <c r="EC17" s="23"/>
      <c r="ED17" s="23"/>
      <c r="EE17" s="23"/>
      <c r="EF17" s="23"/>
      <c r="EG17" s="23"/>
      <c r="EH17" s="23"/>
      <c r="EI17" s="23"/>
      <c r="EJ17" s="23"/>
      <c r="EK17" s="23"/>
      <c r="EL17" s="23"/>
      <c r="EM17" s="23"/>
      <c r="EN17" s="23"/>
      <c r="EO17" s="23"/>
      <c r="EP17" s="23"/>
      <c r="EQ17" s="23"/>
      <c r="ER17" s="23"/>
      <c r="ES17" s="23"/>
      <c r="ET17" s="23"/>
      <c r="EU17" s="23"/>
      <c r="EV17" s="23"/>
      <c r="EW17" s="23"/>
      <c r="EX17" s="23"/>
      <c r="EY17" s="23"/>
      <c r="EZ17" s="23"/>
      <c r="FA17" s="23"/>
      <c r="FB17" s="23"/>
      <c r="FC17" s="23"/>
      <c r="FD17" s="23"/>
      <c r="FE17" s="23"/>
      <c r="FF17" s="23"/>
      <c r="FG17" s="23"/>
      <c r="FH17" s="23"/>
      <c r="FI17" s="23"/>
      <c r="FJ17" s="23"/>
      <c r="FK17" s="23"/>
      <c r="FL17" s="23" t="s">
        <v>204</v>
      </c>
      <c r="FM17" s="23" t="s">
        <v>204</v>
      </c>
      <c r="FN17" s="23" t="s">
        <v>204</v>
      </c>
      <c r="FO17" s="23" t="s">
        <v>204</v>
      </c>
      <c r="FP17" s="23" t="s">
        <v>204</v>
      </c>
    </row>
    <row r="18" spans="1:172">
      <c r="A18" s="4"/>
      <c r="B18" s="30" t="s">
        <v>247</v>
      </c>
      <c r="C18" s="28" t="e">
        <f>Sheet1!#REF!</f>
        <v>#REF!</v>
      </c>
      <c r="D18" s="28" t="e">
        <f>Sheet1!#REF!</f>
        <v>#REF!</v>
      </c>
      <c r="E18" s="15">
        <v>0.75</v>
      </c>
      <c r="F18" s="15">
        <v>0.74</v>
      </c>
      <c r="G18" s="15">
        <v>0.74</v>
      </c>
      <c r="H18" s="15">
        <v>0.73</v>
      </c>
      <c r="I18" s="15">
        <v>0.73</v>
      </c>
      <c r="J18" s="15">
        <v>0.73</v>
      </c>
      <c r="K18" s="15">
        <v>0.74</v>
      </c>
      <c r="L18" s="15">
        <v>0.74</v>
      </c>
      <c r="M18" s="15">
        <v>0.74</v>
      </c>
      <c r="N18" s="15">
        <v>0.74</v>
      </c>
      <c r="O18" s="15">
        <v>0.74</v>
      </c>
      <c r="P18" s="15">
        <v>0.74</v>
      </c>
      <c r="Q18" s="15">
        <v>0.74</v>
      </c>
      <c r="R18" s="15">
        <v>0.72</v>
      </c>
      <c r="S18" s="15">
        <v>0.68</v>
      </c>
      <c r="T18" s="15">
        <v>0.68</v>
      </c>
      <c r="U18" s="15">
        <v>0.62</v>
      </c>
      <c r="V18" s="15">
        <v>0.6</v>
      </c>
      <c r="W18" s="15">
        <v>0.53</v>
      </c>
      <c r="X18" s="15">
        <v>0.53</v>
      </c>
      <c r="Y18" s="15">
        <v>0.54</v>
      </c>
      <c r="Z18" s="15">
        <v>0.6</v>
      </c>
      <c r="AA18" s="19">
        <v>0.6</v>
      </c>
      <c r="AB18" s="19">
        <v>0.49</v>
      </c>
      <c r="AC18" s="19">
        <v>0.48</v>
      </c>
      <c r="AD18" s="19">
        <v>0.44</v>
      </c>
      <c r="AE18" s="19">
        <v>0.43</v>
      </c>
      <c r="AF18" s="29">
        <f>Sheet1!AY20</f>
        <v>0.42</v>
      </c>
      <c r="AG18" s="29">
        <f>Sheet1!AZ20</f>
        <v>0.42</v>
      </c>
      <c r="AH18" s="29">
        <f>Sheet1!BA20</f>
        <v>0.42</v>
      </c>
      <c r="AI18" s="29">
        <f>Sheet1!BB20</f>
        <v>0.4</v>
      </c>
      <c r="AJ18" s="29">
        <f>Sheet1!BC20</f>
        <v>0.39</v>
      </c>
      <c r="AK18" s="29">
        <f>Sheet1!BD20</f>
        <v>0.39</v>
      </c>
      <c r="AL18" s="29">
        <f>Sheet1!BE20</f>
        <v>0.39</v>
      </c>
      <c r="AM18" s="29">
        <f>Sheet1!BF20</f>
        <v>0.39</v>
      </c>
      <c r="AN18" s="29">
        <f>Sheet1!BG20</f>
        <v>0.39</v>
      </c>
      <c r="AO18" s="29">
        <f>Sheet1!BH20</f>
        <v>0.39</v>
      </c>
      <c r="AP18" s="29">
        <f>Sheet1!BI20</f>
        <v>0.39</v>
      </c>
      <c r="AQ18" s="29">
        <f>Sheet1!BJ20</f>
        <v>0.39</v>
      </c>
      <c r="AR18" s="29">
        <f>Sheet1!BK20</f>
        <v>0.37</v>
      </c>
      <c r="AS18" s="29">
        <f>Sheet1!BL20</f>
        <v>0.37</v>
      </c>
      <c r="AT18" s="29">
        <f>Sheet1!BM20</f>
        <v>0.36</v>
      </c>
      <c r="AU18" s="29">
        <f>Sheet1!BN20</f>
        <v>0.36</v>
      </c>
      <c r="AV18" s="29">
        <f>Sheet1!BO20</f>
        <v>0.35</v>
      </c>
      <c r="AW18" s="29">
        <f>Sheet1!BP20</f>
        <v>0.35</v>
      </c>
      <c r="AX18" s="29">
        <f>Sheet1!BQ20</f>
        <v>0.35</v>
      </c>
      <c r="AY18" s="29">
        <f>Sheet1!BR20</f>
        <v>0.32</v>
      </c>
      <c r="AZ18" s="29">
        <f>Sheet1!BS20</f>
        <v>0.32</v>
      </c>
      <c r="BA18" s="29">
        <f>Sheet1!BT20</f>
        <v>0.32</v>
      </c>
      <c r="BB18" s="29">
        <f>Sheet1!BU20</f>
        <v>0.32</v>
      </c>
      <c r="BC18" s="29">
        <f>Sheet1!BV20</f>
        <v>0.32</v>
      </c>
      <c r="BD18" s="29">
        <f>Sheet1!BW20</f>
        <v>0.32</v>
      </c>
      <c r="BE18" s="29">
        <f>Sheet1!BX20</f>
        <v>0.32</v>
      </c>
      <c r="BF18" s="29">
        <f>Sheet1!BY20</f>
        <v>0.32</v>
      </c>
      <c r="BG18" s="29">
        <f>Sheet1!BZ20</f>
        <v>0.32</v>
      </c>
      <c r="BH18" s="29">
        <f>Sheet1!CA20</f>
        <v>0.32</v>
      </c>
      <c r="BI18" s="29">
        <f>Sheet1!CB20</f>
        <v>0.32</v>
      </c>
      <c r="BJ18" s="29">
        <f>Sheet1!CC20</f>
        <v>0.32</v>
      </c>
      <c r="BK18" s="29">
        <f>Sheet1!CD20</f>
        <v>0.32</v>
      </c>
      <c r="BL18" s="29">
        <f>Sheet1!CE20</f>
        <v>0.32</v>
      </c>
      <c r="BM18" s="29">
        <f>Sheet1!CF20</f>
        <v>0.32</v>
      </c>
      <c r="BN18" s="29">
        <f>Sheet1!CG20</f>
        <v>0.32</v>
      </c>
      <c r="BO18" s="29">
        <f>Sheet1!CH20</f>
        <v>0.32</v>
      </c>
      <c r="BP18" s="29">
        <f>Sheet1!CI20</f>
        <v>0.32</v>
      </c>
      <c r="BQ18" s="29">
        <f>Sheet1!CJ20</f>
        <v>0.31</v>
      </c>
      <c r="BR18" s="29">
        <f>Sheet1!CK20</f>
        <v>0.28999999999999998</v>
      </c>
      <c r="BS18" s="29">
        <f>Sheet1!CL20</f>
        <v>0.28999999999999998</v>
      </c>
      <c r="BT18" s="29">
        <f>Sheet1!CM20</f>
        <v>0.28999999999999998</v>
      </c>
      <c r="BU18" s="29">
        <f>Sheet1!CN20</f>
        <v>0.28999999999999998</v>
      </c>
      <c r="BV18" s="29">
        <f>Sheet1!CO20</f>
        <v>0.28999999999999998</v>
      </c>
      <c r="BW18" s="29">
        <f>Sheet1!CP20</f>
        <v>0.28999999999999998</v>
      </c>
      <c r="BX18" s="29">
        <f>Sheet1!CQ20</f>
        <v>0.28000000000000003</v>
      </c>
      <c r="BY18" s="29">
        <f>Sheet1!CR20</f>
        <v>0.28000000000000003</v>
      </c>
      <c r="BZ18" s="29">
        <f>Sheet1!CS20</f>
        <v>0.28000000000000003</v>
      </c>
      <c r="CA18" s="29">
        <f>Sheet1!CT20</f>
        <v>0.28000000000000003</v>
      </c>
      <c r="CB18" s="29">
        <f>Sheet1!CU20</f>
        <v>0.28000000000000003</v>
      </c>
      <c r="CC18" s="29">
        <f>Sheet1!CV20</f>
        <v>0.28000000000000003</v>
      </c>
      <c r="CD18" s="29">
        <f>Sheet1!CW20</f>
        <v>0.28000000000000003</v>
      </c>
      <c r="CE18" s="29">
        <f>Sheet1!CX20</f>
        <v>0.28000000000000003</v>
      </c>
      <c r="CF18" s="29">
        <f>Sheet1!CY20</f>
        <v>0.28000000000000003</v>
      </c>
      <c r="CG18" s="29">
        <f>Sheet1!CZ20</f>
        <v>0.28000000000000003</v>
      </c>
      <c r="CH18" s="29">
        <f>Sheet1!DA20</f>
        <v>0.28000000000000003</v>
      </c>
      <c r="CI18" s="29">
        <f>Sheet1!DB20</f>
        <v>0.28000000000000003</v>
      </c>
      <c r="CJ18" s="29">
        <f>Sheet1!DC20</f>
        <v>0.28000000000000003</v>
      </c>
      <c r="CK18" s="29">
        <f>Sheet1!DD20</f>
        <v>0.28000000000000003</v>
      </c>
      <c r="CL18" s="29">
        <f>Sheet1!DE20</f>
        <v>0.28000000000000003</v>
      </c>
      <c r="CM18" s="29">
        <f>Sheet1!DF20</f>
        <v>0.28000000000000003</v>
      </c>
      <c r="CN18" s="29">
        <f>Sheet1!DG20</f>
        <v>0.28000000000000003</v>
      </c>
      <c r="CO18" s="29">
        <f>Sheet1!DH20</f>
        <v>0.28000000000000003</v>
      </c>
      <c r="CP18" s="29">
        <f>Sheet1!DI20</f>
        <v>0.28000000000000003</v>
      </c>
      <c r="CQ18" s="29">
        <f>Sheet1!DJ20</f>
        <v>0.28000000000000003</v>
      </c>
      <c r="CR18" s="29">
        <f>Sheet1!DK20</f>
        <v>0.28000000000000003</v>
      </c>
      <c r="CS18" s="29">
        <f>Sheet1!DL20</f>
        <v>0.28000000000000003</v>
      </c>
      <c r="CT18" s="29">
        <f>Sheet1!DM20</f>
        <v>0.28000000000000003</v>
      </c>
      <c r="CU18" s="29">
        <f>Sheet1!DN20</f>
        <v>0.28000000000000003</v>
      </c>
      <c r="CV18" s="29">
        <f>Sheet1!DO20</f>
        <v>0.28000000000000003</v>
      </c>
      <c r="CW18" s="29">
        <f>Sheet1!DP20</f>
        <v>0.28000000000000003</v>
      </c>
      <c r="CX18" s="29">
        <f>Sheet1!DQ20</f>
        <v>0.28000000000000003</v>
      </c>
      <c r="CY18" s="29">
        <f>Sheet1!DR20</f>
        <v>0.28000000000000003</v>
      </c>
      <c r="CZ18" s="29">
        <f>Sheet1!DS20</f>
        <v>0.28000000000000003</v>
      </c>
      <c r="DA18" s="29">
        <f>Sheet1!DT20</f>
        <v>0.28000000000000003</v>
      </c>
      <c r="DB18" s="29">
        <f>Sheet1!DU20</f>
        <v>0.28000000000000003</v>
      </c>
      <c r="DC18" s="29">
        <f>Sheet1!DV20</f>
        <v>0.28000000000000003</v>
      </c>
      <c r="DD18" s="29" t="s">
        <v>204</v>
      </c>
      <c r="DE18" s="23"/>
      <c r="DF18" s="23"/>
      <c r="DG18" s="23"/>
      <c r="DH18" s="23"/>
      <c r="DI18" s="23"/>
      <c r="DJ18" s="23"/>
      <c r="DK18" s="23"/>
      <c r="DL18" s="23"/>
      <c r="DM18" s="23"/>
      <c r="DN18" s="23"/>
      <c r="DO18" s="23"/>
      <c r="DP18" s="23"/>
      <c r="DQ18" s="23"/>
      <c r="DR18" s="23"/>
      <c r="DS18" s="23"/>
      <c r="DT18" s="23"/>
      <c r="DU18" s="23"/>
      <c r="DV18" s="23"/>
      <c r="DW18" s="23"/>
      <c r="DX18" s="23"/>
      <c r="DY18" s="23"/>
      <c r="DZ18" s="23"/>
      <c r="EA18" s="23"/>
      <c r="EB18" s="23"/>
      <c r="EC18" s="23"/>
      <c r="ED18" s="23"/>
      <c r="EE18" s="23"/>
      <c r="EF18" s="23"/>
      <c r="EG18" s="23"/>
      <c r="EH18" s="23"/>
      <c r="EI18" s="23"/>
      <c r="EJ18" s="23"/>
      <c r="EK18" s="23"/>
      <c r="EL18" s="23"/>
      <c r="EM18" s="23"/>
      <c r="EN18" s="23"/>
      <c r="EO18" s="23"/>
      <c r="EP18" s="23"/>
      <c r="EQ18" s="23"/>
      <c r="ER18" s="23"/>
      <c r="ES18" s="23"/>
      <c r="ET18" s="23"/>
      <c r="EU18" s="23"/>
      <c r="EV18" s="23"/>
      <c r="EW18" s="23"/>
      <c r="EX18" s="23"/>
      <c r="EY18" s="23"/>
      <c r="EZ18" s="23"/>
      <c r="FA18" s="23"/>
      <c r="FB18" s="23"/>
      <c r="FC18" s="23"/>
      <c r="FD18" s="23"/>
      <c r="FE18" s="23"/>
      <c r="FF18" s="23"/>
      <c r="FG18" s="23"/>
      <c r="FH18" s="23"/>
      <c r="FI18" s="23"/>
      <c r="FJ18" s="23"/>
      <c r="FK18" s="23"/>
      <c r="FL18" s="23" t="s">
        <v>204</v>
      </c>
      <c r="FM18" s="23" t="s">
        <v>204</v>
      </c>
      <c r="FN18" s="23" t="s">
        <v>204</v>
      </c>
      <c r="FO18" s="23" t="s">
        <v>204</v>
      </c>
      <c r="FP18" s="23" t="s">
        <v>204</v>
      </c>
    </row>
    <row r="19" spans="1:172">
      <c r="A19" s="4"/>
      <c r="B19" s="30" t="s">
        <v>213</v>
      </c>
      <c r="C19" s="31" t="e">
        <f>Sheet1!#REF!</f>
        <v>#REF!</v>
      </c>
      <c r="D19" s="31" t="e">
        <f>Sheet1!#REF!</f>
        <v>#REF!</v>
      </c>
      <c r="E19" s="15">
        <v>0.83</v>
      </c>
      <c r="F19" s="15">
        <v>0.8</v>
      </c>
      <c r="G19" s="15">
        <v>0.81</v>
      </c>
      <c r="H19" s="15">
        <v>0.79</v>
      </c>
      <c r="I19" s="15">
        <v>0.79</v>
      </c>
      <c r="J19" s="15">
        <v>0.79</v>
      </c>
      <c r="K19" s="15">
        <v>0.8</v>
      </c>
      <c r="L19" s="15">
        <v>0.8</v>
      </c>
      <c r="M19" s="15">
        <v>0.81</v>
      </c>
      <c r="N19" s="15">
        <v>0.81</v>
      </c>
      <c r="O19" s="15">
        <v>0.81</v>
      </c>
      <c r="P19" s="15">
        <v>0.81</v>
      </c>
      <c r="Q19" s="15">
        <v>0.81</v>
      </c>
      <c r="R19" s="15">
        <v>0.74</v>
      </c>
      <c r="S19" s="15">
        <v>0.68</v>
      </c>
      <c r="T19" s="15">
        <v>0.68</v>
      </c>
      <c r="U19" s="15">
        <v>0.68</v>
      </c>
      <c r="V19" s="15">
        <v>0.6</v>
      </c>
      <c r="W19" s="15">
        <v>0.57999999999999996</v>
      </c>
      <c r="X19" s="15">
        <v>0.53</v>
      </c>
      <c r="Y19" s="15">
        <v>0.5</v>
      </c>
      <c r="Z19" s="15">
        <v>0.5</v>
      </c>
      <c r="AA19" s="19">
        <v>0.5</v>
      </c>
      <c r="AB19" s="19">
        <v>0.49</v>
      </c>
      <c r="AC19" s="19">
        <v>0.49</v>
      </c>
      <c r="AD19" s="19">
        <v>0.49</v>
      </c>
      <c r="AE19" s="19">
        <v>0.48</v>
      </c>
      <c r="AF19" s="29">
        <f>Sheet1!AY21</f>
        <v>0.48</v>
      </c>
      <c r="AG19" s="29">
        <f>Sheet1!AZ21</f>
        <v>0.48</v>
      </c>
      <c r="AH19" s="29">
        <f>Sheet1!BA21</f>
        <v>0.48</v>
      </c>
      <c r="AI19" s="29">
        <f>Sheet1!BB21</f>
        <v>0.48</v>
      </c>
      <c r="AJ19" s="29">
        <f>Sheet1!BC21</f>
        <v>0.48</v>
      </c>
      <c r="AK19" s="29">
        <f>Sheet1!BD21</f>
        <v>0.48</v>
      </c>
      <c r="AL19" s="29">
        <f>Sheet1!BE21</f>
        <v>0.48</v>
      </c>
      <c r="AM19" s="29">
        <f>Sheet1!BF21</f>
        <v>0.48</v>
      </c>
      <c r="AN19" s="29">
        <f>Sheet1!BG21</f>
        <v>0.48499999999999999</v>
      </c>
      <c r="AO19" s="29">
        <f>Sheet1!BH21</f>
        <v>0.48</v>
      </c>
      <c r="AP19" s="29">
        <f>Sheet1!BI21</f>
        <v>0.48</v>
      </c>
      <c r="AQ19" s="29">
        <f>Sheet1!BJ21</f>
        <v>0.48</v>
      </c>
      <c r="AR19" s="29">
        <f>Sheet1!BK21</f>
        <v>0.47</v>
      </c>
      <c r="AS19" s="29">
        <f>Sheet1!BL21</f>
        <v>0.46</v>
      </c>
      <c r="AT19" s="29">
        <f>Sheet1!BM21</f>
        <v>0.42</v>
      </c>
      <c r="AU19" s="29">
        <f>Sheet1!BN21</f>
        <v>0.42</v>
      </c>
      <c r="AV19" s="29">
        <f>Sheet1!BO21</f>
        <v>0.39500000000000002</v>
      </c>
      <c r="AW19" s="29">
        <f>Sheet1!BP21</f>
        <v>0.375</v>
      </c>
      <c r="AX19" s="29">
        <f>Sheet1!BQ21</f>
        <v>0.34</v>
      </c>
      <c r="AY19" s="29">
        <f>Sheet1!BR21</f>
        <v>0.31</v>
      </c>
      <c r="AZ19" s="29">
        <f>Sheet1!BS21</f>
        <v>0.3</v>
      </c>
      <c r="BA19" s="29">
        <f>Sheet1!BT21</f>
        <v>0.3</v>
      </c>
      <c r="BB19" s="29">
        <f>Sheet1!BU21</f>
        <v>0.3</v>
      </c>
      <c r="BC19" s="29">
        <f>Sheet1!BV21</f>
        <v>0.3</v>
      </c>
      <c r="BD19" s="29">
        <f>Sheet1!BW21</f>
        <v>0.3</v>
      </c>
      <c r="BE19" s="29">
        <f>Sheet1!BX21</f>
        <v>0.3</v>
      </c>
      <c r="BF19" s="29">
        <f>Sheet1!BY21</f>
        <v>0.3</v>
      </c>
      <c r="BG19" s="29">
        <f>Sheet1!BZ21</f>
        <v>0.28999999999999998</v>
      </c>
      <c r="BH19" s="29">
        <f>Sheet1!CA21</f>
        <v>0.28999999999999998</v>
      </c>
      <c r="BI19" s="29">
        <f>Sheet1!CB21</f>
        <v>0.28999999999999998</v>
      </c>
      <c r="BJ19" s="29">
        <f>Sheet1!CC21</f>
        <v>0.28999999999999998</v>
      </c>
      <c r="BK19" s="29">
        <f>Sheet1!CD21</f>
        <v>0.28999999999999998</v>
      </c>
      <c r="BL19" s="29">
        <f>Sheet1!CE21</f>
        <v>0.28999999999999998</v>
      </c>
      <c r="BM19" s="29">
        <f>Sheet1!CF21</f>
        <v>0.28999999999999998</v>
      </c>
      <c r="BN19" s="29">
        <f>Sheet1!CG21</f>
        <v>0.28499999999999998</v>
      </c>
      <c r="BO19" s="29">
        <f>Sheet1!CH21</f>
        <v>0.28000000000000003</v>
      </c>
      <c r="BP19" s="29">
        <f>Sheet1!CI21</f>
        <v>0.28000000000000003</v>
      </c>
      <c r="BQ19" s="29">
        <f>Sheet1!CJ21</f>
        <v>0.27</v>
      </c>
      <c r="BR19" s="29">
        <f>Sheet1!CK21</f>
        <v>0.27</v>
      </c>
      <c r="BS19" s="29">
        <f>Sheet1!CL21</f>
        <v>0.27</v>
      </c>
      <c r="BT19" s="29">
        <f>Sheet1!CM21</f>
        <v>0.27</v>
      </c>
      <c r="BU19" s="29">
        <f>Sheet1!CN21</f>
        <v>0.27</v>
      </c>
      <c r="BV19" s="29">
        <f>Sheet1!CO21</f>
        <v>0.27</v>
      </c>
      <c r="BW19" s="29">
        <f>Sheet1!CP21</f>
        <v>0.27</v>
      </c>
      <c r="BX19" s="29">
        <f>Sheet1!CQ21</f>
        <v>0.27</v>
      </c>
      <c r="BY19" s="29">
        <f>Sheet1!CR21</f>
        <v>0.27500000000000002</v>
      </c>
      <c r="BZ19" s="29">
        <f>Sheet1!CS21</f>
        <v>0.28000000000000003</v>
      </c>
      <c r="CA19" s="29">
        <f>Sheet1!CT21</f>
        <v>0.28000000000000003</v>
      </c>
      <c r="CB19" s="29">
        <f>Sheet1!CU21</f>
        <v>0.28000000000000003</v>
      </c>
      <c r="CC19" s="29">
        <f>Sheet1!CV21</f>
        <v>0.28000000000000003</v>
      </c>
      <c r="CD19" s="29">
        <f>Sheet1!CW21</f>
        <v>0.28499999999999998</v>
      </c>
      <c r="CE19" s="29">
        <f>Sheet1!CX21</f>
        <v>0.28499999999999998</v>
      </c>
      <c r="CF19" s="29">
        <f>Sheet1!CY21</f>
        <v>0.28999999999999998</v>
      </c>
      <c r="CG19" s="29">
        <f>Sheet1!CZ21</f>
        <v>0.28999999999999998</v>
      </c>
      <c r="CH19" s="29">
        <f>Sheet1!DA21</f>
        <v>0.28999999999999998</v>
      </c>
      <c r="CI19" s="29">
        <f>Sheet1!DB21</f>
        <v>0.28999999999999998</v>
      </c>
      <c r="CJ19" s="29">
        <f>Sheet1!DC21</f>
        <v>0.29499999999999998</v>
      </c>
      <c r="CK19" s="29">
        <f>Sheet1!DD21</f>
        <v>0.29499999999999998</v>
      </c>
      <c r="CL19" s="29">
        <f>Sheet1!DE21</f>
        <v>0.29499999999999998</v>
      </c>
      <c r="CM19" s="29">
        <f>Sheet1!DF21</f>
        <v>0.29799999999999999</v>
      </c>
      <c r="CN19" s="29">
        <f>Sheet1!DG21</f>
        <v>0.29799999999999999</v>
      </c>
      <c r="CO19" s="29">
        <f>Sheet1!DH21</f>
        <v>0.3</v>
      </c>
      <c r="CP19" s="29">
        <f>Sheet1!DI21</f>
        <v>0.3</v>
      </c>
      <c r="CQ19" s="29">
        <f>Sheet1!DJ21</f>
        <v>0.3</v>
      </c>
      <c r="CR19" s="29">
        <f>Sheet1!DK21</f>
        <v>0.3</v>
      </c>
      <c r="CS19" s="29">
        <f>Sheet1!DL21</f>
        <v>0.29499999999999998</v>
      </c>
      <c r="CT19" s="29">
        <f>Sheet1!DM21</f>
        <v>0.28000000000000003</v>
      </c>
      <c r="CU19" s="29">
        <f>Sheet1!DN21</f>
        <v>0.28000000000000003</v>
      </c>
      <c r="CV19" s="29">
        <f>Sheet1!DO21</f>
        <v>0.26800000000000002</v>
      </c>
      <c r="CW19" s="29">
        <f>Sheet1!DP21</f>
        <v>0.26500000000000001</v>
      </c>
      <c r="CX19" s="29">
        <f>Sheet1!DQ21</f>
        <v>0.26</v>
      </c>
      <c r="CY19" s="29">
        <f>Sheet1!DR21</f>
        <v>0.255</v>
      </c>
      <c r="CZ19" s="29">
        <f>Sheet1!DS21</f>
        <v>0.255</v>
      </c>
      <c r="DA19" s="29">
        <f>Sheet1!DT21</f>
        <v>0.255</v>
      </c>
      <c r="DB19" s="29">
        <f>Sheet1!DU21</f>
        <v>0.24</v>
      </c>
      <c r="DC19" s="29">
        <f>Sheet1!DV21</f>
        <v>0.23499999999999999</v>
      </c>
      <c r="DD19" s="29">
        <f>Sheet1!DW21</f>
        <v>0.22500000000000001</v>
      </c>
      <c r="DE19" s="29">
        <f>Sheet1!DX21</f>
        <v>0.23</v>
      </c>
      <c r="DF19" s="29">
        <f>Sheet1!DY21</f>
        <v>0.25</v>
      </c>
      <c r="DG19" s="29">
        <f>Sheet1!DZ21</f>
        <v>0.28000000000000003</v>
      </c>
      <c r="DH19" s="29">
        <f>Sheet1!EA21</f>
        <v>0.30499999999999999</v>
      </c>
      <c r="DI19" s="29">
        <f>Sheet1!EB21</f>
        <v>0.315</v>
      </c>
      <c r="DJ19" s="29">
        <f>Sheet1!EC21</f>
        <v>0.29499999999999998</v>
      </c>
      <c r="DK19" s="29">
        <f>Sheet1!ED21</f>
        <v>0.29499999999999998</v>
      </c>
      <c r="DL19" s="29">
        <f>Sheet1!EE21</f>
        <v>0.29799999999999999</v>
      </c>
      <c r="DM19" s="29">
        <f>Sheet1!EF21</f>
        <v>0.29799999999999999</v>
      </c>
      <c r="DN19" s="29">
        <f>Sheet1!EG21</f>
        <v>0.30499999999999999</v>
      </c>
      <c r="DO19" s="29">
        <f>Sheet1!EH21</f>
        <v>0.315</v>
      </c>
      <c r="DP19" s="29">
        <f>Sheet1!EI21</f>
        <v>0.32500000000000001</v>
      </c>
      <c r="DQ19" s="29">
        <f>Sheet1!EJ21</f>
        <v>0.32500000000000001</v>
      </c>
      <c r="DR19" s="29">
        <f>Sheet1!EK21</f>
        <v>0.32500000000000001</v>
      </c>
      <c r="DS19" s="29">
        <f>Sheet1!EL21</f>
        <v>0.32500000000000001</v>
      </c>
      <c r="DT19" s="29">
        <f>Sheet1!EM21</f>
        <v>0.32500000000000001</v>
      </c>
      <c r="DU19" s="29">
        <f>Sheet1!EN21</f>
        <v>0.31</v>
      </c>
      <c r="DV19" s="29">
        <f>Sheet1!EO21</f>
        <v>0.31</v>
      </c>
      <c r="DW19" s="29">
        <f>Sheet1!EP21</f>
        <v>0.308</v>
      </c>
      <c r="DX19" s="29">
        <f>Sheet1!EQ21</f>
        <v>0.29499999999999998</v>
      </c>
      <c r="DY19" s="29">
        <f>Sheet1!ER21</f>
        <v>0.29199999999999998</v>
      </c>
      <c r="DZ19" s="29">
        <f>Sheet1!ES21</f>
        <v>0.28499999999999998</v>
      </c>
      <c r="EA19" s="29">
        <f>Sheet1!ET21</f>
        <v>0.29499999999999998</v>
      </c>
      <c r="EB19" s="29">
        <f>Sheet1!EU21</f>
        <v>0.32</v>
      </c>
      <c r="EC19" s="29">
        <f>Sheet1!EV21</f>
        <v>0.32</v>
      </c>
      <c r="ED19" s="29">
        <f>Sheet1!EW21</f>
        <v>0.37</v>
      </c>
      <c r="EE19" s="29">
        <f>Sheet1!EX21</f>
        <v>0.38</v>
      </c>
      <c r="EF19" s="29">
        <f>Sheet1!EY21</f>
        <v>0.41</v>
      </c>
      <c r="EG19" s="29">
        <f>Sheet1!EZ21</f>
        <v>0.435</v>
      </c>
      <c r="EH19" s="29">
        <f>Sheet1!FA21</f>
        <v>0.435</v>
      </c>
      <c r="EI19" s="29">
        <f>Sheet1!FB21</f>
        <v>0.435</v>
      </c>
      <c r="EJ19" s="29">
        <f>Sheet1!FC21</f>
        <v>0.435</v>
      </c>
      <c r="EK19" s="29">
        <f>Sheet1!FD21</f>
        <v>0.42</v>
      </c>
      <c r="EL19" s="29">
        <f>Sheet1!FE21</f>
        <v>0.42</v>
      </c>
      <c r="EM19" s="29">
        <f>Sheet1!FF21</f>
        <v>0.4</v>
      </c>
      <c r="EN19" s="29">
        <f>Sheet1!FG21</f>
        <v>0.38</v>
      </c>
      <c r="EO19" s="29">
        <f>Sheet1!FH21</f>
        <v>0.37</v>
      </c>
      <c r="EP19" s="29">
        <f>Sheet1!FI21</f>
        <v>0.35</v>
      </c>
      <c r="EQ19" s="29">
        <f>Sheet1!FJ21</f>
        <v>0.34499999999999997</v>
      </c>
      <c r="ER19" s="29">
        <f>Sheet1!FK21</f>
        <v>0.32500000000000001</v>
      </c>
      <c r="ES19" s="29">
        <f>Sheet1!FL21</f>
        <v>0.32500000000000001</v>
      </c>
      <c r="ET19" s="29">
        <f>Sheet1!FM21</f>
        <v>0.32500000000000001</v>
      </c>
      <c r="EU19" s="29">
        <f>Sheet1!FN21</f>
        <v>0.32500000000000001</v>
      </c>
      <c r="EV19" s="29">
        <f>Sheet1!FO21</f>
        <v>0.32500000000000001</v>
      </c>
      <c r="EW19" s="29">
        <f>Sheet1!FP21</f>
        <v>0.32500000000000001</v>
      </c>
      <c r="EX19" s="29">
        <f>Sheet1!FQ21</f>
        <v>0.32500000000000001</v>
      </c>
      <c r="EY19" s="29">
        <f>Sheet1!FR21</f>
        <v>0.31</v>
      </c>
      <c r="EZ19" s="29">
        <f>Sheet1!FS21</f>
        <v>0.31</v>
      </c>
      <c r="FA19" s="29">
        <f>Sheet1!FT21</f>
        <v>0.28499999999999998</v>
      </c>
      <c r="FB19" s="29">
        <f>Sheet1!FU21</f>
        <v>0.27</v>
      </c>
      <c r="FC19" s="29">
        <f>Sheet1!FV21</f>
        <v>0.26800000000000002</v>
      </c>
      <c r="FD19" s="29">
        <f>Sheet1!FW21</f>
        <v>0.26500000000000001</v>
      </c>
      <c r="FE19" s="29">
        <f>Sheet1!FX21</f>
        <v>0.26500000000000001</v>
      </c>
      <c r="FF19" s="29">
        <f>Sheet1!FY21</f>
        <v>0.26500000000000001</v>
      </c>
      <c r="FG19" s="29">
        <f>Sheet1!FZ21</f>
        <v>0.27500000000000002</v>
      </c>
      <c r="FH19" s="29">
        <f>Sheet1!GA21</f>
        <v>0.3</v>
      </c>
      <c r="FI19" s="29">
        <f>Sheet1!GB21</f>
        <v>0.38</v>
      </c>
      <c r="FJ19" s="29">
        <f>Sheet1!GC21</f>
        <v>0.33500000000000002</v>
      </c>
      <c r="FK19" s="29">
        <f>Sheet1!GD21</f>
        <v>0.31</v>
      </c>
      <c r="FL19" s="29">
        <f>Sheet1!GE21</f>
        <v>0.31</v>
      </c>
      <c r="FM19" s="29">
        <f>Sheet1!GF21</f>
        <v>0.3</v>
      </c>
      <c r="FN19" s="23">
        <f>Sheet1!GG21</f>
        <v>-3.2258064516128968</v>
      </c>
      <c r="FO19" s="23">
        <f>Sheet1!GH21</f>
        <v>2.8688524590163866</v>
      </c>
      <c r="FP19" s="23">
        <f>Sheet1!GI21</f>
        <v>-18.918918918918919</v>
      </c>
    </row>
    <row r="20" spans="1:172">
      <c r="A20" s="4"/>
      <c r="B20" s="30" t="s">
        <v>214</v>
      </c>
      <c r="C20" s="34"/>
      <c r="D20" s="34"/>
      <c r="E20" s="15"/>
      <c r="F20" s="15"/>
      <c r="G20" s="15"/>
      <c r="H20" s="15"/>
      <c r="I20" s="15"/>
      <c r="J20" s="15"/>
      <c r="K20" s="15"/>
      <c r="L20" s="15"/>
      <c r="M20" s="15"/>
      <c r="N20" s="15"/>
      <c r="O20" s="15"/>
      <c r="P20" s="15"/>
      <c r="Q20" s="15"/>
      <c r="R20" s="15"/>
      <c r="S20" s="15"/>
      <c r="T20" s="15"/>
      <c r="U20" s="15"/>
      <c r="V20" s="15"/>
      <c r="W20" s="15"/>
      <c r="X20" s="15"/>
      <c r="Y20" s="15"/>
      <c r="Z20" s="15"/>
      <c r="AA20" s="19"/>
      <c r="AB20" s="15"/>
      <c r="AC20" s="15"/>
      <c r="AD20" s="15"/>
      <c r="AE20" s="15"/>
      <c r="AF20" s="33"/>
      <c r="AG20" s="33"/>
      <c r="AH20" s="33"/>
      <c r="AI20" s="33"/>
      <c r="AJ20" s="33"/>
      <c r="AK20" s="33"/>
      <c r="AL20" s="33"/>
      <c r="AM20" s="23"/>
      <c r="AN20" s="23"/>
      <c r="AO20" s="23"/>
      <c r="AP20" s="23"/>
      <c r="AQ20" s="23"/>
      <c r="AR20" s="23"/>
      <c r="AS20" s="23"/>
      <c r="AT20" s="23"/>
      <c r="AU20" s="23"/>
      <c r="AV20" s="23"/>
      <c r="AW20" s="23"/>
      <c r="AX20" s="23"/>
      <c r="AY20" s="23"/>
      <c r="AZ20" s="23"/>
      <c r="BA20" s="23"/>
      <c r="BB20" s="29">
        <f>Sheet1!BU22</f>
        <v>0.36</v>
      </c>
      <c r="BC20" s="29">
        <f>Sheet1!BV22</f>
        <v>0.35</v>
      </c>
      <c r="BD20" s="29">
        <f>Sheet1!BW22</f>
        <v>0.35</v>
      </c>
      <c r="BE20" s="29">
        <f>Sheet1!BX22</f>
        <v>0.35</v>
      </c>
      <c r="BF20" s="29">
        <f>Sheet1!BY22</f>
        <v>0.35</v>
      </c>
      <c r="BG20" s="29">
        <f>Sheet1!BZ22</f>
        <v>0.33</v>
      </c>
      <c r="BH20" s="29">
        <f>Sheet1!CA22</f>
        <v>0.33</v>
      </c>
      <c r="BI20" s="29">
        <f>Sheet1!CB22</f>
        <v>0.32</v>
      </c>
      <c r="BJ20" s="29">
        <f>Sheet1!CC22</f>
        <v>0.32</v>
      </c>
      <c r="BK20" s="29">
        <f>Sheet1!CD22</f>
        <v>0.32</v>
      </c>
      <c r="BL20" s="29">
        <f>Sheet1!CE22</f>
        <v>0.32</v>
      </c>
      <c r="BM20" s="29">
        <f>Sheet1!CF22</f>
        <v>0.32</v>
      </c>
      <c r="BN20" s="29">
        <f>Sheet1!CG22</f>
        <v>0.3</v>
      </c>
      <c r="BO20" s="29">
        <f>Sheet1!CH22</f>
        <v>0.28999999999999998</v>
      </c>
      <c r="BP20" s="29">
        <f>Sheet1!CI22</f>
        <v>0.28999999999999998</v>
      </c>
      <c r="BQ20" s="29">
        <f>Sheet1!CJ22</f>
        <v>0.28499999999999998</v>
      </c>
      <c r="BR20" s="29">
        <f>Sheet1!CK22</f>
        <v>0.28999999999999998</v>
      </c>
      <c r="BS20" s="29">
        <f>Sheet1!CL22</f>
        <v>0.28999999999999998</v>
      </c>
      <c r="BT20" s="29">
        <f>Sheet1!CM22</f>
        <v>0.28999999999999998</v>
      </c>
      <c r="BU20" s="29">
        <f>Sheet1!CN22</f>
        <v>0.28999999999999998</v>
      </c>
      <c r="BV20" s="29">
        <f>Sheet1!CO22</f>
        <v>0.28999999999999998</v>
      </c>
      <c r="BW20" s="29">
        <f>Sheet1!CP22</f>
        <v>0.28999999999999998</v>
      </c>
      <c r="BX20" s="29">
        <f>Sheet1!CQ22</f>
        <v>0.28499999999999998</v>
      </c>
      <c r="BY20" s="29">
        <f>Sheet1!CR22</f>
        <v>0.28499999999999998</v>
      </c>
      <c r="BZ20" s="29">
        <f>Sheet1!CS22</f>
        <v>0.28499999999999998</v>
      </c>
      <c r="CA20" s="29">
        <f>Sheet1!CT22</f>
        <v>0.28499999999999998</v>
      </c>
      <c r="CB20" s="29">
        <f>Sheet1!CU22</f>
        <v>0.28499999999999998</v>
      </c>
      <c r="CC20" s="29">
        <f>Sheet1!CV22</f>
        <v>0.28499999999999998</v>
      </c>
      <c r="CD20" s="29">
        <f>Sheet1!CW22</f>
        <v>0.28499999999999998</v>
      </c>
      <c r="CE20" s="29">
        <f>Sheet1!CX22</f>
        <v>0.28999999999999998</v>
      </c>
      <c r="CF20" s="29">
        <f>Sheet1!CY22</f>
        <v>0.28999999999999998</v>
      </c>
      <c r="CG20" s="29">
        <f>Sheet1!CZ22</f>
        <v>0.28999999999999998</v>
      </c>
      <c r="CH20" s="29">
        <f>Sheet1!DA22</f>
        <v>0.28999999999999998</v>
      </c>
      <c r="CI20" s="29">
        <f>Sheet1!DB22</f>
        <v>0.28999999999999998</v>
      </c>
      <c r="CJ20" s="29">
        <f>Sheet1!DC22</f>
        <v>0.29499999999999998</v>
      </c>
      <c r="CK20" s="29">
        <f>Sheet1!DD22</f>
        <v>0.29499999999999998</v>
      </c>
      <c r="CL20" s="29">
        <f>Sheet1!DE22</f>
        <v>0.29499999999999998</v>
      </c>
      <c r="CM20" s="29">
        <f>Sheet1!DF22</f>
        <v>0.29499999999999998</v>
      </c>
      <c r="CN20" s="29">
        <f>Sheet1!DG22</f>
        <v>0.29499999999999998</v>
      </c>
      <c r="CO20" s="29">
        <f>Sheet1!DH22</f>
        <v>0.30499999999999999</v>
      </c>
      <c r="CP20" s="29">
        <f>Sheet1!DI22</f>
        <v>0.30499999999999999</v>
      </c>
      <c r="CQ20" s="29">
        <f>Sheet1!DJ22</f>
        <v>0.30499999999999999</v>
      </c>
      <c r="CR20" s="29">
        <f>Sheet1!DK22</f>
        <v>0.30499999999999999</v>
      </c>
      <c r="CS20" s="29">
        <f>Sheet1!DL22</f>
        <v>0.3</v>
      </c>
      <c r="CT20" s="29">
        <f>Sheet1!DM22</f>
        <v>0.28999999999999998</v>
      </c>
      <c r="CU20" s="29">
        <f>Sheet1!DN22</f>
        <v>0.28999999999999998</v>
      </c>
      <c r="CV20" s="29">
        <f>Sheet1!DO22</f>
        <v>0.28000000000000003</v>
      </c>
      <c r="CW20" s="29">
        <f>Sheet1!DP22</f>
        <v>0.28000000000000003</v>
      </c>
      <c r="CX20" s="29">
        <f>Sheet1!DQ22</f>
        <v>0.28000000000000003</v>
      </c>
      <c r="CY20" s="29">
        <f>Sheet1!DR22</f>
        <v>0.27</v>
      </c>
      <c r="CZ20" s="29">
        <f>Sheet1!DS22</f>
        <v>0.27</v>
      </c>
      <c r="DA20" s="29">
        <f>Sheet1!DT22</f>
        <v>0.27</v>
      </c>
      <c r="DB20" s="29">
        <f>Sheet1!DU22</f>
        <v>0.26</v>
      </c>
      <c r="DC20" s="29">
        <f>Sheet1!DV22</f>
        <v>0.255</v>
      </c>
      <c r="DD20" s="29">
        <f>Sheet1!DW22</f>
        <v>0.245</v>
      </c>
      <c r="DE20" s="29">
        <f>Sheet1!DX22</f>
        <v>0.245</v>
      </c>
      <c r="DF20" s="29">
        <f>Sheet1!DY22</f>
        <v>0.255</v>
      </c>
      <c r="DG20" s="29">
        <f>Sheet1!DZ22</f>
        <v>0.27500000000000002</v>
      </c>
      <c r="DH20" s="29">
        <f>Sheet1!EA22</f>
        <v>0.28999999999999998</v>
      </c>
      <c r="DI20" s="29">
        <f>Sheet1!EB22</f>
        <v>0.28999999999999998</v>
      </c>
      <c r="DJ20" s="29">
        <f>Sheet1!EC22</f>
        <v>0.28499999999999998</v>
      </c>
      <c r="DK20" s="29">
        <f>Sheet1!ED22</f>
        <v>0.28499999999999998</v>
      </c>
      <c r="DL20" s="29">
        <f>Sheet1!EE22</f>
        <v>0.28799999999999998</v>
      </c>
      <c r="DM20" s="29">
        <f>Sheet1!EF22</f>
        <v>0.28799999999999998</v>
      </c>
      <c r="DN20" s="29">
        <f>Sheet1!EG22</f>
        <v>0.28999999999999998</v>
      </c>
      <c r="DO20" s="29">
        <f>Sheet1!EH22</f>
        <v>0.3</v>
      </c>
      <c r="DP20" s="29">
        <f>Sheet1!EI22</f>
        <v>0.3</v>
      </c>
      <c r="DQ20" s="29">
        <f>Sheet1!EJ22</f>
        <v>0.3</v>
      </c>
      <c r="DR20" s="29">
        <f>Sheet1!EK22</f>
        <v>0.3</v>
      </c>
      <c r="DS20" s="29">
        <f>Sheet1!EL22</f>
        <v>0.31</v>
      </c>
      <c r="DT20" s="29">
        <f>Sheet1!EM22</f>
        <v>0.31</v>
      </c>
      <c r="DU20" s="29">
        <f>Sheet1!EN22</f>
        <v>0.3</v>
      </c>
      <c r="DV20" s="29">
        <f>Sheet1!EO22</f>
        <v>0.3</v>
      </c>
      <c r="DW20" s="29">
        <f>Sheet1!EP22</f>
        <v>0.29799999999999999</v>
      </c>
      <c r="DX20" s="29">
        <f>Sheet1!EQ22</f>
        <v>0.28799999999999998</v>
      </c>
      <c r="DY20" s="29">
        <f>Sheet1!ER22</f>
        <v>0.28499999999999998</v>
      </c>
      <c r="DZ20" s="29">
        <f>Sheet1!ES22</f>
        <v>0.28299999999999997</v>
      </c>
      <c r="EA20" s="29">
        <f>Sheet1!ET22</f>
        <v>0.29499999999999998</v>
      </c>
      <c r="EB20" s="29">
        <f>Sheet1!EU22</f>
        <v>0.32</v>
      </c>
      <c r="EC20" s="29">
        <f>Sheet1!EV22</f>
        <v>0.32</v>
      </c>
      <c r="ED20" s="29">
        <f>Sheet1!EW22</f>
        <v>0.38</v>
      </c>
      <c r="EE20" s="29">
        <f>Sheet1!EX22</f>
        <v>0.38</v>
      </c>
      <c r="EF20" s="29">
        <f>Sheet1!EY22</f>
        <v>0.41</v>
      </c>
      <c r="EG20" s="29">
        <f>Sheet1!EZ22</f>
        <v>0.435</v>
      </c>
      <c r="EH20" s="29">
        <f>Sheet1!FA22</f>
        <v>0.435</v>
      </c>
      <c r="EI20" s="29">
        <f>Sheet1!FB22</f>
        <v>0.435</v>
      </c>
      <c r="EJ20" s="29">
        <f>Sheet1!FC22</f>
        <v>0.435</v>
      </c>
      <c r="EK20" s="29">
        <f>Sheet1!FD22</f>
        <v>0.42199999999999999</v>
      </c>
      <c r="EL20" s="29">
        <f>Sheet1!FE22</f>
        <v>0.42199999999999999</v>
      </c>
      <c r="EM20" s="29">
        <f>Sheet1!FF22</f>
        <v>0.4</v>
      </c>
      <c r="EN20" s="29">
        <f>Sheet1!FG22</f>
        <v>0.39</v>
      </c>
      <c r="EO20" s="29">
        <f>Sheet1!FH22</f>
        <v>0.37</v>
      </c>
      <c r="EP20" s="29">
        <f>Sheet1!FI22</f>
        <v>0.36</v>
      </c>
      <c r="EQ20" s="29">
        <f>Sheet1!FJ22</f>
        <v>0.35399999999999998</v>
      </c>
      <c r="ER20" s="29">
        <f>Sheet1!FK22</f>
        <v>0.34</v>
      </c>
      <c r="ES20" s="29">
        <f>Sheet1!FL22</f>
        <v>0.34</v>
      </c>
      <c r="ET20" s="29">
        <f>Sheet1!FM22</f>
        <v>0.34</v>
      </c>
      <c r="EU20" s="29">
        <f>Sheet1!FN22</f>
        <v>0.34</v>
      </c>
      <c r="EV20" s="29">
        <f>Sheet1!FO22</f>
        <v>0.34</v>
      </c>
      <c r="EW20" s="29">
        <f>Sheet1!FP22</f>
        <v>0.33</v>
      </c>
      <c r="EX20" s="29">
        <f>Sheet1!FQ22</f>
        <v>0.33</v>
      </c>
      <c r="EY20" s="29">
        <f>Sheet1!FR22</f>
        <v>0.315</v>
      </c>
      <c r="EZ20" s="29">
        <f>Sheet1!FS22</f>
        <v>0.315</v>
      </c>
      <c r="FA20" s="29">
        <f>Sheet1!FT22</f>
        <v>0.29499999999999998</v>
      </c>
      <c r="FB20" s="29">
        <f>Sheet1!FU22</f>
        <v>0.27500000000000002</v>
      </c>
      <c r="FC20" s="29">
        <f>Sheet1!FV22</f>
        <v>0.27200000000000002</v>
      </c>
      <c r="FD20" s="29">
        <f>Sheet1!FW22</f>
        <v>0.27</v>
      </c>
      <c r="FE20" s="29">
        <f>Sheet1!FX22</f>
        <v>0.27</v>
      </c>
      <c r="FF20" s="29">
        <f>Sheet1!FY22</f>
        <v>0.27</v>
      </c>
      <c r="FG20" s="29">
        <f>Sheet1!FZ22</f>
        <v>0.27</v>
      </c>
      <c r="FH20" s="29">
        <f>Sheet1!GA22</f>
        <v>0.29499999999999998</v>
      </c>
      <c r="FI20" s="29">
        <f>Sheet1!GB22</f>
        <v>0.36</v>
      </c>
      <c r="FJ20" s="29">
        <f>Sheet1!GC22</f>
        <v>0.31</v>
      </c>
      <c r="FK20" s="29">
        <f>Sheet1!GD22</f>
        <v>0.31</v>
      </c>
      <c r="FL20" s="29">
        <f>Sheet1!GE22</f>
        <v>0.31</v>
      </c>
      <c r="FM20" s="29">
        <f>Sheet1!GF22</f>
        <v>0.29499999999999998</v>
      </c>
      <c r="FN20" s="23">
        <f>Sheet1!GG22</f>
        <v>-4.8387096774193594</v>
      </c>
      <c r="FO20" s="23">
        <f>Sheet1!GH22</f>
        <v>2.5104602510460277</v>
      </c>
      <c r="FP20" s="23">
        <f>Sheet1!GI22</f>
        <v>-22.368421052631575</v>
      </c>
    </row>
    <row r="21" spans="1:172">
      <c r="A21" s="4"/>
      <c r="B21" s="30" t="s">
        <v>248</v>
      </c>
      <c r="C21" s="34"/>
      <c r="D21" s="34"/>
      <c r="E21" s="15"/>
      <c r="F21" s="15"/>
      <c r="G21" s="15"/>
      <c r="H21" s="15"/>
      <c r="I21" s="15"/>
      <c r="J21" s="15"/>
      <c r="K21" s="15"/>
      <c r="L21" s="15"/>
      <c r="M21" s="15"/>
      <c r="N21" s="15"/>
      <c r="O21" s="15"/>
      <c r="P21" s="15"/>
      <c r="Q21" s="15"/>
      <c r="R21" s="15"/>
      <c r="S21" s="15"/>
      <c r="T21" s="15"/>
      <c r="U21" s="15"/>
      <c r="V21" s="15"/>
      <c r="W21" s="15"/>
      <c r="X21" s="15"/>
      <c r="Y21" s="15"/>
      <c r="Z21" s="15"/>
      <c r="AA21" s="19"/>
      <c r="AB21" s="15"/>
      <c r="AC21" s="15"/>
      <c r="AD21" s="15"/>
      <c r="AE21" s="15"/>
      <c r="AF21" s="33"/>
      <c r="AG21" s="33"/>
      <c r="AH21" s="33"/>
      <c r="AI21" s="33"/>
      <c r="AJ21" s="33"/>
      <c r="AK21" s="33"/>
      <c r="AL21" s="33"/>
      <c r="AM21" s="23"/>
      <c r="AN21" s="23"/>
      <c r="AO21" s="23"/>
      <c r="AP21" s="23"/>
      <c r="AQ21" s="23"/>
      <c r="AR21" s="23"/>
      <c r="AS21" s="23"/>
      <c r="AT21" s="23"/>
      <c r="AU21" s="23"/>
      <c r="AV21" s="23"/>
      <c r="AW21" s="23"/>
      <c r="AX21" s="23"/>
      <c r="AY21" s="23"/>
      <c r="AZ21" s="23"/>
      <c r="BA21" s="23"/>
      <c r="BB21" s="29"/>
      <c r="BC21" s="29"/>
      <c r="BD21" s="29"/>
      <c r="BE21" s="29"/>
      <c r="BF21" s="29"/>
      <c r="BG21" s="29"/>
      <c r="BH21" s="29"/>
      <c r="BI21" s="29"/>
      <c r="BJ21" s="29"/>
      <c r="BK21" s="29"/>
      <c r="BL21" s="29"/>
      <c r="BM21" s="29"/>
      <c r="BN21" s="29"/>
      <c r="BO21" s="29"/>
      <c r="BP21" s="29">
        <f>Sheet1!CI23</f>
        <v>0.28999999999999998</v>
      </c>
      <c r="BQ21" s="29">
        <f>Sheet1!CJ23</f>
        <v>0.28000000000000003</v>
      </c>
      <c r="BR21" s="29">
        <f>Sheet1!CK23</f>
        <v>0.28499999999999998</v>
      </c>
      <c r="BS21" s="29">
        <f>Sheet1!CL23</f>
        <v>0.28499999999999998</v>
      </c>
      <c r="BT21" s="29">
        <f>Sheet1!CM23</f>
        <v>0.28499999999999998</v>
      </c>
      <c r="BU21" s="29">
        <f>Sheet1!CN23</f>
        <v>0.28499999999999998</v>
      </c>
      <c r="BV21" s="29">
        <f>Sheet1!CO23</f>
        <v>0.28499999999999998</v>
      </c>
      <c r="BW21" s="29">
        <f>Sheet1!CP23</f>
        <v>0.28499999999999998</v>
      </c>
      <c r="BX21" s="29">
        <f>Sheet1!CQ23</f>
        <v>0.27500000000000002</v>
      </c>
      <c r="BY21" s="29">
        <f>Sheet1!CR23</f>
        <v>0.27500000000000002</v>
      </c>
      <c r="BZ21" s="29">
        <f>Sheet1!CS23</f>
        <v>0.27500000000000002</v>
      </c>
      <c r="CA21" s="29">
        <f>Sheet1!CT23</f>
        <v>0.27500000000000002</v>
      </c>
      <c r="CB21" s="29">
        <f>Sheet1!CU23</f>
        <v>0.27500000000000002</v>
      </c>
      <c r="CC21" s="29">
        <f>Sheet1!CV23</f>
        <v>0.27500000000000002</v>
      </c>
      <c r="CD21" s="29">
        <f>Sheet1!CW23</f>
        <v>0.28000000000000003</v>
      </c>
      <c r="CE21" s="29">
        <f>Sheet1!CX23</f>
        <v>0.28499999999999998</v>
      </c>
      <c r="CF21" s="29">
        <f>Sheet1!CY23</f>
        <v>0.28499999999999998</v>
      </c>
      <c r="CG21" s="29">
        <f>Sheet1!CZ23</f>
        <v>0.28499999999999998</v>
      </c>
      <c r="CH21" s="29">
        <f>Sheet1!DA23</f>
        <v>0.28499999999999998</v>
      </c>
      <c r="CI21" s="29">
        <f>Sheet1!DB23</f>
        <v>0.28499999999999998</v>
      </c>
      <c r="CJ21" s="29">
        <f>Sheet1!DC23</f>
        <v>0.28499999999999998</v>
      </c>
      <c r="CK21" s="29">
        <f>Sheet1!DD23</f>
        <v>0.28499999999999998</v>
      </c>
      <c r="CL21" s="29">
        <f>Sheet1!DE23</f>
        <v>0.28499999999999998</v>
      </c>
      <c r="CM21" s="29">
        <f>Sheet1!DF23</f>
        <v>0.29799999999999999</v>
      </c>
      <c r="CN21" s="29">
        <f>Sheet1!DG23</f>
        <v>0.31</v>
      </c>
      <c r="CO21" s="29">
        <f>Sheet1!DH23</f>
        <v>0.35</v>
      </c>
      <c r="CP21" s="29">
        <f>Sheet1!DI23</f>
        <v>0.34</v>
      </c>
      <c r="CQ21" s="29">
        <f>Sheet1!DJ23</f>
        <v>0.34</v>
      </c>
      <c r="CR21" s="29">
        <f>Sheet1!DK23</f>
        <v>0.33</v>
      </c>
      <c r="CS21" s="29">
        <f>Sheet1!DL23</f>
        <v>0.29499999999999998</v>
      </c>
      <c r="CT21" s="29">
        <f>Sheet1!DM23</f>
        <v>0.28000000000000003</v>
      </c>
      <c r="CU21" s="29">
        <f>Sheet1!DN23</f>
        <v>0.28000000000000003</v>
      </c>
      <c r="CV21" s="29">
        <f>Sheet1!DO23</f>
        <v>0.26800000000000002</v>
      </c>
      <c r="CW21" s="29">
        <f>Sheet1!DP23</f>
        <v>0.26500000000000001</v>
      </c>
      <c r="CX21" s="29">
        <f>Sheet1!DQ23</f>
        <v>0.26</v>
      </c>
      <c r="CY21" s="29">
        <f>Sheet1!DR23</f>
        <v>0.26</v>
      </c>
      <c r="CZ21" s="29">
        <f>Sheet1!DS23</f>
        <v>0.26</v>
      </c>
      <c r="DA21" s="29">
        <f>Sheet1!DT23</f>
        <v>0.26</v>
      </c>
      <c r="DB21" s="29">
        <f>Sheet1!DU23</f>
        <v>0.26</v>
      </c>
      <c r="DC21" s="29">
        <f>Sheet1!DV23</f>
        <v>0.255</v>
      </c>
      <c r="DD21" s="29">
        <f>Sheet1!DW23</f>
        <v>0.245</v>
      </c>
      <c r="DE21" s="29">
        <f>Sheet1!DX23</f>
        <v>0.245</v>
      </c>
      <c r="DF21" s="29">
        <f>Sheet1!DY23</f>
        <v>0.26200000000000001</v>
      </c>
      <c r="DG21" s="29">
        <f>Sheet1!DZ23</f>
        <v>0.27500000000000002</v>
      </c>
      <c r="DH21" s="29">
        <f>Sheet1!EA23</f>
        <v>0.28999999999999998</v>
      </c>
      <c r="DI21" s="29">
        <f>Sheet1!EB23</f>
        <v>0.28999999999999998</v>
      </c>
      <c r="DJ21" s="29">
        <f>Sheet1!EC23</f>
        <v>0.28999999999999998</v>
      </c>
      <c r="DK21" s="29">
        <f>Sheet1!ED23</f>
        <v>0.28999999999999998</v>
      </c>
      <c r="DL21" s="29">
        <f>Sheet1!EE23</f>
        <v>0.29099999999999998</v>
      </c>
      <c r="DM21" s="29">
        <f>Sheet1!EF23</f>
        <v>0.29099999999999998</v>
      </c>
      <c r="DN21" s="29">
        <f>Sheet1!EG23</f>
        <v>0.28899999999999998</v>
      </c>
      <c r="DO21" s="29">
        <f>Sheet1!EH23</f>
        <v>0.28999999999999998</v>
      </c>
      <c r="DP21" s="29">
        <f>Sheet1!EI23</f>
        <v>0.28999999999999998</v>
      </c>
      <c r="DQ21" s="29">
        <f>Sheet1!EJ23</f>
        <v>0.28999999999999998</v>
      </c>
      <c r="DR21" s="29">
        <f>Sheet1!EK23</f>
        <v>0.28999999999999998</v>
      </c>
      <c r="DS21" s="29">
        <f>Sheet1!EL23</f>
        <v>0.28399999999999997</v>
      </c>
      <c r="DT21" s="29">
        <f>Sheet1!EM23</f>
        <v>0.28399999999999997</v>
      </c>
      <c r="DU21" s="29">
        <f>Sheet1!EN23</f>
        <v>0.28399999999999997</v>
      </c>
      <c r="DV21" s="29">
        <f>Sheet1!EO23</f>
        <v>0.28399999999999997</v>
      </c>
      <c r="DW21" s="29">
        <f>Sheet1!EP23</f>
        <v>0.28199999999999997</v>
      </c>
      <c r="DX21" s="29">
        <f>Sheet1!EQ23</f>
        <v>0.27800000000000002</v>
      </c>
      <c r="DY21" s="29">
        <f>Sheet1!ER23</f>
        <v>0.27500000000000002</v>
      </c>
      <c r="DZ21" s="29">
        <f>Sheet1!ES23</f>
        <v>0.27300000000000002</v>
      </c>
      <c r="EA21" s="29">
        <f>Sheet1!ET23</f>
        <v>0.28999999999999998</v>
      </c>
      <c r="EB21" s="29">
        <f>Sheet1!EU23</f>
        <v>0.31</v>
      </c>
      <c r="EC21" s="29">
        <f>Sheet1!EV23</f>
        <v>0.31</v>
      </c>
      <c r="ED21" s="29">
        <f>Sheet1!EW23</f>
        <v>0.37</v>
      </c>
      <c r="EE21" s="29">
        <f>Sheet1!EX23</f>
        <v>0.38</v>
      </c>
      <c r="EF21" s="29">
        <f>Sheet1!EY23</f>
        <v>0.41</v>
      </c>
      <c r="EG21" s="29">
        <f>Sheet1!EZ23</f>
        <v>0.435</v>
      </c>
      <c r="EH21" s="29">
        <f>Sheet1!FA23</f>
        <v>0.435</v>
      </c>
      <c r="EI21" s="29">
        <f>Sheet1!FB23</f>
        <v>0.435</v>
      </c>
      <c r="EJ21" s="29">
        <f>Sheet1!FC23</f>
        <v>0.435</v>
      </c>
      <c r="EK21" s="29">
        <f>Sheet1!FD23</f>
        <v>0.42</v>
      </c>
      <c r="EL21" s="29">
        <f>Sheet1!FE23</f>
        <v>0.42</v>
      </c>
      <c r="EM21" s="29">
        <f>Sheet1!FF23</f>
        <v>0.41</v>
      </c>
      <c r="EN21" s="29">
        <f>Sheet1!FG23</f>
        <v>0.39</v>
      </c>
      <c r="EO21" s="29">
        <f>Sheet1!FH23</f>
        <v>0.375</v>
      </c>
      <c r="EP21" s="29">
        <f>Sheet1!FI23</f>
        <v>0.36</v>
      </c>
      <c r="EQ21" s="29">
        <f>Sheet1!FJ23</f>
        <v>0.35499999999999998</v>
      </c>
      <c r="ER21" s="29">
        <f>Sheet1!FK23</f>
        <v>0.34</v>
      </c>
      <c r="ES21" s="29">
        <f>Sheet1!FL23</f>
        <v>0.34</v>
      </c>
      <c r="ET21" s="29">
        <f>Sheet1!FM23</f>
        <v>0.34</v>
      </c>
      <c r="EU21" s="29">
        <f>Sheet1!FN23</f>
        <v>0.34</v>
      </c>
      <c r="EV21" s="29">
        <f>Sheet1!FO23</f>
        <v>0.34</v>
      </c>
      <c r="EW21" s="29">
        <f>Sheet1!FP23</f>
        <v>0.33</v>
      </c>
      <c r="EX21" s="29">
        <f>Sheet1!FQ23</f>
        <v>0.33</v>
      </c>
      <c r="EY21" s="29">
        <f>Sheet1!FR23</f>
        <v>0.315</v>
      </c>
      <c r="EZ21" s="29">
        <f>Sheet1!FS23</f>
        <v>0.31</v>
      </c>
      <c r="FA21" s="29">
        <f>Sheet1!FT23</f>
        <v>0.28999999999999998</v>
      </c>
      <c r="FB21" s="29">
        <f>Sheet1!FU23</f>
        <v>0.27</v>
      </c>
      <c r="FC21" s="29">
        <f>Sheet1!FV23</f>
        <v>0.26800000000000002</v>
      </c>
      <c r="FD21" s="29">
        <f>Sheet1!FW23</f>
        <v>0.26800000000000002</v>
      </c>
      <c r="FE21" s="29">
        <f>Sheet1!FX23</f>
        <v>0.26800000000000002</v>
      </c>
      <c r="FF21" s="29">
        <f>Sheet1!FY23</f>
        <v>0.26800000000000002</v>
      </c>
      <c r="FG21" s="29">
        <f>Sheet1!FZ23</f>
        <v>0.26800000000000002</v>
      </c>
      <c r="FH21" s="29">
        <f>Sheet1!GA23</f>
        <v>0.28999999999999998</v>
      </c>
      <c r="FI21" s="29">
        <f>Sheet1!GB23</f>
        <v>0.38</v>
      </c>
      <c r="FJ21" s="29">
        <f>Sheet1!GC23</f>
        <v>0.30499999999999999</v>
      </c>
      <c r="FK21" s="29">
        <f>Sheet1!GD23</f>
        <v>0.3</v>
      </c>
      <c r="FL21" s="29">
        <f>Sheet1!GE23</f>
        <v>0.3</v>
      </c>
      <c r="FM21" s="29">
        <f>Sheet1!GF23</f>
        <v>0.315</v>
      </c>
      <c r="FN21" s="23">
        <f>Sheet1!GG23</f>
        <v>5</v>
      </c>
      <c r="FO21" s="23">
        <f>Sheet1!GH23</f>
        <v>1.1608623548922068</v>
      </c>
      <c r="FP21" s="23">
        <f>Sheet1!GI23</f>
        <v>-14.86486486486487</v>
      </c>
    </row>
    <row r="22" spans="1:172">
      <c r="A22" s="4"/>
      <c r="B22" s="32" t="s">
        <v>216</v>
      </c>
      <c r="C22" s="35"/>
      <c r="D22" s="35"/>
      <c r="E22" s="15"/>
      <c r="F22" s="15"/>
      <c r="G22" s="15"/>
      <c r="H22" s="15"/>
      <c r="I22" s="15"/>
      <c r="J22" s="15"/>
      <c r="K22" s="15"/>
      <c r="L22" s="15"/>
      <c r="M22" s="15"/>
      <c r="N22" s="15"/>
      <c r="O22" s="15"/>
      <c r="P22" s="15"/>
      <c r="Q22" s="15"/>
      <c r="R22" s="15"/>
      <c r="S22" s="15"/>
      <c r="T22" s="15"/>
      <c r="U22" s="15"/>
      <c r="V22" s="15"/>
      <c r="W22" s="15"/>
      <c r="X22" s="15"/>
      <c r="Y22" s="15"/>
      <c r="Z22" s="15"/>
      <c r="AA22" s="19"/>
      <c r="AB22" s="15"/>
      <c r="AC22" s="15"/>
      <c r="AD22" s="15"/>
      <c r="AE22" s="15"/>
      <c r="AF22" s="33"/>
      <c r="AG22" s="33"/>
      <c r="AH22" s="33"/>
      <c r="AI22" s="33"/>
      <c r="AJ22" s="33"/>
      <c r="AK22" s="33"/>
      <c r="AL22" s="33"/>
      <c r="AM22" s="23"/>
      <c r="AN22" s="23"/>
      <c r="AO22" s="23"/>
      <c r="AP22" s="23"/>
      <c r="AQ22" s="23"/>
      <c r="AR22" s="23"/>
      <c r="AS22" s="23"/>
      <c r="AT22" s="23"/>
      <c r="AU22" s="23"/>
      <c r="AV22" s="23"/>
      <c r="AW22" s="23"/>
      <c r="AX22" s="23"/>
      <c r="AY22" s="23"/>
      <c r="AZ22" s="23"/>
      <c r="BA22" s="23"/>
      <c r="BB22" s="29"/>
      <c r="BC22" s="23"/>
      <c r="BD22" s="23"/>
      <c r="BE22" s="23"/>
      <c r="BF22" s="23"/>
      <c r="BG22" s="23"/>
      <c r="BH22" s="23"/>
      <c r="BI22" s="23"/>
      <c r="BJ22" s="23"/>
      <c r="BK22" s="23"/>
      <c r="BL22" s="23"/>
      <c r="BM22" s="23"/>
      <c r="BN22" s="23"/>
      <c r="BO22" s="23"/>
      <c r="BP22" s="23"/>
      <c r="BQ22" s="23"/>
      <c r="BR22" s="23"/>
      <c r="BS22" s="23"/>
      <c r="BT22" s="23"/>
      <c r="BU22" s="23"/>
      <c r="BV22" s="23"/>
      <c r="BW22" s="23"/>
      <c r="BX22" s="23"/>
      <c r="BY22" s="23"/>
      <c r="BZ22" s="23"/>
      <c r="CA22" s="23"/>
      <c r="CB22" s="23"/>
      <c r="CC22" s="23"/>
      <c r="CD22" s="23"/>
      <c r="CE22" s="23"/>
      <c r="CF22" s="23"/>
      <c r="CG22" s="23"/>
      <c r="CH22" s="23"/>
      <c r="CI22" s="23"/>
      <c r="CJ22" s="23"/>
      <c r="CK22" s="23"/>
      <c r="CL22" s="23"/>
      <c r="CM22" s="23"/>
      <c r="CN22" s="23"/>
      <c r="CO22" s="23"/>
      <c r="CP22" s="23"/>
      <c r="CQ22" s="23"/>
      <c r="CR22" s="23"/>
      <c r="CS22" s="23"/>
      <c r="CT22" s="23"/>
      <c r="CU22" s="23"/>
      <c r="CV22" s="23"/>
      <c r="CW22" s="23"/>
      <c r="CX22" s="23"/>
      <c r="CY22" s="23"/>
      <c r="CZ22" s="23"/>
      <c r="DA22" s="23"/>
      <c r="DB22" s="23"/>
      <c r="DC22" s="23"/>
      <c r="DD22" s="23"/>
      <c r="DE22" s="23"/>
      <c r="DF22" s="23"/>
      <c r="DG22" s="23"/>
      <c r="DH22" s="23"/>
      <c r="DI22" s="23"/>
      <c r="DJ22" s="23"/>
      <c r="DK22" s="23"/>
      <c r="DL22" s="23"/>
      <c r="DM22" s="23"/>
      <c r="DN22" s="23"/>
      <c r="DO22" s="23"/>
      <c r="DP22" s="23"/>
      <c r="DQ22" s="23"/>
      <c r="DR22" s="23"/>
      <c r="DS22" s="23"/>
      <c r="DT22" s="23"/>
      <c r="DU22" s="23"/>
      <c r="DV22" s="23"/>
      <c r="DW22" s="23"/>
      <c r="DX22" s="23"/>
      <c r="DY22" s="23"/>
      <c r="DZ22" s="23"/>
      <c r="EA22" s="23"/>
      <c r="EB22" s="23"/>
      <c r="EC22" s="23"/>
      <c r="ED22" s="23"/>
      <c r="EE22" s="23"/>
      <c r="EF22" s="23"/>
      <c r="EG22" s="23"/>
      <c r="EH22" s="23"/>
      <c r="EI22" s="23"/>
      <c r="EJ22" s="23"/>
      <c r="EK22" s="23"/>
      <c r="EL22" s="23"/>
      <c r="EM22" s="23"/>
      <c r="EN22" s="23"/>
      <c r="EO22" s="23"/>
      <c r="EP22" s="23"/>
      <c r="EQ22" s="23"/>
      <c r="ER22" s="23"/>
      <c r="ES22" s="23"/>
      <c r="ET22" s="23"/>
      <c r="EU22" s="23"/>
      <c r="EV22" s="23"/>
      <c r="EW22" s="23"/>
      <c r="EX22" s="23"/>
      <c r="EY22" s="23"/>
      <c r="EZ22" s="23"/>
      <c r="FA22" s="23"/>
      <c r="FB22" s="23"/>
      <c r="FC22" s="23"/>
      <c r="FD22" s="23"/>
      <c r="FE22" s="23"/>
      <c r="FF22" s="23"/>
      <c r="FG22" s="23"/>
      <c r="FH22" s="23"/>
      <c r="FI22" s="23"/>
      <c r="FJ22" s="23"/>
      <c r="FK22" s="23"/>
      <c r="FL22" s="23"/>
      <c r="FM22" s="23"/>
      <c r="FN22" s="23"/>
      <c r="FO22" s="23"/>
      <c r="FP22" s="23"/>
    </row>
    <row r="23" spans="1:172">
      <c r="A23" s="4"/>
      <c r="B23" s="27" t="s">
        <v>217</v>
      </c>
      <c r="C23" s="28" t="e">
        <f>Sheet1!#REF!</f>
        <v>#REF!</v>
      </c>
      <c r="D23" s="28" t="e">
        <f>Sheet1!#REF!</f>
        <v>#REF!</v>
      </c>
      <c r="E23" s="15">
        <v>1.38</v>
      </c>
      <c r="F23" s="15">
        <v>1.375</v>
      </c>
      <c r="G23" s="15">
        <v>1.36</v>
      </c>
      <c r="H23" s="15">
        <v>1.33</v>
      </c>
      <c r="I23" s="15">
        <v>1.31</v>
      </c>
      <c r="J23" s="15">
        <v>1.31</v>
      </c>
      <c r="K23" s="15">
        <v>1.27</v>
      </c>
      <c r="L23" s="15">
        <v>1.27</v>
      </c>
      <c r="M23" s="15">
        <v>1.27</v>
      </c>
      <c r="N23" s="15">
        <v>1.27</v>
      </c>
      <c r="O23" s="15">
        <v>1.27</v>
      </c>
      <c r="P23" s="15">
        <v>1.27</v>
      </c>
      <c r="Q23" s="15">
        <v>1.2549999999999999</v>
      </c>
      <c r="R23" s="15">
        <v>1.22</v>
      </c>
      <c r="S23" s="15">
        <v>1.1599999999999999</v>
      </c>
      <c r="T23" s="15">
        <v>1.1599999999999999</v>
      </c>
      <c r="U23" s="15">
        <v>1.1299999999999999</v>
      </c>
      <c r="V23" s="15">
        <v>1.1000000000000001</v>
      </c>
      <c r="W23" s="15">
        <v>1.08</v>
      </c>
      <c r="X23" s="15">
        <v>1.02</v>
      </c>
      <c r="Y23" s="15">
        <v>1</v>
      </c>
      <c r="Z23" s="15">
        <v>1</v>
      </c>
      <c r="AA23" s="19">
        <v>0.98</v>
      </c>
      <c r="AB23" s="19">
        <v>0.98</v>
      </c>
      <c r="AC23" s="19">
        <v>0.93</v>
      </c>
      <c r="AD23" s="19">
        <v>0.92</v>
      </c>
      <c r="AE23" s="19">
        <v>0.88</v>
      </c>
      <c r="AF23" s="29">
        <f>Sheet1!AY25</f>
        <v>0.87</v>
      </c>
      <c r="AG23" s="29">
        <f>Sheet1!AZ25</f>
        <v>0.87</v>
      </c>
      <c r="AH23" s="29">
        <f>Sheet1!BA25</f>
        <v>0.87</v>
      </c>
      <c r="AI23" s="29">
        <f>Sheet1!BB25</f>
        <v>0.86</v>
      </c>
      <c r="AJ23" s="29">
        <f>Sheet1!BC25</f>
        <v>0.86</v>
      </c>
      <c r="AK23" s="29">
        <f>Sheet1!BD25</f>
        <v>0.86</v>
      </c>
      <c r="AL23" s="29">
        <f>Sheet1!BE25</f>
        <v>0.86</v>
      </c>
      <c r="AM23" s="29">
        <f>Sheet1!BF25</f>
        <v>0.86</v>
      </c>
      <c r="AN23" s="29">
        <f>Sheet1!BG25</f>
        <v>0.86</v>
      </c>
      <c r="AO23" s="29">
        <f>Sheet1!BH25</f>
        <v>0.86</v>
      </c>
      <c r="AP23" s="29">
        <f>Sheet1!BI25</f>
        <v>0.86</v>
      </c>
      <c r="AQ23" s="29">
        <f>Sheet1!BJ25</f>
        <v>0.86</v>
      </c>
      <c r="AR23" s="29">
        <f>Sheet1!BK25</f>
        <v>0.85</v>
      </c>
      <c r="AS23" s="29">
        <f>Sheet1!BL25</f>
        <v>0.85</v>
      </c>
      <c r="AT23" s="29">
        <f>Sheet1!BM25</f>
        <v>0.85</v>
      </c>
      <c r="AU23" s="29">
        <f>Sheet1!BN25</f>
        <v>0.85</v>
      </c>
      <c r="AV23" s="29">
        <f>Sheet1!BO25</f>
        <v>0.84</v>
      </c>
      <c r="AW23" s="29">
        <f>Sheet1!BP25</f>
        <v>0.83</v>
      </c>
      <c r="AX23" s="29">
        <f>Sheet1!BQ25</f>
        <v>0.82</v>
      </c>
      <c r="AY23" s="29">
        <f>Sheet1!BR25</f>
        <v>0.8</v>
      </c>
      <c r="AZ23" s="29">
        <f>Sheet1!BS25</f>
        <v>0.8</v>
      </c>
      <c r="BA23" s="29">
        <f>Sheet1!BT25</f>
        <v>0.8</v>
      </c>
      <c r="BB23" s="29">
        <f>Sheet1!BU25</f>
        <v>0.8</v>
      </c>
      <c r="BC23" s="29">
        <f>Sheet1!BV25</f>
        <v>0.78</v>
      </c>
      <c r="BD23" s="29">
        <f>Sheet1!BW25</f>
        <v>0.78</v>
      </c>
      <c r="BE23" s="29">
        <f>Sheet1!BX25</f>
        <v>0.75</v>
      </c>
      <c r="BF23" s="29">
        <f>Sheet1!BY25</f>
        <v>0.74</v>
      </c>
      <c r="BG23" s="29">
        <f>Sheet1!BZ25</f>
        <v>0.74</v>
      </c>
      <c r="BH23" s="29">
        <f>Sheet1!CA25</f>
        <v>0.74</v>
      </c>
      <c r="BI23" s="29">
        <f>Sheet1!CB25</f>
        <v>0.74</v>
      </c>
      <c r="BJ23" s="29">
        <f>Sheet1!CC25</f>
        <v>0.74</v>
      </c>
      <c r="BK23" s="29">
        <f>Sheet1!CD25</f>
        <v>0.74</v>
      </c>
      <c r="BL23" s="29">
        <f>Sheet1!CE25</f>
        <v>0.74</v>
      </c>
      <c r="BM23" s="29">
        <f>Sheet1!CF25</f>
        <v>0.74</v>
      </c>
      <c r="BN23" s="29">
        <f>Sheet1!CG25</f>
        <v>0.74</v>
      </c>
      <c r="BO23" s="29">
        <f>Sheet1!CH25</f>
        <v>0.74</v>
      </c>
      <c r="BP23" s="29">
        <f>Sheet1!CI25</f>
        <v>0.74</v>
      </c>
      <c r="BQ23" s="29">
        <f>Sheet1!CJ25</f>
        <v>0.72</v>
      </c>
      <c r="BR23" s="29">
        <f>Sheet1!CK25</f>
        <v>0.68</v>
      </c>
      <c r="BS23" s="29">
        <f>Sheet1!CL25</f>
        <v>0.68</v>
      </c>
      <c r="BT23" s="29">
        <f>Sheet1!CM25</f>
        <v>0.68</v>
      </c>
      <c r="BU23" s="29">
        <f>Sheet1!CN25</f>
        <v>0.68</v>
      </c>
      <c r="BV23" s="29">
        <f>Sheet1!CO25</f>
        <v>0.68</v>
      </c>
      <c r="BW23" s="29">
        <f>Sheet1!CP25</f>
        <v>0.68</v>
      </c>
      <c r="BX23" s="29">
        <f>Sheet1!CQ25</f>
        <v>0.68</v>
      </c>
      <c r="BY23" s="29">
        <f>Sheet1!CR25</f>
        <v>0.67</v>
      </c>
      <c r="BZ23" s="29">
        <f>Sheet1!CS25</f>
        <v>0.67</v>
      </c>
      <c r="CA23" s="29">
        <f>Sheet1!CT25</f>
        <v>0.67</v>
      </c>
      <c r="CB23" s="29">
        <f>Sheet1!CU25</f>
        <v>0.67</v>
      </c>
      <c r="CC23" s="29">
        <f>Sheet1!CV25</f>
        <v>0.67</v>
      </c>
      <c r="CD23" s="29">
        <f>Sheet1!CW25</f>
        <v>0.67</v>
      </c>
      <c r="CE23" s="29">
        <f>Sheet1!CX25</f>
        <v>0.65</v>
      </c>
      <c r="CF23" s="29">
        <f>Sheet1!CY25</f>
        <v>0.65</v>
      </c>
      <c r="CG23" s="29">
        <f>Sheet1!CZ25</f>
        <v>0.65</v>
      </c>
      <c r="CH23" s="29">
        <f>Sheet1!DA25</f>
        <v>0.65</v>
      </c>
      <c r="CI23" s="29">
        <f>Sheet1!DB25</f>
        <v>0.65</v>
      </c>
      <c r="CJ23" s="29">
        <f>Sheet1!DC25</f>
        <v>0.65</v>
      </c>
      <c r="CK23" s="29">
        <f>Sheet1!DD25</f>
        <v>0.65</v>
      </c>
      <c r="CL23" s="29">
        <f>Sheet1!DE25</f>
        <v>0.65</v>
      </c>
      <c r="CM23" s="29">
        <f>Sheet1!DF25</f>
        <v>0.65</v>
      </c>
      <c r="CN23" s="29">
        <f>Sheet1!DG25</f>
        <v>0.65</v>
      </c>
      <c r="CO23" s="29">
        <f>Sheet1!DH25</f>
        <v>0.65</v>
      </c>
      <c r="CP23" s="29">
        <f>Sheet1!DI25</f>
        <v>0.65</v>
      </c>
      <c r="CQ23" s="29">
        <f>Sheet1!DJ25</f>
        <v>0.65</v>
      </c>
      <c r="CR23" s="29">
        <f>Sheet1!DK25</f>
        <v>0.65</v>
      </c>
      <c r="CS23" s="29">
        <f>Sheet1!DL25</f>
        <v>0.65</v>
      </c>
      <c r="CT23" s="29">
        <f>Sheet1!DM25</f>
        <v>0.65</v>
      </c>
      <c r="CU23" s="29">
        <f>Sheet1!DN25</f>
        <v>0.65</v>
      </c>
      <c r="CV23" s="29">
        <f>Sheet1!DO25</f>
        <v>0.65</v>
      </c>
      <c r="CW23" s="29">
        <f>Sheet1!DP25</f>
        <v>0.65</v>
      </c>
      <c r="CX23" s="29">
        <f>Sheet1!DQ25</f>
        <v>0.65</v>
      </c>
      <c r="CY23" s="29">
        <f>Sheet1!DR25</f>
        <v>0.65</v>
      </c>
      <c r="CZ23" s="29">
        <f>Sheet1!DS25</f>
        <v>0.65</v>
      </c>
      <c r="DA23" s="29">
        <f>Sheet1!DT25</f>
        <v>0.65</v>
      </c>
      <c r="DB23" s="29">
        <f>Sheet1!DU25</f>
        <v>0.65</v>
      </c>
      <c r="DC23" s="29">
        <f>Sheet1!DV25</f>
        <v>0.65</v>
      </c>
      <c r="DD23" s="29">
        <f>Sheet1!DW25</f>
        <v>0.65</v>
      </c>
      <c r="DE23" s="29">
        <f>Sheet1!DX25</f>
        <v>0.65</v>
      </c>
      <c r="DF23" s="29">
        <f>Sheet1!DY25</f>
        <v>0.65</v>
      </c>
      <c r="DG23" s="29">
        <f>Sheet1!DZ25</f>
        <v>0.65</v>
      </c>
      <c r="DH23" s="29">
        <f>Sheet1!EA25</f>
        <v>0.65</v>
      </c>
      <c r="DI23" s="29">
        <f>Sheet1!EB25</f>
        <v>0.65</v>
      </c>
      <c r="DJ23" s="29">
        <f>Sheet1!EC25</f>
        <v>0.65</v>
      </c>
      <c r="DK23" s="29">
        <f>Sheet1!ED25</f>
        <v>0.65</v>
      </c>
      <c r="DL23" s="29">
        <f>Sheet1!EE25</f>
        <v>0.65</v>
      </c>
      <c r="DM23" s="29">
        <f>Sheet1!EF25</f>
        <v>0.65</v>
      </c>
      <c r="DN23" s="29">
        <f>Sheet1!EG25</f>
        <v>0.65</v>
      </c>
      <c r="DO23" s="29">
        <f>Sheet1!EH25</f>
        <v>0.65</v>
      </c>
      <c r="DP23" s="29"/>
      <c r="DQ23" s="23"/>
      <c r="DR23" s="23"/>
      <c r="DS23" s="23"/>
      <c r="DT23" s="23"/>
      <c r="DU23" s="23"/>
      <c r="DV23" s="23"/>
      <c r="DW23" s="23"/>
      <c r="DX23" s="23"/>
      <c r="DY23" s="23"/>
      <c r="DZ23" s="23"/>
      <c r="EA23" s="23"/>
      <c r="EB23" s="23"/>
      <c r="EC23" s="23"/>
      <c r="ED23" s="23"/>
      <c r="EE23" s="23"/>
      <c r="EF23" s="23"/>
      <c r="EG23" s="23"/>
      <c r="EH23" s="23"/>
      <c r="EI23" s="23"/>
      <c r="EJ23" s="23"/>
      <c r="EK23" s="23"/>
      <c r="EL23" s="23"/>
      <c r="EM23" s="23"/>
      <c r="EN23" s="23"/>
      <c r="EO23" s="23"/>
      <c r="EP23" s="23"/>
      <c r="EQ23" s="23"/>
      <c r="ER23" s="23"/>
      <c r="ES23" s="23"/>
      <c r="ET23" s="23"/>
      <c r="EU23" s="23"/>
      <c r="EV23" s="23"/>
      <c r="EW23" s="23"/>
      <c r="EX23" s="23"/>
      <c r="EY23" s="23"/>
      <c r="EZ23" s="23"/>
      <c r="FA23" s="23"/>
      <c r="FB23" s="23"/>
      <c r="FC23" s="23"/>
      <c r="FD23" s="23"/>
      <c r="FE23" s="23"/>
      <c r="FF23" s="23"/>
      <c r="FG23" s="23"/>
      <c r="FH23" s="23"/>
      <c r="FI23" s="23"/>
      <c r="FJ23" s="23"/>
      <c r="FK23" s="23"/>
      <c r="FL23" s="23" t="s">
        <v>204</v>
      </c>
      <c r="FM23" s="23" t="s">
        <v>204</v>
      </c>
      <c r="FN23" s="23" t="s">
        <v>204</v>
      </c>
      <c r="FO23" s="23" t="s">
        <v>204</v>
      </c>
      <c r="FP23" s="23" t="s">
        <v>204</v>
      </c>
    </row>
    <row r="24" spans="1:172">
      <c r="A24" s="4"/>
      <c r="B24" s="27" t="s">
        <v>218</v>
      </c>
      <c r="C24" s="28" t="e">
        <f>Sheet1!#REF!</f>
        <v>#REF!</v>
      </c>
      <c r="D24" s="28" t="e">
        <f>Sheet1!#REF!</f>
        <v>#REF!</v>
      </c>
      <c r="E24" s="36">
        <v>1.4</v>
      </c>
      <c r="F24" s="36">
        <v>1.395</v>
      </c>
      <c r="G24" s="36">
        <v>1.39</v>
      </c>
      <c r="H24" s="36">
        <v>1.355</v>
      </c>
      <c r="I24" s="36">
        <v>1.33</v>
      </c>
      <c r="J24" s="36">
        <v>1.33</v>
      </c>
      <c r="K24" s="36">
        <v>1.28</v>
      </c>
      <c r="L24" s="36">
        <v>1.28</v>
      </c>
      <c r="M24" s="36">
        <v>1.28</v>
      </c>
      <c r="N24" s="36">
        <v>1.28</v>
      </c>
      <c r="O24" s="36">
        <v>1.28</v>
      </c>
      <c r="P24" s="36">
        <v>1.28</v>
      </c>
      <c r="Q24" s="36">
        <v>1.2649999999999999</v>
      </c>
      <c r="R24" s="36">
        <v>1.24</v>
      </c>
      <c r="S24" s="36">
        <v>1.18</v>
      </c>
      <c r="T24" s="36">
        <v>1.18</v>
      </c>
      <c r="U24" s="36">
        <v>1.1499999999999999</v>
      </c>
      <c r="V24" s="36">
        <v>1.1200000000000001</v>
      </c>
      <c r="W24" s="36">
        <v>1.1000000000000001</v>
      </c>
      <c r="X24" s="36">
        <v>1.05</v>
      </c>
      <c r="Y24" s="36">
        <v>1.04</v>
      </c>
      <c r="Z24" s="36">
        <v>1.04</v>
      </c>
      <c r="AA24" s="19">
        <v>1.03</v>
      </c>
      <c r="AB24" s="19">
        <v>1.03</v>
      </c>
      <c r="AC24" s="19">
        <v>0.95</v>
      </c>
      <c r="AD24" s="19">
        <v>0.94</v>
      </c>
      <c r="AE24" s="19">
        <v>0.92</v>
      </c>
      <c r="AF24" s="29">
        <f>Sheet1!AY26</f>
        <v>0.91</v>
      </c>
      <c r="AG24" s="29">
        <f>Sheet1!AZ26</f>
        <v>0.91</v>
      </c>
      <c r="AH24" s="29">
        <f>Sheet1!BA26</f>
        <v>0.91</v>
      </c>
      <c r="AI24" s="29">
        <f>Sheet1!BB26</f>
        <v>0.89</v>
      </c>
      <c r="AJ24" s="29">
        <f>Sheet1!BC26</f>
        <v>0.89</v>
      </c>
      <c r="AK24" s="29">
        <f>Sheet1!BD26</f>
        <v>0.89</v>
      </c>
      <c r="AL24" s="29">
        <f>Sheet1!BE26</f>
        <v>0.89</v>
      </c>
      <c r="AM24" s="29">
        <f>Sheet1!BF26</f>
        <v>0.89</v>
      </c>
      <c r="AN24" s="29">
        <f>Sheet1!BG26</f>
        <v>0.89</v>
      </c>
      <c r="AO24" s="29">
        <f>Sheet1!BH26</f>
        <v>0.89</v>
      </c>
      <c r="AP24" s="29">
        <f>Sheet1!BI26</f>
        <v>0.89</v>
      </c>
      <c r="AQ24" s="29">
        <f>Sheet1!BJ26</f>
        <v>0.89</v>
      </c>
      <c r="AR24" s="29">
        <f>Sheet1!BK26</f>
        <v>0.88</v>
      </c>
      <c r="AS24" s="29">
        <f>Sheet1!BL26</f>
        <v>0.88</v>
      </c>
      <c r="AT24" s="29">
        <f>Sheet1!BM26</f>
        <v>0.88</v>
      </c>
      <c r="AU24" s="29">
        <f>Sheet1!BN26</f>
        <v>0.88</v>
      </c>
      <c r="AV24" s="29">
        <f>Sheet1!BO26</f>
        <v>0.87</v>
      </c>
      <c r="AW24" s="29">
        <f>Sheet1!BP26</f>
        <v>0.86</v>
      </c>
      <c r="AX24" s="29">
        <f>Sheet1!BQ26</f>
        <v>0.85</v>
      </c>
      <c r="AY24" s="29">
        <f>Sheet1!BR26</f>
        <v>0.82</v>
      </c>
      <c r="AZ24" s="29">
        <f>Sheet1!BS26</f>
        <v>0.82</v>
      </c>
      <c r="BA24" s="29">
        <f>Sheet1!BT26</f>
        <v>0.82</v>
      </c>
      <c r="BB24" s="29">
        <f>Sheet1!BU26</f>
        <v>0.82</v>
      </c>
      <c r="BC24" s="29">
        <f>Sheet1!BV26</f>
        <v>0.8</v>
      </c>
      <c r="BD24" s="29">
        <f>Sheet1!BW26</f>
        <v>0.8</v>
      </c>
      <c r="BE24" s="29">
        <f>Sheet1!BX26</f>
        <v>0.8</v>
      </c>
      <c r="BF24" s="29">
        <f>Sheet1!BY26</f>
        <v>0.78</v>
      </c>
      <c r="BG24" s="29">
        <f>Sheet1!BZ26</f>
        <v>0.78</v>
      </c>
      <c r="BH24" s="29">
        <f>Sheet1!CA26</f>
        <v>0.78</v>
      </c>
      <c r="BI24" s="29">
        <f>Sheet1!CB26</f>
        <v>0.78</v>
      </c>
      <c r="BJ24" s="29">
        <f>Sheet1!CC26</f>
        <v>0.78</v>
      </c>
      <c r="BK24" s="29">
        <f>Sheet1!CD26</f>
        <v>0.78</v>
      </c>
      <c r="BL24" s="29">
        <f>Sheet1!CE26</f>
        <v>0.78</v>
      </c>
      <c r="BM24" s="29">
        <f>Sheet1!CF26</f>
        <v>0.78</v>
      </c>
      <c r="BN24" s="29">
        <f>Sheet1!CG26</f>
        <v>0.78</v>
      </c>
      <c r="BO24" s="29">
        <f>Sheet1!CH26</f>
        <v>0.76</v>
      </c>
      <c r="BP24" s="29">
        <f>Sheet1!CI26</f>
        <v>0.76</v>
      </c>
      <c r="BQ24" s="29">
        <f>Sheet1!CJ26</f>
        <v>0.74</v>
      </c>
      <c r="BR24" s="29">
        <f>Sheet1!CK26</f>
        <v>0.71</v>
      </c>
      <c r="BS24" s="29">
        <f>Sheet1!CL26</f>
        <v>0.71</v>
      </c>
      <c r="BT24" s="29">
        <f>Sheet1!CM26</f>
        <v>0.71</v>
      </c>
      <c r="BU24" s="29">
        <f>Sheet1!CN26</f>
        <v>0.69</v>
      </c>
      <c r="BV24" s="29">
        <f>Sheet1!CO26</f>
        <v>0.68</v>
      </c>
      <c r="BW24" s="29">
        <f>Sheet1!CP26</f>
        <v>0.68</v>
      </c>
      <c r="BX24" s="29">
        <f>Sheet1!CQ26</f>
        <v>0.68</v>
      </c>
      <c r="BY24" s="29">
        <f>Sheet1!CR26</f>
        <v>0.67</v>
      </c>
      <c r="BZ24" s="29">
        <f>Sheet1!CS26</f>
        <v>0.67</v>
      </c>
      <c r="CA24" s="29">
        <f>Sheet1!CT26</f>
        <v>0.67</v>
      </c>
      <c r="CB24" s="29">
        <f>Sheet1!CU26</f>
        <v>0.67</v>
      </c>
      <c r="CC24" s="29">
        <f>Sheet1!CV26</f>
        <v>0.67</v>
      </c>
      <c r="CD24" s="29">
        <f>Sheet1!CW26</f>
        <v>0.67</v>
      </c>
      <c r="CE24" s="29">
        <f>Sheet1!CX26</f>
        <v>0.66500000000000004</v>
      </c>
      <c r="CF24" s="29">
        <f>Sheet1!CY26</f>
        <v>0.66500000000000004</v>
      </c>
      <c r="CG24" s="29">
        <f>Sheet1!CZ26</f>
        <v>0.66500000000000004</v>
      </c>
      <c r="CH24" s="29">
        <f>Sheet1!DA26</f>
        <v>0.66500000000000004</v>
      </c>
      <c r="CI24" s="29">
        <f>Sheet1!DB26</f>
        <v>0.66500000000000004</v>
      </c>
      <c r="CJ24" s="29">
        <f>Sheet1!DC26</f>
        <v>0.66500000000000004</v>
      </c>
      <c r="CK24" s="29">
        <f>Sheet1!DD26</f>
        <v>0.66500000000000004</v>
      </c>
      <c r="CL24" s="29">
        <f>Sheet1!DE26</f>
        <v>0.66500000000000004</v>
      </c>
      <c r="CM24" s="29">
        <f>Sheet1!DF26</f>
        <v>0.66500000000000004</v>
      </c>
      <c r="CN24" s="29">
        <f>Sheet1!DG26</f>
        <v>0.66500000000000004</v>
      </c>
      <c r="CO24" s="29">
        <f>Sheet1!DH26</f>
        <v>0.66500000000000004</v>
      </c>
      <c r="CP24" s="29">
        <f>Sheet1!DI26</f>
        <v>0.66500000000000004</v>
      </c>
      <c r="CQ24" s="29">
        <f>Sheet1!DJ26</f>
        <v>0.66500000000000004</v>
      </c>
      <c r="CR24" s="29">
        <f>Sheet1!DK26</f>
        <v>0.66500000000000004</v>
      </c>
      <c r="CS24" s="29">
        <f>Sheet1!DL26</f>
        <v>0.66500000000000004</v>
      </c>
      <c r="CT24" s="29">
        <f>Sheet1!DM26</f>
        <v>0.66500000000000004</v>
      </c>
      <c r="CU24" s="29">
        <f>Sheet1!DN26</f>
        <v>0.66500000000000004</v>
      </c>
      <c r="CV24" s="29">
        <f>Sheet1!DO26</f>
        <v>0.66500000000000004</v>
      </c>
      <c r="CW24" s="29">
        <f>Sheet1!DP26</f>
        <v>0.66500000000000004</v>
      </c>
      <c r="CX24" s="29">
        <f>Sheet1!DQ26</f>
        <v>0.66500000000000004</v>
      </c>
      <c r="CY24" s="29">
        <f>Sheet1!DR26</f>
        <v>0.66500000000000004</v>
      </c>
      <c r="CZ24" s="29">
        <f>Sheet1!DS26</f>
        <v>0.66500000000000004</v>
      </c>
      <c r="DA24" s="29">
        <f>Sheet1!DT26</f>
        <v>0.66500000000000004</v>
      </c>
      <c r="DB24" s="29">
        <f>Sheet1!DU26</f>
        <v>0.66500000000000004</v>
      </c>
      <c r="DC24" s="29">
        <f>Sheet1!DV26</f>
        <v>0.66500000000000004</v>
      </c>
      <c r="DD24" s="29">
        <f>Sheet1!DW26</f>
        <v>0.66500000000000004</v>
      </c>
      <c r="DE24" s="29">
        <f>Sheet1!DX26</f>
        <v>0.66500000000000004</v>
      </c>
      <c r="DF24" s="29">
        <f>Sheet1!DY26</f>
        <v>0.66500000000000004</v>
      </c>
      <c r="DG24" s="29">
        <f>Sheet1!DZ26</f>
        <v>0.66500000000000004</v>
      </c>
      <c r="DH24" s="29">
        <f>Sheet1!EA26</f>
        <v>0.66500000000000004</v>
      </c>
      <c r="DI24" s="29">
        <f>Sheet1!EB26</f>
        <v>0.66500000000000004</v>
      </c>
      <c r="DJ24" s="29">
        <f>Sheet1!EC26</f>
        <v>0.66500000000000004</v>
      </c>
      <c r="DK24" s="29">
        <f>Sheet1!ED26</f>
        <v>0.66500000000000004</v>
      </c>
      <c r="DL24" s="29">
        <f>Sheet1!EE26</f>
        <v>0.66500000000000004</v>
      </c>
      <c r="DM24" s="29">
        <f>Sheet1!EF26</f>
        <v>0.66500000000000004</v>
      </c>
      <c r="DN24" s="29">
        <f>Sheet1!EG26</f>
        <v>0.66500000000000004</v>
      </c>
      <c r="DO24" s="29">
        <f>Sheet1!EH26</f>
        <v>0.66500000000000004</v>
      </c>
      <c r="DP24" s="29"/>
      <c r="DQ24" s="23"/>
      <c r="DR24" s="23"/>
      <c r="DS24" s="23"/>
      <c r="DT24" s="23"/>
      <c r="DU24" s="23"/>
      <c r="DV24" s="23"/>
      <c r="DW24" s="23"/>
      <c r="DX24" s="23"/>
      <c r="DY24" s="23"/>
      <c r="DZ24" s="23"/>
      <c r="EA24" s="23"/>
      <c r="EB24" s="23"/>
      <c r="EC24" s="23"/>
      <c r="ED24" s="23"/>
      <c r="EE24" s="23"/>
      <c r="EF24" s="23"/>
      <c r="EG24" s="23"/>
      <c r="EH24" s="23"/>
      <c r="EI24" s="23"/>
      <c r="EJ24" s="23"/>
      <c r="EK24" s="23"/>
      <c r="EL24" s="23"/>
      <c r="EM24" s="23"/>
      <c r="EN24" s="23"/>
      <c r="EO24" s="23"/>
      <c r="EP24" s="23"/>
      <c r="EQ24" s="23"/>
      <c r="ER24" s="23"/>
      <c r="ES24" s="23"/>
      <c r="ET24" s="23"/>
      <c r="EU24" s="23"/>
      <c r="EV24" s="23"/>
      <c r="EW24" s="23"/>
      <c r="EX24" s="23"/>
      <c r="EY24" s="23"/>
      <c r="EZ24" s="23"/>
      <c r="FA24" s="23"/>
      <c r="FB24" s="23"/>
      <c r="FC24" s="23"/>
      <c r="FD24" s="23"/>
      <c r="FE24" s="23"/>
      <c r="FF24" s="23"/>
      <c r="FG24" s="23"/>
      <c r="FH24" s="23"/>
      <c r="FI24" s="23"/>
      <c r="FJ24" s="23"/>
      <c r="FK24" s="23"/>
      <c r="FL24" s="23" t="s">
        <v>204</v>
      </c>
      <c r="FM24" s="23" t="s">
        <v>204</v>
      </c>
      <c r="FN24" s="23" t="s">
        <v>204</v>
      </c>
      <c r="FO24" s="23" t="s">
        <v>204</v>
      </c>
      <c r="FP24" s="23" t="s">
        <v>204</v>
      </c>
    </row>
    <row r="25" spans="1:172">
      <c r="A25" s="4"/>
      <c r="B25" s="27" t="s">
        <v>219</v>
      </c>
      <c r="C25" s="28" t="e">
        <f>Sheet1!#REF!</f>
        <v>#REF!</v>
      </c>
      <c r="D25" s="28" t="e">
        <f>Sheet1!#REF!</f>
        <v>#REF!</v>
      </c>
      <c r="E25" s="15">
        <v>1.42</v>
      </c>
      <c r="F25" s="15">
        <v>1.415</v>
      </c>
      <c r="G25" s="15">
        <v>1.41</v>
      </c>
      <c r="H25" s="15">
        <v>1.36</v>
      </c>
      <c r="I25" s="15">
        <v>1.33</v>
      </c>
      <c r="J25" s="15">
        <v>1.33</v>
      </c>
      <c r="K25" s="15">
        <v>1.28</v>
      </c>
      <c r="L25" s="15">
        <v>1.28</v>
      </c>
      <c r="M25" s="15">
        <v>1.28</v>
      </c>
      <c r="N25" s="15">
        <v>1.28</v>
      </c>
      <c r="O25" s="15">
        <v>1.28</v>
      </c>
      <c r="P25" s="15">
        <v>1.28</v>
      </c>
      <c r="Q25" s="15">
        <v>1.2649999999999999</v>
      </c>
      <c r="R25" s="15">
        <v>1.24</v>
      </c>
      <c r="S25" s="15">
        <v>1.18</v>
      </c>
      <c r="T25" s="15">
        <v>1.18</v>
      </c>
      <c r="U25" s="15">
        <v>1.1499999999999999</v>
      </c>
      <c r="V25" s="15">
        <v>1.1399999999999999</v>
      </c>
      <c r="W25" s="15">
        <v>1.1200000000000001</v>
      </c>
      <c r="X25" s="15">
        <v>1.05</v>
      </c>
      <c r="Y25" s="15">
        <v>1.04</v>
      </c>
      <c r="Z25" s="15">
        <v>1.1299999999999999</v>
      </c>
      <c r="AA25" s="19">
        <v>1.1299999999999999</v>
      </c>
      <c r="AB25" s="19">
        <v>1.1299999999999999</v>
      </c>
      <c r="AC25" s="19">
        <v>0.98</v>
      </c>
      <c r="AD25" s="19">
        <v>0.96</v>
      </c>
      <c r="AE25" s="19">
        <v>0.94</v>
      </c>
      <c r="AF25" s="29">
        <f>Sheet1!AY27</f>
        <v>0.93</v>
      </c>
      <c r="AG25" s="29">
        <f>Sheet1!AZ27</f>
        <v>0.93</v>
      </c>
      <c r="AH25" s="29">
        <f>Sheet1!BA27</f>
        <v>0.93</v>
      </c>
      <c r="AI25" s="29">
        <f>Sheet1!BB27</f>
        <v>0.92</v>
      </c>
      <c r="AJ25" s="29">
        <f>Sheet1!BC27</f>
        <v>0.92</v>
      </c>
      <c r="AK25" s="29">
        <f>Sheet1!BD27</f>
        <v>0.92</v>
      </c>
      <c r="AL25" s="29">
        <f>Sheet1!BE27</f>
        <v>0.92</v>
      </c>
      <c r="AM25" s="29">
        <f>Sheet1!BF27</f>
        <v>0.92</v>
      </c>
      <c r="AN25" s="29">
        <f>Sheet1!BG27</f>
        <v>0.92</v>
      </c>
      <c r="AO25" s="29">
        <f>Sheet1!BH27</f>
        <v>0.92</v>
      </c>
      <c r="AP25" s="29">
        <f>Sheet1!BI27</f>
        <v>0.92</v>
      </c>
      <c r="AQ25" s="29">
        <f>Sheet1!BJ27</f>
        <v>0.92</v>
      </c>
      <c r="AR25" s="29">
        <f>Sheet1!BK27</f>
        <v>0.9</v>
      </c>
      <c r="AS25" s="29">
        <f>Sheet1!BL27</f>
        <v>0.9</v>
      </c>
      <c r="AT25" s="29">
        <f>Sheet1!BM27</f>
        <v>0.9</v>
      </c>
      <c r="AU25" s="29">
        <f>Sheet1!BN27</f>
        <v>0.9</v>
      </c>
      <c r="AV25" s="29">
        <f>Sheet1!BO27</f>
        <v>0.88</v>
      </c>
      <c r="AW25" s="29">
        <f>Sheet1!BP27</f>
        <v>0.87</v>
      </c>
      <c r="AX25" s="29">
        <f>Sheet1!BQ27</f>
        <v>0.86</v>
      </c>
      <c r="AY25" s="29">
        <f>Sheet1!BR27</f>
        <v>0.83</v>
      </c>
      <c r="AZ25" s="29">
        <f>Sheet1!BS27</f>
        <v>0.83</v>
      </c>
      <c r="BA25" s="29">
        <f>Sheet1!BT27</f>
        <v>0.83</v>
      </c>
      <c r="BB25" s="29">
        <f>Sheet1!BU27</f>
        <v>0.83</v>
      </c>
      <c r="BC25" s="29">
        <f>Sheet1!BV27</f>
        <v>0.82</v>
      </c>
      <c r="BD25" s="29">
        <f>Sheet1!BW27</f>
        <v>0.82</v>
      </c>
      <c r="BE25" s="29">
        <f>Sheet1!BX27</f>
        <v>0.82</v>
      </c>
      <c r="BF25" s="29">
        <f>Sheet1!BY27</f>
        <v>0.8</v>
      </c>
      <c r="BG25" s="29">
        <f>Sheet1!BZ27</f>
        <v>0.8</v>
      </c>
      <c r="BH25" s="29">
        <f>Sheet1!CA27</f>
        <v>0.8</v>
      </c>
      <c r="BI25" s="29">
        <f>Sheet1!CB27</f>
        <v>0.79</v>
      </c>
      <c r="BJ25" s="29">
        <f>Sheet1!CC27</f>
        <v>0.79</v>
      </c>
      <c r="BK25" s="29">
        <f>Sheet1!CD27</f>
        <v>0.79</v>
      </c>
      <c r="BL25" s="29">
        <f>Sheet1!CE27</f>
        <v>0.79</v>
      </c>
      <c r="BM25" s="29">
        <f>Sheet1!CF27</f>
        <v>0.79</v>
      </c>
      <c r="BN25" s="29">
        <f>Sheet1!CG27</f>
        <v>0.79</v>
      </c>
      <c r="BO25" s="29">
        <f>Sheet1!CH27</f>
        <v>0.78</v>
      </c>
      <c r="BP25" s="29">
        <f>Sheet1!CI27</f>
        <v>0.78</v>
      </c>
      <c r="BQ25" s="29">
        <f>Sheet1!CJ27</f>
        <v>0.75</v>
      </c>
      <c r="BR25" s="29">
        <f>Sheet1!CK27</f>
        <v>0.72</v>
      </c>
      <c r="BS25" s="29">
        <f>Sheet1!CL27</f>
        <v>0.72</v>
      </c>
      <c r="BT25" s="29">
        <f>Sheet1!CM27</f>
        <v>0.72</v>
      </c>
      <c r="BU25" s="29">
        <f>Sheet1!CN27</f>
        <v>0.7</v>
      </c>
      <c r="BV25" s="29">
        <f>Sheet1!CO27</f>
        <v>0.69</v>
      </c>
      <c r="BW25" s="29">
        <f>Sheet1!CP27</f>
        <v>0.69</v>
      </c>
      <c r="BX25" s="29">
        <f>Sheet1!CQ27</f>
        <v>0.69</v>
      </c>
      <c r="BY25" s="29">
        <f>Sheet1!CR27</f>
        <v>0.68</v>
      </c>
      <c r="BZ25" s="29">
        <f>Sheet1!CS27</f>
        <v>0.68</v>
      </c>
      <c r="CA25" s="29">
        <f>Sheet1!CT27</f>
        <v>0.68</v>
      </c>
      <c r="CB25" s="29">
        <f>Sheet1!CU27</f>
        <v>0.68</v>
      </c>
      <c r="CC25" s="29">
        <f>Sheet1!CV27</f>
        <v>0.68</v>
      </c>
      <c r="CD25" s="29">
        <f>Sheet1!CW27</f>
        <v>0.68</v>
      </c>
      <c r="CE25" s="29">
        <f>Sheet1!CX27</f>
        <v>0.67</v>
      </c>
      <c r="CF25" s="29">
        <f>Sheet1!CY27</f>
        <v>0.67</v>
      </c>
      <c r="CG25" s="29">
        <f>Sheet1!CZ27</f>
        <v>0.67</v>
      </c>
      <c r="CH25" s="29">
        <f>Sheet1!DA27</f>
        <v>0.67</v>
      </c>
      <c r="CI25" s="29">
        <f>Sheet1!DB27</f>
        <v>0.67</v>
      </c>
      <c r="CJ25" s="29">
        <f>Sheet1!DC27</f>
        <v>0.67</v>
      </c>
      <c r="CK25" s="29">
        <f>Sheet1!DD27</f>
        <v>0.67</v>
      </c>
      <c r="CL25" s="29">
        <f>Sheet1!DE27</f>
        <v>0.67</v>
      </c>
      <c r="CM25" s="29">
        <f>Sheet1!DF27</f>
        <v>0.67</v>
      </c>
      <c r="CN25" s="29">
        <f>Sheet1!DG27</f>
        <v>0.67</v>
      </c>
      <c r="CO25" s="29">
        <f>Sheet1!DH27</f>
        <v>0.67</v>
      </c>
      <c r="CP25" s="29">
        <f>Sheet1!DI27</f>
        <v>0.67</v>
      </c>
      <c r="CQ25" s="29">
        <f>Sheet1!DJ27</f>
        <v>0.67</v>
      </c>
      <c r="CR25" s="29">
        <f>Sheet1!DK27</f>
        <v>0.67</v>
      </c>
      <c r="CS25" s="29">
        <f>Sheet1!DL27</f>
        <v>0.67</v>
      </c>
      <c r="CT25" s="29">
        <f>Sheet1!DM27</f>
        <v>0.67</v>
      </c>
      <c r="CU25" s="29">
        <f>Sheet1!DN27</f>
        <v>0.67</v>
      </c>
      <c r="CV25" s="29">
        <f>Sheet1!DO27</f>
        <v>0.67</v>
      </c>
      <c r="CW25" s="29">
        <f>Sheet1!DP27</f>
        <v>0.67</v>
      </c>
      <c r="CX25" s="29">
        <f>Sheet1!DQ27</f>
        <v>0.67</v>
      </c>
      <c r="CY25" s="29">
        <f>Sheet1!DR27</f>
        <v>0.67</v>
      </c>
      <c r="CZ25" s="29">
        <f>Sheet1!DS27</f>
        <v>0.67</v>
      </c>
      <c r="DA25" s="29">
        <f>Sheet1!DT27</f>
        <v>0.67</v>
      </c>
      <c r="DB25" s="29">
        <f>Sheet1!DU27</f>
        <v>0.67</v>
      </c>
      <c r="DC25" s="29">
        <f>Sheet1!DV27</f>
        <v>0.67</v>
      </c>
      <c r="DD25" s="29">
        <f>Sheet1!DW27</f>
        <v>0.67</v>
      </c>
      <c r="DE25" s="29">
        <f>Sheet1!DX27</f>
        <v>0.67</v>
      </c>
      <c r="DF25" s="29">
        <f>Sheet1!DY27</f>
        <v>0.67</v>
      </c>
      <c r="DG25" s="29">
        <f>Sheet1!DZ27</f>
        <v>0.67</v>
      </c>
      <c r="DH25" s="29">
        <f>Sheet1!EA27</f>
        <v>0.67</v>
      </c>
      <c r="DI25" s="29">
        <f>Sheet1!EB27</f>
        <v>0.67</v>
      </c>
      <c r="DJ25" s="29">
        <f>Sheet1!EC27</f>
        <v>0.67</v>
      </c>
      <c r="DK25" s="29">
        <f>Sheet1!ED27</f>
        <v>0.67</v>
      </c>
      <c r="DL25" s="29">
        <f>Sheet1!EE27</f>
        <v>0.67</v>
      </c>
      <c r="DM25" s="29">
        <f>Sheet1!EF27</f>
        <v>0.67</v>
      </c>
      <c r="DN25" s="29">
        <f>Sheet1!EG27</f>
        <v>0.67</v>
      </c>
      <c r="DO25" s="29">
        <f>Sheet1!EH27</f>
        <v>0.67</v>
      </c>
      <c r="DP25" s="29"/>
      <c r="DQ25" s="23"/>
      <c r="DR25" s="23"/>
      <c r="DS25" s="23"/>
      <c r="DT25" s="23"/>
      <c r="DU25" s="23"/>
      <c r="DV25" s="23"/>
      <c r="DW25" s="23"/>
      <c r="DX25" s="23"/>
      <c r="DY25" s="23"/>
      <c r="DZ25" s="23"/>
      <c r="EA25" s="23"/>
      <c r="EB25" s="23"/>
      <c r="EC25" s="23"/>
      <c r="ED25" s="23"/>
      <c r="EE25" s="23"/>
      <c r="EF25" s="23"/>
      <c r="EG25" s="23"/>
      <c r="EH25" s="23"/>
      <c r="EI25" s="23"/>
      <c r="EJ25" s="23"/>
      <c r="EK25" s="23"/>
      <c r="EL25" s="23"/>
      <c r="EM25" s="23"/>
      <c r="EN25" s="23"/>
      <c r="EO25" s="23"/>
      <c r="EP25" s="23"/>
      <c r="EQ25" s="23"/>
      <c r="ER25" s="23"/>
      <c r="ES25" s="23"/>
      <c r="ET25" s="23"/>
      <c r="EU25" s="23"/>
      <c r="EV25" s="23"/>
      <c r="EW25" s="23"/>
      <c r="EX25" s="23"/>
      <c r="EY25" s="23"/>
      <c r="EZ25" s="23"/>
      <c r="FA25" s="23"/>
      <c r="FB25" s="23"/>
      <c r="FC25" s="23"/>
      <c r="FD25" s="23"/>
      <c r="FE25" s="23"/>
      <c r="FF25" s="23"/>
      <c r="FG25" s="23"/>
      <c r="FH25" s="23"/>
      <c r="FI25" s="23"/>
      <c r="FJ25" s="23"/>
      <c r="FK25" s="23"/>
      <c r="FL25" s="23" t="s">
        <v>204</v>
      </c>
      <c r="FM25" s="23" t="s">
        <v>204</v>
      </c>
      <c r="FN25" s="23" t="s">
        <v>204</v>
      </c>
      <c r="FO25" s="23" t="s">
        <v>204</v>
      </c>
      <c r="FP25" s="23" t="s">
        <v>204</v>
      </c>
    </row>
    <row r="26" spans="1:172">
      <c r="A26" s="4"/>
      <c r="B26" s="30" t="s">
        <v>221</v>
      </c>
      <c r="C26" s="31" t="e">
        <f>Sheet1!#REF!</f>
        <v>#REF!</v>
      </c>
      <c r="D26" s="31" t="e">
        <f>Sheet1!#REF!</f>
        <v>#REF!</v>
      </c>
      <c r="E26" s="15">
        <v>1.48</v>
      </c>
      <c r="F26" s="15">
        <v>1.4550000000000001</v>
      </c>
      <c r="G26" s="15">
        <v>1.4550000000000001</v>
      </c>
      <c r="H26" s="15">
        <v>1.397</v>
      </c>
      <c r="I26" s="15">
        <v>1.38</v>
      </c>
      <c r="J26" s="15">
        <v>1.38</v>
      </c>
      <c r="K26" s="15">
        <v>1.33</v>
      </c>
      <c r="L26" s="15">
        <v>1.33</v>
      </c>
      <c r="M26" s="15">
        <v>1.33</v>
      </c>
      <c r="N26" s="15">
        <v>1.33</v>
      </c>
      <c r="O26" s="15">
        <v>1.33</v>
      </c>
      <c r="P26" s="15">
        <v>1.33</v>
      </c>
      <c r="Q26" s="15">
        <v>1.33</v>
      </c>
      <c r="R26" s="15">
        <v>1.28</v>
      </c>
      <c r="S26" s="15">
        <v>1.24</v>
      </c>
      <c r="T26" s="15">
        <v>1.24</v>
      </c>
      <c r="U26" s="15">
        <v>1.18</v>
      </c>
      <c r="V26" s="15">
        <v>1.17</v>
      </c>
      <c r="W26" s="15">
        <v>1.1499999999999999</v>
      </c>
      <c r="X26" s="15">
        <v>1.1299999999999999</v>
      </c>
      <c r="Y26" s="15">
        <v>1.1000000000000001</v>
      </c>
      <c r="Z26" s="15">
        <v>1.1000000000000001</v>
      </c>
      <c r="AA26" s="19">
        <v>1.0900000000000001</v>
      </c>
      <c r="AB26" s="19">
        <v>1.0900000000000001</v>
      </c>
      <c r="AC26" s="19">
        <v>1.03</v>
      </c>
      <c r="AD26" s="19">
        <v>1.03</v>
      </c>
      <c r="AE26" s="19">
        <v>1.02</v>
      </c>
      <c r="AF26" s="29">
        <f>Sheet1!AY28</f>
        <v>1.02</v>
      </c>
      <c r="AG26" s="29">
        <f>Sheet1!AZ28</f>
        <v>1.02</v>
      </c>
      <c r="AH26" s="29">
        <f>Sheet1!BA28</f>
        <v>1.02</v>
      </c>
      <c r="AI26" s="29">
        <f>Sheet1!BB28</f>
        <v>1.02</v>
      </c>
      <c r="AJ26" s="29">
        <f>Sheet1!BC28</f>
        <v>0.96</v>
      </c>
      <c r="AK26" s="29">
        <f>Sheet1!BD28</f>
        <v>0.96</v>
      </c>
      <c r="AL26" s="29">
        <f>Sheet1!BE28</f>
        <v>0.96</v>
      </c>
      <c r="AM26" s="29">
        <f>Sheet1!BF28</f>
        <v>0.96</v>
      </c>
      <c r="AN26" s="29">
        <f>Sheet1!BG28</f>
        <v>0.96</v>
      </c>
      <c r="AO26" s="29">
        <f>Sheet1!BH28</f>
        <v>0.96</v>
      </c>
      <c r="AP26" s="29">
        <f>Sheet1!BI28</f>
        <v>0.96</v>
      </c>
      <c r="AQ26" s="29">
        <f>Sheet1!BJ28</f>
        <v>0.96</v>
      </c>
      <c r="AR26" s="29">
        <f>Sheet1!BK28</f>
        <v>0.96</v>
      </c>
      <c r="AS26" s="29">
        <f>Sheet1!BL28</f>
        <v>0.96</v>
      </c>
      <c r="AT26" s="29">
        <f>Sheet1!BM28</f>
        <v>0.96</v>
      </c>
      <c r="AU26" s="29">
        <f>Sheet1!BN28</f>
        <v>0.96</v>
      </c>
      <c r="AV26" s="29">
        <f>Sheet1!BO28</f>
        <v>0.94</v>
      </c>
      <c r="AW26" s="29">
        <f>Sheet1!BP28</f>
        <v>0.92</v>
      </c>
      <c r="AX26" s="29">
        <f>Sheet1!BQ28</f>
        <v>0.9</v>
      </c>
      <c r="AY26" s="29">
        <f>Sheet1!BR28</f>
        <v>0.88</v>
      </c>
      <c r="AZ26" s="29">
        <f>Sheet1!BS28</f>
        <v>0.86</v>
      </c>
      <c r="BA26" s="29">
        <f>Sheet1!BT28</f>
        <v>0.86</v>
      </c>
      <c r="BB26" s="29">
        <f>Sheet1!BU28</f>
        <v>0.86</v>
      </c>
      <c r="BC26" s="29">
        <f>Sheet1!BV28</f>
        <v>0.83</v>
      </c>
      <c r="BD26" s="29">
        <f>Sheet1!BW28</f>
        <v>0.81</v>
      </c>
      <c r="BE26" s="29">
        <f>Sheet1!BX28</f>
        <v>0.81</v>
      </c>
      <c r="BF26" s="29">
        <f>Sheet1!BY28</f>
        <v>0.81</v>
      </c>
      <c r="BG26" s="29">
        <f>Sheet1!BZ28</f>
        <v>0.8</v>
      </c>
      <c r="BH26" s="29">
        <f>Sheet1!CA28</f>
        <v>0.8</v>
      </c>
      <c r="BI26" s="29">
        <f>Sheet1!CB28</f>
        <v>0.8</v>
      </c>
      <c r="BJ26" s="29">
        <f>Sheet1!CC28</f>
        <v>0.8</v>
      </c>
      <c r="BK26" s="29">
        <f>Sheet1!CD28</f>
        <v>0.78</v>
      </c>
      <c r="BL26" s="29">
        <f>Sheet1!CE28</f>
        <v>0.77500000000000002</v>
      </c>
      <c r="BM26" s="29">
        <f>Sheet1!CF28</f>
        <v>0.77500000000000002</v>
      </c>
      <c r="BN26" s="29">
        <f>Sheet1!CG28</f>
        <v>0.75</v>
      </c>
      <c r="BO26" s="29">
        <f>Sheet1!CH28</f>
        <v>0.75</v>
      </c>
      <c r="BP26" s="29">
        <f>Sheet1!CI28</f>
        <v>0.75</v>
      </c>
      <c r="BQ26" s="29">
        <f>Sheet1!CJ28</f>
        <v>0.75</v>
      </c>
      <c r="BR26" s="29">
        <f>Sheet1!CK28</f>
        <v>0.74</v>
      </c>
      <c r="BS26" s="29">
        <f>Sheet1!CL28</f>
        <v>0.74</v>
      </c>
      <c r="BT26" s="29">
        <f>Sheet1!CM28</f>
        <v>0.72</v>
      </c>
      <c r="BU26" s="29">
        <f>Sheet1!CN28</f>
        <v>0.72</v>
      </c>
      <c r="BV26" s="29">
        <f>Sheet1!CO28</f>
        <v>0.72</v>
      </c>
      <c r="BW26" s="29">
        <f>Sheet1!CP28</f>
        <v>0.72</v>
      </c>
      <c r="BX26" s="29">
        <f>Sheet1!CQ28</f>
        <v>0.7</v>
      </c>
      <c r="BY26" s="29">
        <f>Sheet1!CR28</f>
        <v>0.7</v>
      </c>
      <c r="BZ26" s="29">
        <f>Sheet1!CS28</f>
        <v>0.7</v>
      </c>
      <c r="CA26" s="29">
        <f>Sheet1!CT28</f>
        <v>0.7</v>
      </c>
      <c r="CB26" s="29">
        <f>Sheet1!CU28</f>
        <v>0.7</v>
      </c>
      <c r="CC26" s="29">
        <f>Sheet1!CV28</f>
        <v>0.7</v>
      </c>
      <c r="CD26" s="29">
        <f>Sheet1!CW28</f>
        <v>0.7</v>
      </c>
      <c r="CE26" s="29">
        <f>Sheet1!CX28</f>
        <v>0.7</v>
      </c>
      <c r="CF26" s="29">
        <f>Sheet1!CY28</f>
        <v>0.7</v>
      </c>
      <c r="CG26" s="29">
        <f>Sheet1!CZ28</f>
        <v>0.7</v>
      </c>
      <c r="CH26" s="29">
        <f>Sheet1!DA28</f>
        <v>0.69</v>
      </c>
      <c r="CI26" s="29">
        <f>Sheet1!DB28</f>
        <v>0.69</v>
      </c>
      <c r="CJ26" s="29">
        <f>Sheet1!DC28</f>
        <v>0.69</v>
      </c>
      <c r="CK26" s="29">
        <f>Sheet1!DD28</f>
        <v>0.69</v>
      </c>
      <c r="CL26" s="29">
        <f>Sheet1!DE28</f>
        <v>0.69</v>
      </c>
      <c r="CM26" s="29">
        <f>Sheet1!DF28</f>
        <v>0.69</v>
      </c>
      <c r="CN26" s="29">
        <f>Sheet1!DG28</f>
        <v>0.71</v>
      </c>
      <c r="CO26" s="29">
        <f>Sheet1!DH28</f>
        <v>0.72</v>
      </c>
      <c r="CP26" s="29">
        <f>Sheet1!DI28</f>
        <v>0.75</v>
      </c>
      <c r="CQ26" s="29">
        <f>Sheet1!DJ28</f>
        <v>0.75</v>
      </c>
      <c r="CR26" s="29">
        <f>Sheet1!DK28</f>
        <v>0.75</v>
      </c>
      <c r="CS26" s="29">
        <f>Sheet1!DL28</f>
        <v>0.73</v>
      </c>
      <c r="CT26" s="29">
        <f>Sheet1!DM28</f>
        <v>0.73</v>
      </c>
      <c r="CU26" s="29">
        <f>Sheet1!DN28</f>
        <v>0.71499999999999997</v>
      </c>
      <c r="CV26" s="29">
        <f>Sheet1!DO28</f>
        <v>0.70499999999999996</v>
      </c>
      <c r="CW26" s="29">
        <f>Sheet1!DP28</f>
        <v>0.68500000000000005</v>
      </c>
      <c r="CX26" s="29">
        <f>Sheet1!DQ28</f>
        <v>0.68500000000000005</v>
      </c>
      <c r="CY26" s="29">
        <f>Sheet1!DR28</f>
        <v>0.68</v>
      </c>
      <c r="CZ26" s="29">
        <f>Sheet1!DS28</f>
        <v>0.68</v>
      </c>
      <c r="DA26" s="29">
        <f>Sheet1!DT28</f>
        <v>0.68</v>
      </c>
      <c r="DB26" s="29">
        <f>Sheet1!DU28</f>
        <v>0.68</v>
      </c>
      <c r="DC26" s="29">
        <f>Sheet1!DV28</f>
        <v>0.67</v>
      </c>
      <c r="DD26" s="29">
        <f>Sheet1!DW28</f>
        <v>0.67</v>
      </c>
      <c r="DE26" s="29">
        <f>Sheet1!DX28</f>
        <v>0.67</v>
      </c>
      <c r="DF26" s="29">
        <f>Sheet1!DY28</f>
        <v>0.67500000000000004</v>
      </c>
      <c r="DG26" s="29">
        <f>Sheet1!DZ28</f>
        <v>0.7</v>
      </c>
      <c r="DH26" s="29">
        <f>Sheet1!EA28</f>
        <v>0.7</v>
      </c>
      <c r="DI26" s="29">
        <f>Sheet1!EB28</f>
        <v>0.7</v>
      </c>
      <c r="DJ26" s="29">
        <f>Sheet1!EC28</f>
        <v>0.7</v>
      </c>
      <c r="DK26" s="29">
        <f>Sheet1!ED28</f>
        <v>0.7</v>
      </c>
      <c r="DL26" s="29">
        <f>Sheet1!EE28</f>
        <v>0.7</v>
      </c>
      <c r="DM26" s="29">
        <f>Sheet1!EF28</f>
        <v>0.7</v>
      </c>
      <c r="DN26" s="29">
        <f>Sheet1!EG28</f>
        <v>0.7</v>
      </c>
      <c r="DO26" s="29">
        <f>Sheet1!EH28</f>
        <v>0.7</v>
      </c>
      <c r="DP26" s="29">
        <f>Sheet1!EI28</f>
        <v>0.69</v>
      </c>
      <c r="DQ26" s="29">
        <f>Sheet1!EJ28</f>
        <v>0.69</v>
      </c>
      <c r="DR26" s="29">
        <f>Sheet1!EK28</f>
        <v>0.69</v>
      </c>
      <c r="DS26" s="29">
        <f>Sheet1!EL28</f>
        <v>0.69</v>
      </c>
      <c r="DT26" s="29">
        <f>Sheet1!EM28</f>
        <v>0.69</v>
      </c>
      <c r="DU26" s="29">
        <f>Sheet1!EN28</f>
        <v>0.69</v>
      </c>
      <c r="DV26" s="29">
        <f>Sheet1!EO28</f>
        <v>0.69</v>
      </c>
      <c r="DW26" s="29">
        <f>Sheet1!EP28</f>
        <v>0.69</v>
      </c>
      <c r="DX26" s="29">
        <f>Sheet1!EQ28</f>
        <v>0.69</v>
      </c>
      <c r="DY26" s="29">
        <f>Sheet1!ER28</f>
        <v>0.68</v>
      </c>
      <c r="DZ26" s="29">
        <f>Sheet1!ES28</f>
        <v>0.68</v>
      </c>
      <c r="EA26" s="29">
        <f>Sheet1!ET28</f>
        <v>0.68</v>
      </c>
      <c r="EB26" s="29">
        <f>Sheet1!EU28</f>
        <v>0.68</v>
      </c>
      <c r="EC26" s="29">
        <f>Sheet1!EV28</f>
        <v>0.68</v>
      </c>
      <c r="ED26" s="29">
        <f>Sheet1!EW28</f>
        <v>0.68500000000000005</v>
      </c>
      <c r="EE26" s="29">
        <f>Sheet1!EX28</f>
        <v>0.70799999999999996</v>
      </c>
      <c r="EF26" s="29">
        <f>Sheet1!EY28</f>
        <v>0.74</v>
      </c>
      <c r="EG26" s="29">
        <f>Sheet1!EZ28</f>
        <v>0.8</v>
      </c>
      <c r="EH26" s="29">
        <f>Sheet1!FA28</f>
        <v>0.8</v>
      </c>
      <c r="EI26" s="29">
        <f>Sheet1!FB28</f>
        <v>0.8</v>
      </c>
      <c r="EJ26" s="29">
        <f>Sheet1!FC28</f>
        <v>0.83</v>
      </c>
      <c r="EK26" s="29">
        <f>Sheet1!FD28</f>
        <v>0.83</v>
      </c>
      <c r="EL26" s="29">
        <f>Sheet1!FE28</f>
        <v>0.82</v>
      </c>
      <c r="EM26" s="29">
        <f>Sheet1!FF28</f>
        <v>0.81</v>
      </c>
      <c r="EN26" s="29">
        <f>Sheet1!FG28</f>
        <v>0.81</v>
      </c>
      <c r="EO26" s="29">
        <f>Sheet1!FH28</f>
        <v>0.78</v>
      </c>
      <c r="EP26" s="29">
        <f>Sheet1!FI28</f>
        <v>0.76</v>
      </c>
      <c r="EQ26" s="29">
        <f>Sheet1!FJ28</f>
        <v>0.76</v>
      </c>
      <c r="ER26" s="29">
        <f>Sheet1!FK28</f>
        <v>0.75800000000000001</v>
      </c>
      <c r="ES26" s="29">
        <f>Sheet1!FL28</f>
        <v>0.75800000000000001</v>
      </c>
      <c r="ET26" s="29">
        <f>Sheet1!FM28</f>
        <v>0.75800000000000001</v>
      </c>
      <c r="EU26" s="29">
        <f>Sheet1!FN28</f>
        <v>0.75800000000000001</v>
      </c>
      <c r="EV26" s="29">
        <f>Sheet1!FO28</f>
        <v>0.75</v>
      </c>
      <c r="EW26" s="29">
        <f>Sheet1!FP28</f>
        <v>0.75</v>
      </c>
      <c r="EX26" s="29">
        <f>Sheet1!FQ28</f>
        <v>0.75</v>
      </c>
      <c r="EY26" s="29">
        <f>Sheet1!FR28</f>
        <v>0.74</v>
      </c>
      <c r="EZ26" s="29">
        <f>Sheet1!FS28</f>
        <v>0.74</v>
      </c>
      <c r="FA26" s="29">
        <f>Sheet1!FT28</f>
        <v>0.72</v>
      </c>
      <c r="FB26" s="29">
        <f>Sheet1!FU28</f>
        <v>0.71</v>
      </c>
      <c r="FC26" s="29">
        <f>Sheet1!FV28</f>
        <v>0.7</v>
      </c>
      <c r="FD26" s="29">
        <f>Sheet1!FW28</f>
        <v>0.68</v>
      </c>
      <c r="FE26" s="29">
        <f>Sheet1!FX28</f>
        <v>0.66</v>
      </c>
      <c r="FF26" s="29">
        <f>Sheet1!FY28</f>
        <v>0.65500000000000003</v>
      </c>
      <c r="FG26" s="29">
        <f>Sheet1!FZ28</f>
        <v>0.64500000000000002</v>
      </c>
      <c r="FH26" s="29">
        <f>Sheet1!GA28</f>
        <v>0.64500000000000002</v>
      </c>
      <c r="FI26" s="29">
        <f>Sheet1!GB28</f>
        <v>0.65</v>
      </c>
      <c r="FJ26" s="29">
        <f>Sheet1!GC28</f>
        <v>0.66</v>
      </c>
      <c r="FK26" s="29"/>
      <c r="FL26" s="23" t="s">
        <v>204</v>
      </c>
      <c r="FM26" s="23" t="s">
        <v>204</v>
      </c>
      <c r="FN26" s="23" t="s">
        <v>204</v>
      </c>
      <c r="FO26" s="23" t="s">
        <v>204</v>
      </c>
      <c r="FP26" s="23" t="s">
        <v>204</v>
      </c>
    </row>
    <row r="27" spans="1:172" ht="16.5" thickBot="1">
      <c r="A27" s="4"/>
      <c r="B27" s="30" t="s">
        <v>222</v>
      </c>
      <c r="C27" s="21"/>
      <c r="D27" s="21"/>
      <c r="E27" s="15"/>
      <c r="F27" s="15"/>
      <c r="G27" s="15"/>
      <c r="H27" s="15"/>
      <c r="I27" s="15"/>
      <c r="J27" s="15"/>
      <c r="K27" s="15"/>
      <c r="L27" s="15"/>
      <c r="M27" s="15"/>
      <c r="N27" s="15"/>
      <c r="O27" s="15"/>
      <c r="P27" s="15"/>
      <c r="Q27" s="15"/>
      <c r="R27" s="15"/>
      <c r="S27" s="15"/>
      <c r="T27" s="15"/>
      <c r="U27" s="15"/>
      <c r="V27" s="15"/>
      <c r="W27" s="15"/>
      <c r="X27" s="15"/>
      <c r="Y27" s="15"/>
      <c r="Z27" s="15"/>
      <c r="AA27" s="19"/>
      <c r="AB27" s="19"/>
      <c r="AC27" s="19"/>
      <c r="AD27" s="19"/>
      <c r="AE27" s="19"/>
      <c r="AF27" s="29"/>
      <c r="AG27" s="29"/>
      <c r="AH27" s="29"/>
      <c r="AI27" s="29"/>
      <c r="AJ27" s="29">
        <f>Sheet1!BC29</f>
        <v>0.96</v>
      </c>
      <c r="AK27" s="29">
        <f>Sheet1!BD29</f>
        <v>0.96</v>
      </c>
      <c r="AL27" s="29">
        <f>Sheet1!BE29</f>
        <v>0.96</v>
      </c>
      <c r="AM27" s="29">
        <f>Sheet1!BF29</f>
        <v>0.96</v>
      </c>
      <c r="AN27" s="29">
        <f>Sheet1!BG29</f>
        <v>0.96</v>
      </c>
      <c r="AO27" s="29">
        <f>Sheet1!BH29</f>
        <v>0.96</v>
      </c>
      <c r="AP27" s="29">
        <f>Sheet1!BI29</f>
        <v>0.96</v>
      </c>
      <c r="AQ27" s="29">
        <f>Sheet1!BJ29</f>
        <v>0.96</v>
      </c>
      <c r="AR27" s="29">
        <f>Sheet1!BK29</f>
        <v>0.96</v>
      </c>
      <c r="AS27" s="29">
        <f>Sheet1!BL29</f>
        <v>0.96</v>
      </c>
      <c r="AT27" s="29">
        <f>Sheet1!BM29</f>
        <v>0.96</v>
      </c>
      <c r="AU27" s="29">
        <f>Sheet1!BN29</f>
        <v>0.96</v>
      </c>
      <c r="AV27" s="29">
        <f>Sheet1!BO29</f>
        <v>0.94</v>
      </c>
      <c r="AW27" s="29">
        <f>Sheet1!BP29</f>
        <v>0.93</v>
      </c>
      <c r="AX27" s="29">
        <f>Sheet1!BQ29</f>
        <v>0.91</v>
      </c>
      <c r="AY27" s="29">
        <f>Sheet1!BR29</f>
        <v>0.89</v>
      </c>
      <c r="AZ27" s="29">
        <f>Sheet1!BS29</f>
        <v>0.87</v>
      </c>
      <c r="BA27" s="29">
        <f>Sheet1!BT29</f>
        <v>0.87</v>
      </c>
      <c r="BB27" s="29">
        <f>Sheet1!BU29</f>
        <v>0.87</v>
      </c>
      <c r="BC27" s="29">
        <f>Sheet1!BV29</f>
        <v>0.84</v>
      </c>
      <c r="BD27" s="29">
        <f>Sheet1!BW29</f>
        <v>0.82</v>
      </c>
      <c r="BE27" s="29">
        <f>Sheet1!BX29</f>
        <v>0.82</v>
      </c>
      <c r="BF27" s="29">
        <f>Sheet1!BY29</f>
        <v>0.82</v>
      </c>
      <c r="BG27" s="29">
        <f>Sheet1!BZ29</f>
        <v>0.81</v>
      </c>
      <c r="BH27" s="29">
        <f>Sheet1!CA29</f>
        <v>0.81</v>
      </c>
      <c r="BI27" s="29">
        <f>Sheet1!CB29</f>
        <v>0.81</v>
      </c>
      <c r="BJ27" s="29">
        <f>Sheet1!CC29</f>
        <v>0.81</v>
      </c>
      <c r="BK27" s="29">
        <f>Sheet1!CD29</f>
        <v>0.79</v>
      </c>
      <c r="BL27" s="29">
        <f>Sheet1!CE29</f>
        <v>0.78500000000000003</v>
      </c>
      <c r="BM27" s="29">
        <f>Sheet1!CF29</f>
        <v>0.78500000000000003</v>
      </c>
      <c r="BN27" s="29">
        <f>Sheet1!CG29</f>
        <v>0.76</v>
      </c>
      <c r="BO27" s="29">
        <f>Sheet1!CH29</f>
        <v>0.76</v>
      </c>
      <c r="BP27" s="29">
        <f>Sheet1!CI29</f>
        <v>0.76</v>
      </c>
      <c r="BQ27" s="29">
        <f>Sheet1!CJ29</f>
        <v>0.76</v>
      </c>
      <c r="BR27" s="29">
        <f>Sheet1!CK29</f>
        <v>0.75</v>
      </c>
      <c r="BS27" s="29">
        <f>Sheet1!CL29</f>
        <v>0.75</v>
      </c>
      <c r="BT27" s="29">
        <f>Sheet1!CM29</f>
        <v>0.73</v>
      </c>
      <c r="BU27" s="29">
        <f>Sheet1!CN29</f>
        <v>0.73</v>
      </c>
      <c r="BV27" s="29">
        <f>Sheet1!CO29</f>
        <v>0.72499999999999998</v>
      </c>
      <c r="BW27" s="29">
        <f>Sheet1!CP29</f>
        <v>0.72499999999999998</v>
      </c>
      <c r="BX27" s="29">
        <f>Sheet1!CQ29</f>
        <v>0.71</v>
      </c>
      <c r="BY27" s="29">
        <f>Sheet1!CR29</f>
        <v>0.71</v>
      </c>
      <c r="BZ27" s="29">
        <f>Sheet1!CS29</f>
        <v>0.71</v>
      </c>
      <c r="CA27" s="29">
        <f>Sheet1!CT29</f>
        <v>0.71</v>
      </c>
      <c r="CB27" s="29">
        <f>Sheet1!CU29</f>
        <v>0.71</v>
      </c>
      <c r="CC27" s="29">
        <f>Sheet1!CV29</f>
        <v>0.71</v>
      </c>
      <c r="CD27" s="29">
        <f>Sheet1!CW29</f>
        <v>0.71</v>
      </c>
      <c r="CE27" s="29">
        <f>Sheet1!CX29</f>
        <v>0.71</v>
      </c>
      <c r="CF27" s="29">
        <f>Sheet1!CY29</f>
        <v>0.71</v>
      </c>
      <c r="CG27" s="29">
        <f>Sheet1!CZ29</f>
        <v>0.71</v>
      </c>
      <c r="CH27" s="29">
        <f>Sheet1!DA29</f>
        <v>0.69499999999999995</v>
      </c>
      <c r="CI27" s="29">
        <f>Sheet1!DB29</f>
        <v>0.69499999999999995</v>
      </c>
      <c r="CJ27" s="29">
        <f>Sheet1!DC29</f>
        <v>0.69</v>
      </c>
      <c r="CK27" s="29">
        <f>Sheet1!DD29</f>
        <v>0.69</v>
      </c>
      <c r="CL27" s="29">
        <f>Sheet1!DE29</f>
        <v>0.69499999999999995</v>
      </c>
      <c r="CM27" s="29">
        <f>Sheet1!DF29</f>
        <v>0.69499999999999995</v>
      </c>
      <c r="CN27" s="29">
        <f>Sheet1!DG29</f>
        <v>0.71</v>
      </c>
      <c r="CO27" s="29">
        <f>Sheet1!DH29</f>
        <v>0.72499999999999998</v>
      </c>
      <c r="CP27" s="29">
        <f>Sheet1!DI29</f>
        <v>0.75</v>
      </c>
      <c r="CQ27" s="29">
        <f>Sheet1!DJ29</f>
        <v>0.75</v>
      </c>
      <c r="CR27" s="29">
        <f>Sheet1!DK29</f>
        <v>0.75</v>
      </c>
      <c r="CS27" s="29">
        <f>Sheet1!DL29</f>
        <v>0.72</v>
      </c>
      <c r="CT27" s="29">
        <f>Sheet1!DM29</f>
        <v>0.72</v>
      </c>
      <c r="CU27" s="29">
        <f>Sheet1!DN29</f>
        <v>0.71</v>
      </c>
      <c r="CV27" s="29">
        <f>Sheet1!DO29</f>
        <v>0.69499999999999995</v>
      </c>
      <c r="CW27" s="29">
        <f>Sheet1!DP29</f>
        <v>0.67500000000000004</v>
      </c>
      <c r="CX27" s="29">
        <f>Sheet1!DQ29</f>
        <v>0.67500000000000004</v>
      </c>
      <c r="CY27" s="29">
        <f>Sheet1!DR29</f>
        <v>0.67</v>
      </c>
      <c r="CZ27" s="29">
        <f>Sheet1!DS29</f>
        <v>0.67</v>
      </c>
      <c r="DA27" s="29">
        <f>Sheet1!DT29</f>
        <v>0.67</v>
      </c>
      <c r="DB27" s="29">
        <f>Sheet1!DU29</f>
        <v>0.67</v>
      </c>
      <c r="DC27" s="29">
        <f>Sheet1!DV29</f>
        <v>0.67</v>
      </c>
      <c r="DD27" s="29">
        <f>Sheet1!DW29</f>
        <v>0.67</v>
      </c>
      <c r="DE27" s="29">
        <f>Sheet1!DX29</f>
        <v>0.67</v>
      </c>
      <c r="DF27" s="29">
        <f>Sheet1!DY29</f>
        <v>0.67800000000000005</v>
      </c>
      <c r="DG27" s="29">
        <f>Sheet1!DZ29</f>
        <v>0.7</v>
      </c>
      <c r="DH27" s="29">
        <f>Sheet1!EA29</f>
        <v>0.7</v>
      </c>
      <c r="DI27" s="29">
        <f>Sheet1!EB29</f>
        <v>0.7</v>
      </c>
      <c r="DJ27" s="29">
        <f>Sheet1!EC29</f>
        <v>0.7</v>
      </c>
      <c r="DK27" s="29">
        <f>Sheet1!ED29</f>
        <v>0.7</v>
      </c>
      <c r="DL27" s="29">
        <f>Sheet1!EE29</f>
        <v>0.7</v>
      </c>
      <c r="DM27" s="29">
        <f>Sheet1!EF29</f>
        <v>0.7</v>
      </c>
      <c r="DN27" s="29">
        <f>Sheet1!EG29</f>
        <v>0.7</v>
      </c>
      <c r="DO27" s="29">
        <f>Sheet1!EH29</f>
        <v>0.7</v>
      </c>
      <c r="DP27" s="29">
        <f>Sheet1!EI29</f>
        <v>0.7</v>
      </c>
      <c r="DQ27" s="29">
        <f>Sheet1!EJ29</f>
        <v>0.7</v>
      </c>
      <c r="DR27" s="29">
        <f>Sheet1!EK29</f>
        <v>0.7</v>
      </c>
      <c r="DS27" s="29">
        <f>Sheet1!EL29</f>
        <v>0.7</v>
      </c>
      <c r="DT27" s="29">
        <f>Sheet1!EM29</f>
        <v>0.7</v>
      </c>
      <c r="DU27" s="29">
        <f>Sheet1!EN29</f>
        <v>0.7</v>
      </c>
      <c r="DV27" s="29">
        <f>Sheet1!EO29</f>
        <v>0.7</v>
      </c>
      <c r="DW27" s="29">
        <f>Sheet1!EP29</f>
        <v>0.7</v>
      </c>
      <c r="DX27" s="29">
        <f>Sheet1!EQ29</f>
        <v>0.7</v>
      </c>
      <c r="DY27" s="29">
        <f>Sheet1!ER29</f>
        <v>0.69</v>
      </c>
      <c r="DZ27" s="29">
        <f>Sheet1!ES29</f>
        <v>0.69</v>
      </c>
      <c r="EA27" s="29">
        <f>Sheet1!ET29</f>
        <v>0.69</v>
      </c>
      <c r="EB27" s="29">
        <f>Sheet1!EU29</f>
        <v>0.69</v>
      </c>
      <c r="EC27" s="29">
        <f>Sheet1!EV29</f>
        <v>0.69</v>
      </c>
      <c r="ED27" s="29">
        <f>Sheet1!EW29</f>
        <v>0.69</v>
      </c>
      <c r="EE27" s="29">
        <f>Sheet1!EX29</f>
        <v>0.73</v>
      </c>
      <c r="EF27" s="29">
        <f>Sheet1!EY29</f>
        <v>0.79</v>
      </c>
      <c r="EG27" s="29">
        <f>Sheet1!EZ29</f>
        <v>0.8</v>
      </c>
      <c r="EH27" s="29">
        <f>Sheet1!FA29</f>
        <v>0.8</v>
      </c>
      <c r="EI27" s="29">
        <f>Sheet1!FB29</f>
        <v>0.8</v>
      </c>
      <c r="EJ27" s="29">
        <f>Sheet1!FC29</f>
        <v>0.86</v>
      </c>
      <c r="EK27" s="29">
        <f>Sheet1!FD29</f>
        <v>0.86</v>
      </c>
      <c r="EL27" s="29">
        <f>Sheet1!FE29</f>
        <v>0.86</v>
      </c>
      <c r="EM27" s="29">
        <f>Sheet1!FF29</f>
        <v>0.83</v>
      </c>
      <c r="EN27" s="29">
        <f>Sheet1!FG29</f>
        <v>0.82</v>
      </c>
      <c r="EO27" s="29">
        <f>Sheet1!FH29</f>
        <v>0.79</v>
      </c>
      <c r="EP27" s="29">
        <f>Sheet1!FI29</f>
        <v>0.78</v>
      </c>
      <c r="EQ27" s="29">
        <f>Sheet1!FJ29</f>
        <v>0.78</v>
      </c>
      <c r="ER27" s="29">
        <f>Sheet1!FK29</f>
        <v>0.76900000000000002</v>
      </c>
      <c r="ES27" s="29">
        <f>Sheet1!FL29</f>
        <v>0.76900000000000002</v>
      </c>
      <c r="ET27" s="29">
        <f>Sheet1!FM29</f>
        <v>0.76900000000000002</v>
      </c>
      <c r="EU27" s="29">
        <f>Sheet1!FN29</f>
        <v>0.76</v>
      </c>
      <c r="EV27" s="29">
        <f>Sheet1!FO29</f>
        <v>0.755</v>
      </c>
      <c r="EW27" s="29">
        <f>Sheet1!FP29</f>
        <v>0.755</v>
      </c>
      <c r="EX27" s="29">
        <f>Sheet1!FQ29</f>
        <v>0.755</v>
      </c>
      <c r="EY27" s="29">
        <f>Sheet1!FR29</f>
        <v>0.745</v>
      </c>
      <c r="EZ27" s="29">
        <f>Sheet1!FS29</f>
        <v>0.745</v>
      </c>
      <c r="FA27" s="29">
        <f>Sheet1!FT29</f>
        <v>0.73</v>
      </c>
      <c r="FB27" s="29">
        <f>Sheet1!FU29</f>
        <v>0.72</v>
      </c>
      <c r="FC27" s="29">
        <f>Sheet1!FV29</f>
        <v>0.70499999999999996</v>
      </c>
      <c r="FD27" s="29">
        <f>Sheet1!FW29</f>
        <v>0.7</v>
      </c>
      <c r="FE27" s="29">
        <f>Sheet1!FX29</f>
        <v>0.7</v>
      </c>
      <c r="FF27" s="29">
        <f>Sheet1!FY29</f>
        <v>0.68500000000000005</v>
      </c>
      <c r="FG27" s="29">
        <f>Sheet1!FZ29</f>
        <v>0.68500000000000005</v>
      </c>
      <c r="FH27" s="29">
        <f>Sheet1!GA29</f>
        <v>0.68500000000000005</v>
      </c>
      <c r="FI27" s="29">
        <f>Sheet1!GB29</f>
        <v>0.69499999999999995</v>
      </c>
      <c r="FJ27" s="29">
        <f>Sheet1!GC29</f>
        <v>0.70499999999999996</v>
      </c>
      <c r="FK27" s="29">
        <f>Sheet1!GD29</f>
        <v>0.70499999999999996</v>
      </c>
      <c r="FL27" s="29">
        <f>Sheet1!GE29</f>
        <v>0.70499999999999996</v>
      </c>
      <c r="FM27" s="29">
        <f>Sheet1!GF29</f>
        <v>0.70499999999999996</v>
      </c>
      <c r="FN27" s="23">
        <f>Sheet1!GG29</f>
        <v>0</v>
      </c>
      <c r="FO27" s="23">
        <f>Sheet1!GH29</f>
        <v>2.5454545454545396</v>
      </c>
      <c r="FP27" s="23">
        <f>Sheet1!GI29</f>
        <v>2.1739130434782652</v>
      </c>
    </row>
    <row r="28" spans="1:172" ht="16.5" thickBot="1">
      <c r="A28" s="4"/>
      <c r="B28" s="30" t="s">
        <v>223</v>
      </c>
      <c r="C28" s="21"/>
      <c r="D28" s="21"/>
      <c r="E28" s="15"/>
      <c r="F28" s="15"/>
      <c r="G28" s="15"/>
      <c r="H28" s="15"/>
      <c r="I28" s="15"/>
      <c r="J28" s="15"/>
      <c r="K28" s="15"/>
      <c r="L28" s="15"/>
      <c r="M28" s="15"/>
      <c r="N28" s="15"/>
      <c r="O28" s="15"/>
      <c r="P28" s="15"/>
      <c r="Q28" s="15"/>
      <c r="R28" s="15"/>
      <c r="S28" s="15"/>
      <c r="T28" s="15"/>
      <c r="U28" s="15"/>
      <c r="V28" s="15"/>
      <c r="W28" s="15"/>
      <c r="X28" s="15"/>
      <c r="Y28" s="15"/>
      <c r="Z28" s="15"/>
      <c r="AA28" s="19"/>
      <c r="AB28" s="19"/>
      <c r="AC28" s="19"/>
      <c r="AD28" s="19"/>
      <c r="AE28" s="19"/>
      <c r="AF28" s="29"/>
      <c r="AG28" s="29"/>
      <c r="AH28" s="29"/>
      <c r="AI28" s="29"/>
      <c r="AJ28" s="29"/>
      <c r="AK28" s="29"/>
      <c r="AL28" s="29"/>
      <c r="AM28" s="29"/>
      <c r="AN28" s="29"/>
      <c r="AO28" s="29"/>
      <c r="AP28" s="29"/>
      <c r="AQ28" s="29"/>
      <c r="AR28" s="29"/>
      <c r="AS28" s="29"/>
      <c r="AT28" s="29"/>
      <c r="AU28" s="29"/>
      <c r="AV28" s="29"/>
      <c r="AW28" s="29"/>
      <c r="AX28" s="29"/>
      <c r="AY28" s="29"/>
      <c r="AZ28" s="29"/>
      <c r="BA28" s="29"/>
      <c r="BB28" s="29"/>
      <c r="BC28" s="29"/>
      <c r="BD28" s="29"/>
      <c r="BE28" s="29"/>
      <c r="BF28" s="29"/>
      <c r="BG28" s="29"/>
      <c r="BH28" s="29"/>
      <c r="BI28" s="29"/>
      <c r="BJ28" s="29"/>
      <c r="BK28" s="29"/>
      <c r="BL28" s="29"/>
      <c r="BM28" s="29"/>
      <c r="BN28" s="29"/>
      <c r="BO28" s="29"/>
      <c r="BP28" s="29"/>
      <c r="BQ28" s="29"/>
      <c r="BR28" s="29"/>
      <c r="BS28" s="29"/>
      <c r="BT28" s="29"/>
      <c r="BU28" s="29"/>
      <c r="BV28" s="29"/>
      <c r="BW28" s="29"/>
      <c r="BX28" s="29"/>
      <c r="BY28" s="29"/>
      <c r="BZ28" s="29"/>
      <c r="CA28" s="29"/>
      <c r="CB28" s="29"/>
      <c r="CC28" s="29"/>
      <c r="CD28" s="29"/>
      <c r="CE28" s="29"/>
      <c r="CF28" s="29"/>
      <c r="CG28" s="29"/>
      <c r="CH28" s="29"/>
      <c r="CI28" s="29"/>
      <c r="CJ28" s="29"/>
      <c r="CK28" s="29"/>
      <c r="CL28" s="29"/>
      <c r="CM28" s="29"/>
      <c r="CN28" s="29"/>
      <c r="CO28" s="29"/>
      <c r="CP28" s="29"/>
      <c r="CQ28" s="29"/>
      <c r="CR28" s="29"/>
      <c r="CS28" s="29"/>
      <c r="CT28" s="29"/>
      <c r="CU28" s="29"/>
      <c r="CV28" s="29"/>
      <c r="CW28" s="29"/>
      <c r="CX28" s="29"/>
      <c r="CY28" s="29"/>
      <c r="CZ28" s="29"/>
      <c r="DA28" s="29"/>
      <c r="DB28" s="29"/>
      <c r="DC28" s="29"/>
      <c r="DD28" s="29"/>
      <c r="DE28" s="29"/>
      <c r="DF28" s="29"/>
      <c r="DG28" s="29"/>
      <c r="DH28" s="29"/>
      <c r="DI28" s="29"/>
      <c r="DJ28" s="29"/>
      <c r="DK28" s="29"/>
      <c r="DL28" s="29"/>
      <c r="DM28" s="29"/>
      <c r="DN28" s="29"/>
      <c r="DO28" s="29"/>
      <c r="DP28" s="29"/>
      <c r="DQ28" s="29"/>
      <c r="DR28" s="29">
        <f>Sheet1!EK30</f>
        <v>0.7</v>
      </c>
      <c r="DS28" s="29">
        <f>Sheet1!EL30</f>
        <v>0.7</v>
      </c>
      <c r="DT28" s="29">
        <f>Sheet1!EM30</f>
        <v>0.7</v>
      </c>
      <c r="DU28" s="29">
        <f>Sheet1!EN30</f>
        <v>0.7</v>
      </c>
      <c r="DV28" s="29">
        <f>Sheet1!EO30</f>
        <v>0.7</v>
      </c>
      <c r="DW28" s="29">
        <f>Sheet1!EP30</f>
        <v>0.7</v>
      </c>
      <c r="DX28" s="29">
        <f>Sheet1!EQ30</f>
        <v>0.7</v>
      </c>
      <c r="DY28" s="29">
        <f>Sheet1!ER30</f>
        <v>0.69</v>
      </c>
      <c r="DZ28" s="29">
        <f>Sheet1!ES30</f>
        <v>0.69</v>
      </c>
      <c r="EA28" s="29">
        <f>Sheet1!ET30</f>
        <v>0.69</v>
      </c>
      <c r="EB28" s="29">
        <f>Sheet1!EU30</f>
        <v>0.69</v>
      </c>
      <c r="EC28" s="29">
        <f>Sheet1!EV30</f>
        <v>0.69</v>
      </c>
      <c r="ED28" s="29">
        <f>Sheet1!EW30</f>
        <v>0.69</v>
      </c>
      <c r="EE28" s="29">
        <f>Sheet1!EX30</f>
        <v>0.70799999999999996</v>
      </c>
      <c r="EF28" s="29">
        <f>Sheet1!EY30</f>
        <v>0.79</v>
      </c>
      <c r="EG28" s="29">
        <f>Sheet1!EZ30</f>
        <v>0.82</v>
      </c>
      <c r="EH28" s="29">
        <f>Sheet1!FA30</f>
        <v>0.82</v>
      </c>
      <c r="EI28" s="29">
        <f>Sheet1!FB30</f>
        <v>0.82</v>
      </c>
      <c r="EJ28" s="29">
        <f>Sheet1!FC30</f>
        <v>0.86</v>
      </c>
      <c r="EK28" s="29">
        <f>Sheet1!FD30</f>
        <v>0.86</v>
      </c>
      <c r="EL28" s="29">
        <f>Sheet1!FE30</f>
        <v>0.86</v>
      </c>
      <c r="EM28" s="29">
        <f>Sheet1!FF30</f>
        <v>0.84</v>
      </c>
      <c r="EN28" s="29">
        <f>Sheet1!FG30</f>
        <v>0.82</v>
      </c>
      <c r="EO28" s="29">
        <f>Sheet1!FH30</f>
        <v>0.79200000000000004</v>
      </c>
      <c r="EP28" s="29">
        <f>Sheet1!FI30</f>
        <v>0.78</v>
      </c>
      <c r="EQ28" s="29">
        <f>Sheet1!FJ30</f>
        <v>0.78</v>
      </c>
      <c r="ER28" s="29">
        <f>Sheet1!FK30</f>
        <v>0.77200000000000002</v>
      </c>
      <c r="ES28" s="29">
        <f>Sheet1!FL30</f>
        <v>0.77200000000000002</v>
      </c>
      <c r="ET28" s="29">
        <f>Sheet1!FM30</f>
        <v>0.77200000000000002</v>
      </c>
      <c r="EU28" s="29">
        <f>Sheet1!FN30</f>
        <v>0.76500000000000001</v>
      </c>
      <c r="EV28" s="29">
        <f>Sheet1!FO30</f>
        <v>0.76</v>
      </c>
      <c r="EW28" s="29">
        <f>Sheet1!FP30</f>
        <v>0.76</v>
      </c>
      <c r="EX28" s="29">
        <f>Sheet1!FQ30</f>
        <v>0.76</v>
      </c>
      <c r="EY28" s="29">
        <f>Sheet1!FR30</f>
        <v>0.745</v>
      </c>
      <c r="EZ28" s="29">
        <f>Sheet1!FS30</f>
        <v>0.745</v>
      </c>
      <c r="FA28" s="29">
        <f>Sheet1!FT30</f>
        <v>0.74</v>
      </c>
      <c r="FB28" s="29">
        <f>Sheet1!FU30</f>
        <v>0.73499999999999999</v>
      </c>
      <c r="FC28" s="29">
        <f>Sheet1!FV30</f>
        <v>0.73499999999999999</v>
      </c>
      <c r="FD28" s="29">
        <f>Sheet1!FW30</f>
        <v>0.73</v>
      </c>
      <c r="FE28" s="29">
        <f>Sheet1!FX30</f>
        <v>0.73</v>
      </c>
      <c r="FF28" s="29">
        <f>Sheet1!FY30</f>
        <v>0.72</v>
      </c>
      <c r="FG28" s="29">
        <f>Sheet1!FZ30</f>
        <v>0.72</v>
      </c>
      <c r="FH28" s="29">
        <f>Sheet1!GA30</f>
        <v>0.72</v>
      </c>
      <c r="FI28" s="29">
        <f>Sheet1!GB30</f>
        <v>0.72</v>
      </c>
      <c r="FJ28" s="29">
        <f>Sheet1!GC30</f>
        <v>0.73</v>
      </c>
      <c r="FK28" s="29"/>
      <c r="FL28" s="23" t="s">
        <v>204</v>
      </c>
      <c r="FM28" s="23" t="s">
        <v>204</v>
      </c>
      <c r="FN28" s="23" t="s">
        <v>204</v>
      </c>
      <c r="FO28" s="23" t="s">
        <v>204</v>
      </c>
      <c r="FP28" s="23" t="s">
        <v>204</v>
      </c>
    </row>
    <row r="29" spans="1:172">
      <c r="A29" s="4"/>
      <c r="B29" s="30" t="s">
        <v>228</v>
      </c>
      <c r="C29" s="21"/>
      <c r="D29" s="21"/>
      <c r="E29" s="15"/>
      <c r="F29" s="15"/>
      <c r="G29" s="15"/>
      <c r="H29" s="15"/>
      <c r="I29" s="15"/>
      <c r="J29" s="15"/>
      <c r="K29" s="15"/>
      <c r="L29" s="15"/>
      <c r="M29" s="15"/>
      <c r="N29" s="15"/>
      <c r="O29" s="15"/>
      <c r="P29" s="15"/>
      <c r="Q29" s="15"/>
      <c r="R29" s="15"/>
      <c r="S29" s="15"/>
      <c r="T29" s="15"/>
      <c r="U29" s="15"/>
      <c r="V29" s="15"/>
      <c r="W29" s="15"/>
      <c r="X29" s="15"/>
      <c r="Y29" s="15"/>
      <c r="Z29" s="15"/>
      <c r="AA29" s="19"/>
      <c r="AB29" s="19"/>
      <c r="AC29" s="19"/>
      <c r="AD29" s="19"/>
      <c r="AE29" s="19"/>
      <c r="AF29" s="29"/>
      <c r="AG29" s="29"/>
      <c r="AH29" s="29"/>
      <c r="AI29" s="29"/>
      <c r="AJ29" s="29"/>
      <c r="AK29" s="29"/>
      <c r="AL29" s="29"/>
      <c r="AM29" s="29"/>
      <c r="AN29" s="29"/>
      <c r="AO29" s="29"/>
      <c r="AP29" s="29"/>
      <c r="AQ29" s="29"/>
      <c r="AR29" s="29"/>
      <c r="AS29" s="29"/>
      <c r="AT29" s="29"/>
      <c r="AU29" s="29"/>
      <c r="AV29" s="29"/>
      <c r="AW29" s="29"/>
      <c r="AX29" s="29"/>
      <c r="AY29" s="29"/>
      <c r="AZ29" s="29"/>
      <c r="BA29" s="29"/>
      <c r="BB29" s="29"/>
      <c r="BC29" s="29"/>
      <c r="BD29" s="29"/>
      <c r="BE29" s="29"/>
      <c r="BF29" s="29"/>
      <c r="BG29" s="29"/>
      <c r="BH29" s="29"/>
      <c r="BI29" s="29"/>
      <c r="BJ29" s="29"/>
      <c r="BK29" s="29"/>
      <c r="BL29" s="29"/>
      <c r="BM29" s="29"/>
      <c r="BN29" s="29"/>
      <c r="BO29" s="29"/>
      <c r="BP29" s="29"/>
      <c r="BQ29" s="29"/>
      <c r="BR29" s="29"/>
      <c r="BS29" s="29"/>
      <c r="BT29" s="29"/>
      <c r="BU29" s="29"/>
      <c r="BV29" s="29"/>
      <c r="BW29" s="29"/>
      <c r="BX29" s="29"/>
      <c r="BY29" s="29"/>
      <c r="BZ29" s="29"/>
      <c r="CA29" s="29"/>
      <c r="CB29" s="29"/>
      <c r="CC29" s="29"/>
      <c r="CD29" s="29"/>
      <c r="CE29" s="29"/>
      <c r="CF29" s="29"/>
      <c r="CG29" s="29"/>
      <c r="CH29" s="29"/>
      <c r="CI29" s="29"/>
      <c r="CJ29" s="29"/>
      <c r="CK29" s="29"/>
      <c r="CL29" s="29"/>
      <c r="CM29" s="29"/>
      <c r="CN29" s="29"/>
      <c r="CO29" s="29"/>
      <c r="CP29" s="29"/>
      <c r="CQ29" s="29"/>
      <c r="CR29" s="29"/>
      <c r="CS29" s="29"/>
      <c r="CT29" s="29"/>
      <c r="CU29" s="29"/>
      <c r="CV29" s="29"/>
      <c r="CW29" s="29"/>
      <c r="CX29" s="29"/>
      <c r="CY29" s="29"/>
      <c r="CZ29" s="29"/>
      <c r="DA29" s="29"/>
      <c r="DB29" s="29"/>
      <c r="DC29" s="29"/>
      <c r="DD29" s="29"/>
      <c r="DE29" s="29"/>
      <c r="DF29" s="29"/>
      <c r="DG29" s="29"/>
      <c r="DH29" s="29"/>
      <c r="DI29" s="29"/>
      <c r="DJ29" s="29"/>
      <c r="DK29" s="29"/>
      <c r="DL29" s="29"/>
      <c r="DM29" s="29"/>
      <c r="DN29" s="29"/>
      <c r="DO29" s="29"/>
      <c r="DP29" s="29"/>
      <c r="DQ29" s="29"/>
      <c r="DR29" s="29"/>
      <c r="DS29" s="29">
        <f>Sheet1!EL35</f>
        <v>0.68500000000000005</v>
      </c>
      <c r="DT29" s="29">
        <f>Sheet1!EM35</f>
        <v>0.68</v>
      </c>
      <c r="DU29" s="29">
        <f>Sheet1!EN35</f>
        <v>0.67</v>
      </c>
      <c r="DV29" s="29">
        <f>Sheet1!EO35</f>
        <v>0.67</v>
      </c>
      <c r="DW29" s="29">
        <f>Sheet1!EP35</f>
        <v>0.67</v>
      </c>
      <c r="DX29" s="29">
        <f>Sheet1!EQ35</f>
        <v>0.67</v>
      </c>
      <c r="DY29" s="29">
        <f>Sheet1!ER35</f>
        <v>0.66</v>
      </c>
      <c r="DZ29" s="29">
        <f>Sheet1!ES35</f>
        <v>0.66</v>
      </c>
      <c r="EA29" s="29">
        <f>Sheet1!ET35</f>
        <v>0.66</v>
      </c>
      <c r="EB29" s="29">
        <f>Sheet1!EU35</f>
        <v>0.66</v>
      </c>
      <c r="EC29" s="29">
        <f>Sheet1!EV35</f>
        <v>0.66</v>
      </c>
      <c r="ED29" s="29">
        <f>Sheet1!EW35</f>
        <v>0.68</v>
      </c>
      <c r="EE29" s="29">
        <f>Sheet1!EX35</f>
        <v>0.73</v>
      </c>
      <c r="EF29" s="29">
        <f>Sheet1!EY35</f>
        <v>0.79</v>
      </c>
      <c r="EG29" s="29">
        <f>Sheet1!EZ35</f>
        <v>0.82</v>
      </c>
      <c r="EH29" s="29">
        <f>Sheet1!FA35</f>
        <v>0.82</v>
      </c>
      <c r="EI29" s="29">
        <f>Sheet1!FB35</f>
        <v>0.82</v>
      </c>
      <c r="EJ29" s="29">
        <f>Sheet1!FC35</f>
        <v>0.86</v>
      </c>
      <c r="EK29" s="29">
        <f>Sheet1!FD35</f>
        <v>0.86</v>
      </c>
      <c r="EL29" s="29">
        <f>Sheet1!FE35</f>
        <v>0.86</v>
      </c>
      <c r="EM29" s="29">
        <f>Sheet1!FF35</f>
        <v>0.83</v>
      </c>
      <c r="EN29" s="29">
        <f>Sheet1!FG35</f>
        <v>0.83</v>
      </c>
      <c r="EO29" s="29">
        <f>Sheet1!FH35</f>
        <v>0.79500000000000004</v>
      </c>
      <c r="EP29" s="29">
        <f>Sheet1!FI35</f>
        <v>0.78500000000000003</v>
      </c>
      <c r="EQ29" s="29">
        <f>Sheet1!FJ35</f>
        <v>0.78500000000000003</v>
      </c>
      <c r="ER29" s="29">
        <f>Sheet1!FK35</f>
        <v>0.77500000000000002</v>
      </c>
      <c r="ES29" s="29">
        <f>Sheet1!FL35</f>
        <v>0.77500000000000002</v>
      </c>
      <c r="ET29" s="29">
        <f>Sheet1!FM35</f>
        <v>0.77500000000000002</v>
      </c>
      <c r="EU29" s="29">
        <f>Sheet1!FN35</f>
        <v>0.77200000000000002</v>
      </c>
      <c r="EV29" s="29">
        <f>Sheet1!FO35</f>
        <v>0.755</v>
      </c>
      <c r="EW29" s="29">
        <f>Sheet1!FP35</f>
        <v>0.755</v>
      </c>
      <c r="EX29" s="29">
        <f>Sheet1!FQ35</f>
        <v>0.755</v>
      </c>
      <c r="EY29" s="29">
        <f>Sheet1!FR35</f>
        <v>0.745</v>
      </c>
      <c r="EZ29" s="29">
        <f>Sheet1!FS35</f>
        <v>0.745</v>
      </c>
      <c r="FA29" s="29">
        <f>Sheet1!FT35</f>
        <v>0.74</v>
      </c>
      <c r="FB29" s="29">
        <f>Sheet1!FU35</f>
        <v>0.73</v>
      </c>
      <c r="FC29" s="29">
        <f>Sheet1!FV35</f>
        <v>0.73</v>
      </c>
      <c r="FD29" s="29">
        <f>Sheet1!FW35</f>
        <v>0.70499999999999996</v>
      </c>
      <c r="FE29" s="29">
        <f>Sheet1!FX35</f>
        <v>0.70499999999999996</v>
      </c>
      <c r="FF29" s="29">
        <f>Sheet1!FY35</f>
        <v>0.69</v>
      </c>
      <c r="FG29" s="29">
        <f>Sheet1!FZ35</f>
        <v>0.69</v>
      </c>
      <c r="FH29" s="29">
        <f>Sheet1!GA35</f>
        <v>0.69</v>
      </c>
      <c r="FI29" s="29">
        <f>Sheet1!GB35</f>
        <v>0.69</v>
      </c>
      <c r="FJ29" s="29">
        <f>Sheet1!GC35</f>
        <v>0.7</v>
      </c>
      <c r="FK29" s="29">
        <f>Sheet1!GD35</f>
        <v>0.70499999999999996</v>
      </c>
      <c r="FL29" s="29">
        <f>Sheet1!GE35</f>
        <v>0.7</v>
      </c>
      <c r="FM29" s="29">
        <f>Sheet1!GF35</f>
        <v>0.7</v>
      </c>
      <c r="FN29" s="23">
        <f>Sheet1!GG35</f>
        <v>0</v>
      </c>
      <c r="FO29" s="23">
        <f>Sheet1!GH35</f>
        <v>1.6304347826086931</v>
      </c>
      <c r="FP29" s="23">
        <f>Sheet1!GI35</f>
        <v>2.941176470588232</v>
      </c>
    </row>
    <row r="30" spans="1:172">
      <c r="A30" s="4"/>
      <c r="B30" s="30" t="s">
        <v>224</v>
      </c>
      <c r="C30" s="21"/>
      <c r="D30" s="21"/>
      <c r="E30" s="15"/>
      <c r="F30" s="15"/>
      <c r="G30" s="15"/>
      <c r="H30" s="15"/>
      <c r="I30" s="15"/>
      <c r="J30" s="15"/>
      <c r="K30" s="15"/>
      <c r="L30" s="15"/>
      <c r="M30" s="15"/>
      <c r="N30" s="15"/>
      <c r="O30" s="15"/>
      <c r="P30" s="15"/>
      <c r="Q30" s="15"/>
      <c r="R30" s="15"/>
      <c r="S30" s="15"/>
      <c r="T30" s="15"/>
      <c r="U30" s="15"/>
      <c r="V30" s="15"/>
      <c r="W30" s="15"/>
      <c r="X30" s="15"/>
      <c r="Y30" s="15"/>
      <c r="Z30" s="15"/>
      <c r="AA30" s="19"/>
      <c r="AB30" s="19"/>
      <c r="AC30" s="19"/>
      <c r="AD30" s="19"/>
      <c r="AE30" s="19"/>
      <c r="AF30" s="29"/>
      <c r="AG30" s="29"/>
      <c r="AH30" s="29"/>
      <c r="AI30" s="29"/>
      <c r="AJ30" s="29"/>
      <c r="AK30" s="29"/>
      <c r="AL30" s="29"/>
      <c r="AM30" s="29"/>
      <c r="AN30" s="29">
        <f>Sheet1!BG31</f>
        <v>1.1000000000000001</v>
      </c>
      <c r="AO30" s="29">
        <f>Sheet1!BH31</f>
        <v>1.1000000000000001</v>
      </c>
      <c r="AP30" s="29">
        <f>Sheet1!BI31</f>
        <v>1.1000000000000001</v>
      </c>
      <c r="AQ30" s="29">
        <f>Sheet1!BJ31</f>
        <v>1.1000000000000001</v>
      </c>
      <c r="AR30" s="29">
        <f>Sheet1!BK31</f>
        <v>1.05</v>
      </c>
      <c r="AS30" s="29">
        <f>Sheet1!BL31</f>
        <v>1.05</v>
      </c>
      <c r="AT30" s="29">
        <f>Sheet1!BM31</f>
        <v>1.05</v>
      </c>
      <c r="AU30" s="29">
        <f>Sheet1!BN31</f>
        <v>1.05</v>
      </c>
      <c r="AV30" s="29">
        <f>Sheet1!BO31</f>
        <v>1.05</v>
      </c>
      <c r="AW30" s="29">
        <f>Sheet1!BP31</f>
        <v>1.05</v>
      </c>
      <c r="AX30" s="29">
        <f>Sheet1!BQ31</f>
        <v>1.05</v>
      </c>
      <c r="AY30" s="29">
        <f>Sheet1!BR31</f>
        <v>1.05</v>
      </c>
      <c r="AZ30" s="29">
        <f>Sheet1!BS31</f>
        <v>1.05</v>
      </c>
      <c r="BA30" s="29">
        <f>Sheet1!BT31</f>
        <v>1.05</v>
      </c>
      <c r="BB30" s="29">
        <f>Sheet1!BU31</f>
        <v>1.05</v>
      </c>
      <c r="BC30" s="29">
        <f>Sheet1!BV31</f>
        <v>1.05</v>
      </c>
      <c r="BD30" s="29">
        <f>Sheet1!BW31</f>
        <v>0.95</v>
      </c>
      <c r="BE30" s="29">
        <f>Sheet1!BX31</f>
        <v>0.9</v>
      </c>
      <c r="BF30" s="29">
        <f>Sheet1!BY31</f>
        <v>0.86</v>
      </c>
      <c r="BG30" s="29">
        <f>Sheet1!BZ31</f>
        <v>0.85</v>
      </c>
      <c r="BH30" s="29">
        <f>Sheet1!CA31</f>
        <v>0.85</v>
      </c>
      <c r="BI30" s="29">
        <f>Sheet1!CB31</f>
        <v>0.84</v>
      </c>
      <c r="BJ30" s="29">
        <f>Sheet1!CC31</f>
        <v>0.84</v>
      </c>
      <c r="BK30" s="29">
        <f>Sheet1!CD31</f>
        <v>0.84</v>
      </c>
      <c r="BL30" s="29">
        <f>Sheet1!CE31</f>
        <v>0.83499999999999996</v>
      </c>
      <c r="BM30" s="29">
        <f>Sheet1!CF31</f>
        <v>0.83499999999999996</v>
      </c>
      <c r="BN30" s="29">
        <f>Sheet1!CG31</f>
        <v>0.82</v>
      </c>
      <c r="BO30" s="29">
        <f>Sheet1!CH31</f>
        <v>0.81</v>
      </c>
      <c r="BP30" s="29">
        <f>Sheet1!CI31</f>
        <v>0.81</v>
      </c>
      <c r="BQ30" s="29">
        <f>Sheet1!CJ31</f>
        <v>0.81</v>
      </c>
      <c r="BR30" s="29">
        <f>Sheet1!CK31</f>
        <v>0.78</v>
      </c>
      <c r="BS30" s="29">
        <f>Sheet1!CL31</f>
        <v>0.78</v>
      </c>
      <c r="BT30" s="29">
        <f>Sheet1!CM31</f>
        <v>0.78</v>
      </c>
      <c r="BU30" s="29">
        <f>Sheet1!CN31</f>
        <v>0.78</v>
      </c>
      <c r="BV30" s="29">
        <f>Sheet1!CO31</f>
        <v>0.78</v>
      </c>
      <c r="BW30" s="29">
        <f>Sheet1!CP31</f>
        <v>0.78</v>
      </c>
      <c r="BX30" s="29">
        <f>Sheet1!CQ31</f>
        <v>0.78</v>
      </c>
      <c r="BY30" s="29">
        <f>Sheet1!CR31</f>
        <v>0.78</v>
      </c>
      <c r="BZ30" s="29">
        <f>Sheet1!CS31</f>
        <v>0.78</v>
      </c>
      <c r="CA30" s="29">
        <f>Sheet1!CT31</f>
        <v>0.78</v>
      </c>
      <c r="CB30" s="29">
        <f>Sheet1!CU31</f>
        <v>0.75</v>
      </c>
      <c r="CC30" s="29">
        <f>Sheet1!CV31</f>
        <v>0.75</v>
      </c>
      <c r="CD30" s="29">
        <f>Sheet1!CW31</f>
        <v>0.75</v>
      </c>
      <c r="CE30" s="29">
        <f>Sheet1!CX31</f>
        <v>0.75</v>
      </c>
      <c r="CF30" s="29">
        <f>Sheet1!CY31</f>
        <v>0.75</v>
      </c>
      <c r="CG30" s="29">
        <f>Sheet1!CZ31</f>
        <v>0.75</v>
      </c>
      <c r="CH30" s="29">
        <f>Sheet1!DA31</f>
        <v>0.75</v>
      </c>
      <c r="CI30" s="29">
        <f>Sheet1!DB31</f>
        <v>0.75</v>
      </c>
      <c r="CJ30" s="29">
        <f>Sheet1!DC31</f>
        <v>0.75</v>
      </c>
      <c r="CK30" s="29">
        <f>Sheet1!DD31</f>
        <v>0.75</v>
      </c>
      <c r="CL30" s="29">
        <f>Sheet1!DE31</f>
        <v>0.75</v>
      </c>
      <c r="CM30" s="29">
        <f>Sheet1!DF31</f>
        <v>0.75</v>
      </c>
      <c r="CN30" s="29">
        <f>Sheet1!DG31</f>
        <v>0.75</v>
      </c>
      <c r="CO30" s="29">
        <f>Sheet1!DH31</f>
        <v>0.75</v>
      </c>
      <c r="CP30" s="29">
        <f>Sheet1!DI31</f>
        <v>0.79500000000000004</v>
      </c>
      <c r="CQ30" s="29">
        <f>Sheet1!DJ31</f>
        <v>0.79500000000000004</v>
      </c>
      <c r="CR30" s="29">
        <f>Sheet1!DK31</f>
        <v>0.79500000000000004</v>
      </c>
      <c r="CS30" s="29">
        <f>Sheet1!DL31</f>
        <v>0.76</v>
      </c>
      <c r="CT30" s="29">
        <f>Sheet1!DM31</f>
        <v>0.76</v>
      </c>
      <c r="CU30" s="29">
        <f>Sheet1!DN31</f>
        <v>0.76</v>
      </c>
      <c r="CV30" s="29">
        <f>Sheet1!DO31</f>
        <v>0.76</v>
      </c>
      <c r="CW30" s="29">
        <f>Sheet1!DP31</f>
        <v>0.755</v>
      </c>
      <c r="CX30" s="29">
        <f>Sheet1!DQ31</f>
        <v>0.755</v>
      </c>
      <c r="CY30" s="29">
        <f>Sheet1!DR31</f>
        <v>0.755</v>
      </c>
      <c r="CZ30" s="29">
        <f>Sheet1!DS31</f>
        <v>0.755</v>
      </c>
      <c r="DA30" s="29">
        <f>Sheet1!DT31</f>
        <v>0.755</v>
      </c>
      <c r="DB30" s="29">
        <f>Sheet1!DU31</f>
        <v>0.755</v>
      </c>
      <c r="DC30" s="29" t="s">
        <v>204</v>
      </c>
      <c r="DD30" s="29" t="s">
        <v>204</v>
      </c>
      <c r="DE30" s="23"/>
      <c r="DF30" s="23"/>
      <c r="DG30" s="23"/>
      <c r="DH30" s="23"/>
      <c r="DI30" s="23"/>
      <c r="DJ30" s="23"/>
      <c r="DK30" s="23"/>
      <c r="DL30" s="23"/>
      <c r="DM30" s="23"/>
      <c r="DN30" s="23"/>
      <c r="DO30" s="23"/>
      <c r="DP30" s="23"/>
      <c r="DQ30" s="23"/>
      <c r="DR30" s="23"/>
      <c r="DS30" s="23"/>
      <c r="DT30" s="23"/>
      <c r="DU30" s="23"/>
      <c r="DV30" s="23"/>
      <c r="DW30" s="23"/>
      <c r="DX30" s="23"/>
      <c r="DY30" s="23"/>
      <c r="DZ30" s="23"/>
      <c r="EA30" s="23"/>
      <c r="EB30" s="23"/>
      <c r="EC30" s="23"/>
      <c r="ED30" s="23"/>
      <c r="EE30" s="23"/>
      <c r="EF30" s="23"/>
      <c r="EG30" s="23"/>
      <c r="EH30" s="23"/>
      <c r="EI30" s="23"/>
      <c r="EJ30" s="23"/>
      <c r="EK30" s="23"/>
      <c r="EL30" s="23"/>
      <c r="EM30" s="23"/>
      <c r="EN30" s="23"/>
      <c r="EO30" s="23"/>
      <c r="EP30" s="23"/>
      <c r="EQ30" s="23"/>
      <c r="ER30" s="23"/>
      <c r="ES30" s="23"/>
      <c r="ET30" s="23"/>
      <c r="EU30" s="23"/>
      <c r="EV30" s="23"/>
      <c r="EW30" s="23"/>
      <c r="EX30" s="23"/>
      <c r="EY30" s="23"/>
      <c r="EZ30" s="23"/>
      <c r="FA30" s="23"/>
      <c r="FB30" s="23"/>
      <c r="FC30" s="23"/>
      <c r="FD30" s="23"/>
      <c r="FE30" s="23"/>
      <c r="FF30" s="23"/>
      <c r="FG30" s="23"/>
      <c r="FH30" s="23"/>
      <c r="FI30" s="23"/>
      <c r="FJ30" s="23"/>
      <c r="FK30" s="23"/>
      <c r="FL30" s="23" t="s">
        <v>204</v>
      </c>
      <c r="FM30" s="23" t="s">
        <v>204</v>
      </c>
      <c r="FN30" s="23" t="s">
        <v>204</v>
      </c>
      <c r="FO30" s="23" t="s">
        <v>204</v>
      </c>
      <c r="FP30" s="23" t="s">
        <v>204</v>
      </c>
    </row>
    <row r="31" spans="1:172">
      <c r="A31" s="4"/>
      <c r="B31" s="30" t="s">
        <v>225</v>
      </c>
      <c r="C31" s="21"/>
      <c r="D31" s="21"/>
      <c r="E31" s="15"/>
      <c r="F31" s="15"/>
      <c r="G31" s="15"/>
      <c r="H31" s="15"/>
      <c r="I31" s="15"/>
      <c r="J31" s="15"/>
      <c r="K31" s="15"/>
      <c r="L31" s="15"/>
      <c r="M31" s="15"/>
      <c r="N31" s="15"/>
      <c r="O31" s="15"/>
      <c r="P31" s="15"/>
      <c r="Q31" s="15"/>
      <c r="R31" s="15"/>
      <c r="S31" s="15"/>
      <c r="T31" s="15"/>
      <c r="U31" s="15"/>
      <c r="V31" s="15"/>
      <c r="W31" s="15"/>
      <c r="X31" s="15"/>
      <c r="Y31" s="15"/>
      <c r="Z31" s="15"/>
      <c r="AA31" s="19"/>
      <c r="AB31" s="19"/>
      <c r="AC31" s="19"/>
      <c r="AD31" s="19"/>
      <c r="AE31" s="19"/>
      <c r="AF31" s="29"/>
      <c r="AG31" s="29"/>
      <c r="AH31" s="29"/>
      <c r="AI31" s="29"/>
      <c r="AJ31" s="29"/>
      <c r="AK31" s="29"/>
      <c r="AL31" s="29"/>
      <c r="AM31" s="29"/>
      <c r="AN31" s="29"/>
      <c r="AO31" s="29"/>
      <c r="AP31" s="29"/>
      <c r="AQ31" s="29"/>
      <c r="AR31" s="29"/>
      <c r="AS31" s="29"/>
      <c r="AT31" s="29"/>
      <c r="AU31" s="29"/>
      <c r="AV31" s="29"/>
      <c r="AW31" s="29"/>
      <c r="AX31" s="29"/>
      <c r="AY31" s="29"/>
      <c r="AZ31" s="29"/>
      <c r="BA31" s="29"/>
      <c r="BB31" s="29"/>
      <c r="BC31" s="29"/>
      <c r="BD31" s="29"/>
      <c r="BE31" s="29"/>
      <c r="BF31" s="29"/>
      <c r="BG31" s="29"/>
      <c r="BH31" s="29"/>
      <c r="BI31" s="29"/>
      <c r="BJ31" s="29"/>
      <c r="BK31" s="29"/>
      <c r="BL31" s="29"/>
      <c r="BM31" s="29"/>
      <c r="BN31" s="29"/>
      <c r="BO31" s="29"/>
      <c r="BP31" s="29"/>
      <c r="BQ31" s="29"/>
      <c r="BR31" s="29"/>
      <c r="BS31" s="29"/>
      <c r="BT31" s="29"/>
      <c r="BU31" s="29"/>
      <c r="BV31" s="29"/>
      <c r="BW31" s="29"/>
      <c r="BX31" s="29"/>
      <c r="BY31" s="29"/>
      <c r="BZ31" s="29"/>
      <c r="CA31" s="29"/>
      <c r="CB31" s="29"/>
      <c r="CC31" s="29"/>
      <c r="CD31" s="29"/>
      <c r="CE31" s="29"/>
      <c r="CF31" s="29"/>
      <c r="CG31" s="29"/>
      <c r="CH31" s="29"/>
      <c r="CI31" s="29"/>
      <c r="CJ31" s="29"/>
      <c r="CK31" s="29"/>
      <c r="CL31" s="29"/>
      <c r="CM31" s="29"/>
      <c r="CN31" s="29"/>
      <c r="CO31" s="29"/>
      <c r="CP31" s="29"/>
      <c r="CQ31" s="29"/>
      <c r="CR31" s="29"/>
      <c r="CS31" s="29"/>
      <c r="CT31" s="29"/>
      <c r="CU31" s="29"/>
      <c r="CV31" s="29"/>
      <c r="CW31" s="29"/>
      <c r="CX31" s="29"/>
      <c r="CY31" s="29"/>
      <c r="CZ31" s="29"/>
      <c r="DA31" s="23"/>
      <c r="DB31" s="29">
        <f>Sheet1!DU32</f>
        <v>0.78</v>
      </c>
      <c r="DC31" s="29">
        <f>Sheet1!DV32</f>
        <v>0.78</v>
      </c>
      <c r="DD31" s="29">
        <f>Sheet1!DW32</f>
        <v>0.78</v>
      </c>
      <c r="DE31" s="29">
        <f>Sheet1!DX32</f>
        <v>0.78</v>
      </c>
      <c r="DF31" s="29">
        <f>Sheet1!DY32</f>
        <v>0.78</v>
      </c>
      <c r="DG31" s="29">
        <f>Sheet1!DZ32</f>
        <v>0.78500000000000003</v>
      </c>
      <c r="DH31" s="29">
        <f>Sheet1!EA32</f>
        <v>0.78500000000000003</v>
      </c>
      <c r="DI31" s="29">
        <f>Sheet1!EB32</f>
        <v>0.79</v>
      </c>
      <c r="DJ31" s="29">
        <f>Sheet1!EC32</f>
        <v>0.79</v>
      </c>
      <c r="DK31" s="29">
        <f>Sheet1!ED32</f>
        <v>0.79</v>
      </c>
      <c r="DL31" s="29">
        <f>Sheet1!EE32</f>
        <v>0.79</v>
      </c>
      <c r="DM31" s="29">
        <f>Sheet1!EF32</f>
        <v>0.79</v>
      </c>
      <c r="DN31" s="29">
        <f>Sheet1!EG32</f>
        <v>0.79</v>
      </c>
      <c r="DO31" s="29">
        <f>Sheet1!EH32</f>
        <v>0.79</v>
      </c>
      <c r="DP31" s="29">
        <f>Sheet1!EI32</f>
        <v>0.79</v>
      </c>
      <c r="DQ31" s="29">
        <f>Sheet1!EJ32</f>
        <v>0.79</v>
      </c>
      <c r="DR31" s="29">
        <f>Sheet1!EK32</f>
        <v>0.79</v>
      </c>
      <c r="DS31" s="29">
        <f>Sheet1!EL32</f>
        <v>0.79</v>
      </c>
      <c r="DT31" s="29">
        <f>Sheet1!EM32</f>
        <v>0.79</v>
      </c>
      <c r="DU31" s="29">
        <f>Sheet1!EN32</f>
        <v>0.79</v>
      </c>
      <c r="DV31" s="29">
        <f>Sheet1!EO32</f>
        <v>0.78500000000000003</v>
      </c>
      <c r="DW31" s="29">
        <f>Sheet1!EP32</f>
        <v>0.78500000000000003</v>
      </c>
      <c r="DX31" s="29">
        <f>Sheet1!EQ32</f>
        <v>0.78500000000000003</v>
      </c>
      <c r="DY31" s="29">
        <f>Sheet1!ER32</f>
        <v>0.78</v>
      </c>
      <c r="DZ31" s="29">
        <f>Sheet1!ES32</f>
        <v>0.78</v>
      </c>
      <c r="EA31" s="29">
        <f>Sheet1!ET32</f>
        <v>0.78</v>
      </c>
      <c r="EB31" s="29">
        <f>Sheet1!EU32</f>
        <v>0.78</v>
      </c>
      <c r="EC31" s="29">
        <f>Sheet1!EV32</f>
        <v>0.78</v>
      </c>
      <c r="ED31" s="29">
        <f>Sheet1!EW32</f>
        <v>0.78</v>
      </c>
      <c r="EE31" s="29">
        <f>Sheet1!EX32</f>
        <v>0.83</v>
      </c>
      <c r="EF31" s="29">
        <f>Sheet1!EY32</f>
        <v>0.83</v>
      </c>
      <c r="EG31" s="29">
        <f>Sheet1!EZ32</f>
        <v>0.83</v>
      </c>
      <c r="EH31" s="29">
        <f>Sheet1!FA32</f>
        <v>0.83</v>
      </c>
      <c r="EI31" s="29">
        <f>Sheet1!FB32</f>
        <v>0.83</v>
      </c>
      <c r="EJ31" s="29">
        <f>Sheet1!FC32</f>
        <v>0.9</v>
      </c>
      <c r="EK31" s="29">
        <f>Sheet1!FD32</f>
        <v>0.9</v>
      </c>
      <c r="EL31" s="29">
        <f>Sheet1!FE32</f>
        <v>0.9</v>
      </c>
      <c r="EM31" s="29">
        <f>Sheet1!FF32</f>
        <v>0.9</v>
      </c>
      <c r="EN31" s="29">
        <f>Sheet1!FG32</f>
        <v>0.88</v>
      </c>
      <c r="EO31" s="29">
        <f>Sheet1!FH32</f>
        <v>0.87</v>
      </c>
      <c r="EP31" s="29">
        <f>Sheet1!FI32</f>
        <v>0.86</v>
      </c>
      <c r="EQ31" s="29">
        <f>Sheet1!FJ32</f>
        <v>0.86</v>
      </c>
      <c r="ER31" s="29">
        <f>Sheet1!FK32</f>
        <v>0.84499999999999997</v>
      </c>
      <c r="ES31" s="29">
        <f>Sheet1!FL32</f>
        <v>0.84499999999999997</v>
      </c>
      <c r="ET31" s="29">
        <f>Sheet1!FM32</f>
        <v>0.84499999999999997</v>
      </c>
      <c r="EU31" s="29">
        <f>Sheet1!FN32</f>
        <v>0.84499999999999997</v>
      </c>
      <c r="EV31" s="29">
        <f>Sheet1!FO32</f>
        <v>0.84499999999999997</v>
      </c>
      <c r="EW31" s="29">
        <f>Sheet1!FP32</f>
        <v>0.84499999999999997</v>
      </c>
      <c r="EX31" s="29">
        <f>Sheet1!FQ32</f>
        <v>0.84499999999999997</v>
      </c>
      <c r="EY31" s="29">
        <f>Sheet1!FR32</f>
        <v>0.83</v>
      </c>
      <c r="EZ31" s="29">
        <f>Sheet1!FS32</f>
        <v>0.83</v>
      </c>
      <c r="FA31" s="29">
        <f>Sheet1!FT32</f>
        <v>0.83</v>
      </c>
      <c r="FB31" s="29">
        <f>Sheet1!FU32</f>
        <v>0.83</v>
      </c>
      <c r="FC31" s="29">
        <f>Sheet1!FV32</f>
        <v>0.83</v>
      </c>
      <c r="FD31" s="29">
        <f>Sheet1!FW32</f>
        <v>0.83</v>
      </c>
      <c r="FE31" s="29">
        <f>Sheet1!FX32</f>
        <v>0.83</v>
      </c>
      <c r="FF31" s="29">
        <f>Sheet1!FY32</f>
        <v>0.83</v>
      </c>
      <c r="FG31" s="29">
        <f>Sheet1!FZ32</f>
        <v>0.83</v>
      </c>
      <c r="FH31" s="29">
        <f>Sheet1!GA32</f>
        <v>0.83</v>
      </c>
      <c r="FI31" s="29">
        <f>Sheet1!GB32</f>
        <v>0.83</v>
      </c>
      <c r="FJ31" s="29">
        <f>Sheet1!GC32</f>
        <v>0.83</v>
      </c>
      <c r="FK31" s="29">
        <f>Sheet1!GD32</f>
        <v>0.83</v>
      </c>
      <c r="FL31" s="29">
        <f>Sheet1!GE32</f>
        <v>0.83</v>
      </c>
      <c r="FM31" s="29">
        <f>Sheet1!GF32</f>
        <v>0.83</v>
      </c>
      <c r="FN31" s="23">
        <f>Sheet1!GG32</f>
        <v>0</v>
      </c>
      <c r="FO31" s="23">
        <f>Sheet1!GH32</f>
        <v>0</v>
      </c>
      <c r="FP31" s="23">
        <f>Sheet1!GI32</f>
        <v>6.4102564102564088</v>
      </c>
    </row>
    <row r="32" spans="1:172">
      <c r="A32" s="4"/>
      <c r="B32" s="30" t="s">
        <v>249</v>
      </c>
      <c r="C32" s="21"/>
      <c r="D32" s="21"/>
      <c r="E32" s="15"/>
      <c r="F32" s="15"/>
      <c r="G32" s="15"/>
      <c r="H32" s="15"/>
      <c r="I32" s="15"/>
      <c r="J32" s="15"/>
      <c r="K32" s="15"/>
      <c r="L32" s="15"/>
      <c r="M32" s="15"/>
      <c r="N32" s="15"/>
      <c r="O32" s="15"/>
      <c r="P32" s="15"/>
      <c r="Q32" s="15"/>
      <c r="R32" s="15"/>
      <c r="S32" s="15"/>
      <c r="T32" s="15"/>
      <c r="U32" s="15"/>
      <c r="V32" s="15"/>
      <c r="W32" s="15"/>
      <c r="X32" s="15"/>
      <c r="Y32" s="15"/>
      <c r="Z32" s="15"/>
      <c r="AA32" s="19"/>
      <c r="AB32" s="19"/>
      <c r="AC32" s="19"/>
      <c r="AD32" s="19"/>
      <c r="AE32" s="19"/>
      <c r="AF32" s="29"/>
      <c r="AG32" s="29"/>
      <c r="AH32" s="29"/>
      <c r="AI32" s="29"/>
      <c r="AJ32" s="29"/>
      <c r="AK32" s="29"/>
      <c r="AL32" s="29"/>
      <c r="AM32" s="29"/>
      <c r="AN32" s="29"/>
      <c r="AO32" s="29"/>
      <c r="AP32" s="29"/>
      <c r="AQ32" s="29"/>
      <c r="AR32" s="29"/>
      <c r="AS32" s="29"/>
      <c r="AT32" s="29"/>
      <c r="AU32" s="29"/>
      <c r="AV32" s="29"/>
      <c r="AW32" s="29"/>
      <c r="AX32" s="29"/>
      <c r="AY32" s="29"/>
      <c r="AZ32" s="29"/>
      <c r="BA32" s="29"/>
      <c r="BB32" s="29"/>
      <c r="BC32" s="29"/>
      <c r="BD32" s="29"/>
      <c r="BE32" s="29"/>
      <c r="BF32" s="29"/>
      <c r="BG32" s="29"/>
      <c r="BH32" s="29"/>
      <c r="BI32" s="29"/>
      <c r="BJ32" s="29"/>
      <c r="BK32" s="29"/>
      <c r="BL32" s="29"/>
      <c r="BM32" s="29"/>
      <c r="BN32" s="29"/>
      <c r="BO32" s="29"/>
      <c r="BP32" s="29"/>
      <c r="BQ32" s="29"/>
      <c r="BR32" s="29"/>
      <c r="BS32" s="29"/>
      <c r="BT32" s="29"/>
      <c r="BU32" s="29"/>
      <c r="BV32" s="29"/>
      <c r="BW32" s="29"/>
      <c r="BX32" s="29"/>
      <c r="BY32" s="29"/>
      <c r="BZ32" s="29"/>
      <c r="CA32" s="29"/>
      <c r="CB32" s="29"/>
      <c r="CC32" s="29"/>
      <c r="CD32" s="29"/>
      <c r="CE32" s="29"/>
      <c r="CF32" s="29"/>
      <c r="CG32" s="29"/>
      <c r="CH32" s="29"/>
      <c r="CI32" s="29"/>
      <c r="CJ32" s="29"/>
      <c r="CK32" s="29"/>
      <c r="CL32" s="29"/>
      <c r="CM32" s="29"/>
      <c r="CN32" s="29"/>
      <c r="CO32" s="29"/>
      <c r="CP32" s="29">
        <f>Sheet1!DI33</f>
        <v>0.87</v>
      </c>
      <c r="CQ32" s="29">
        <f>Sheet1!DJ33</f>
        <v>0.87</v>
      </c>
      <c r="CR32" s="29">
        <f>Sheet1!DK33</f>
        <v>0.87</v>
      </c>
      <c r="CS32" s="29">
        <f>Sheet1!DL33</f>
        <v>0.87</v>
      </c>
      <c r="CT32" s="29">
        <f>Sheet1!DM33</f>
        <v>0.83</v>
      </c>
      <c r="CU32" s="29">
        <f>Sheet1!DN33</f>
        <v>0.83</v>
      </c>
      <c r="CV32" s="29">
        <f>Sheet1!DO33</f>
        <v>0.83</v>
      </c>
      <c r="CW32" s="29">
        <f>Sheet1!DP33</f>
        <v>0.78</v>
      </c>
      <c r="CX32" s="29">
        <f>Sheet1!DQ33</f>
        <v>0.78</v>
      </c>
      <c r="CY32" s="29">
        <f>Sheet1!DR33</f>
        <v>0.78</v>
      </c>
      <c r="CZ32" s="29">
        <f>Sheet1!DS33</f>
        <v>0.78</v>
      </c>
      <c r="DA32" s="29">
        <f>Sheet1!DT33</f>
        <v>0.78</v>
      </c>
      <c r="DB32" s="29">
        <f>Sheet1!DU33</f>
        <v>0.78</v>
      </c>
      <c r="DC32" s="29">
        <f>Sheet1!DV33</f>
        <v>0.78</v>
      </c>
      <c r="DD32" s="29">
        <f>Sheet1!DW33</f>
        <v>0.78</v>
      </c>
      <c r="DE32" s="29">
        <f>Sheet1!DX33</f>
        <v>0.78</v>
      </c>
      <c r="DF32" s="29">
        <f>Sheet1!DY33</f>
        <v>0.78</v>
      </c>
      <c r="DG32" s="29">
        <f>Sheet1!DZ33</f>
        <v>0.79</v>
      </c>
      <c r="DH32" s="29">
        <f>Sheet1!EA33</f>
        <v>0.79</v>
      </c>
      <c r="DI32" s="29">
        <f>Sheet1!EB33</f>
        <v>0.79</v>
      </c>
      <c r="DJ32" s="29">
        <f>Sheet1!EC33</f>
        <v>0.79</v>
      </c>
      <c r="DK32" s="29">
        <f>Sheet1!ED33</f>
        <v>0.79</v>
      </c>
      <c r="DL32" s="29">
        <f>Sheet1!EE33</f>
        <v>0.79</v>
      </c>
      <c r="DM32" s="29">
        <f>Sheet1!EF33</f>
        <v>0.79</v>
      </c>
      <c r="DN32" s="29">
        <f>Sheet1!EG33</f>
        <v>0.79</v>
      </c>
      <c r="DO32" s="29">
        <f>Sheet1!EH33</f>
        <v>0.79</v>
      </c>
      <c r="DP32" s="29">
        <f>Sheet1!EI33</f>
        <v>0.79</v>
      </c>
      <c r="DQ32" s="29">
        <f>Sheet1!EJ33</f>
        <v>0.79</v>
      </c>
      <c r="DR32" s="29">
        <f>Sheet1!EK33</f>
        <v>0.79</v>
      </c>
      <c r="DS32" s="29">
        <f>Sheet1!EL33</f>
        <v>0.79</v>
      </c>
      <c r="DT32" s="29">
        <f>Sheet1!EM33</f>
        <v>0.79</v>
      </c>
      <c r="DU32" s="29">
        <f>Sheet1!EN33</f>
        <v>0.79</v>
      </c>
      <c r="DV32" s="29">
        <f>Sheet1!EO33</f>
        <v>0.78</v>
      </c>
      <c r="DW32" s="29">
        <f>Sheet1!EP33</f>
        <v>0.78</v>
      </c>
      <c r="DX32" s="29">
        <f>Sheet1!EQ33</f>
        <v>0.78</v>
      </c>
      <c r="DY32" s="29">
        <f>Sheet1!ER33</f>
        <v>0.76</v>
      </c>
      <c r="DZ32" s="29">
        <f>Sheet1!ES33</f>
        <v>0.76</v>
      </c>
      <c r="EA32" s="29">
        <f>Sheet1!ET33</f>
        <v>0.76</v>
      </c>
      <c r="EB32" s="29">
        <f>Sheet1!EU33</f>
        <v>0.76</v>
      </c>
      <c r="EC32" s="29">
        <f>Sheet1!EV33</f>
        <v>0.76</v>
      </c>
      <c r="ED32" s="29">
        <f>Sheet1!EW33</f>
        <v>0.76</v>
      </c>
      <c r="EE32" s="29">
        <f>Sheet1!EX33</f>
        <v>0.83</v>
      </c>
      <c r="EF32" s="29">
        <f>Sheet1!EY33</f>
        <v>0.83</v>
      </c>
      <c r="EG32" s="29">
        <f>Sheet1!EZ33</f>
        <v>0.83</v>
      </c>
      <c r="EH32" s="29">
        <f>Sheet1!FA33</f>
        <v>0.83</v>
      </c>
      <c r="EI32" s="29">
        <f>Sheet1!FB33</f>
        <v>0.83</v>
      </c>
      <c r="EJ32" s="29">
        <f>Sheet1!FC33</f>
        <v>0.9</v>
      </c>
      <c r="EK32" s="29">
        <f>Sheet1!FD33</f>
        <v>0.9</v>
      </c>
      <c r="EL32" s="29">
        <f>Sheet1!FE33</f>
        <v>0.9</v>
      </c>
      <c r="EM32" s="29">
        <f>Sheet1!FF33</f>
        <v>0.9</v>
      </c>
      <c r="EN32" s="29">
        <f>Sheet1!FG33</f>
        <v>0.88</v>
      </c>
      <c r="EO32" s="29">
        <f>Sheet1!FH33</f>
        <v>0.875</v>
      </c>
      <c r="EP32" s="29">
        <f>Sheet1!FI33</f>
        <v>0.86</v>
      </c>
      <c r="EQ32" s="29">
        <f>Sheet1!FJ33</f>
        <v>0.86</v>
      </c>
      <c r="ER32" s="29">
        <f>Sheet1!FK33</f>
        <v>0.84499999999999997</v>
      </c>
      <c r="ES32" s="29">
        <f>Sheet1!FL33</f>
        <v>0.84499999999999997</v>
      </c>
      <c r="ET32" s="29">
        <f>Sheet1!FM33</f>
        <v>0.84499999999999997</v>
      </c>
      <c r="EU32" s="29">
        <f>Sheet1!FN33</f>
        <v>0.84</v>
      </c>
      <c r="EV32" s="29">
        <f>Sheet1!FO33</f>
        <v>0.83</v>
      </c>
      <c r="EW32" s="29">
        <f>Sheet1!FP33</f>
        <v>0.83</v>
      </c>
      <c r="EX32" s="29">
        <f>Sheet1!FQ33</f>
        <v>0.83</v>
      </c>
      <c r="EY32" s="29">
        <f>Sheet1!FR33</f>
        <v>0.83</v>
      </c>
      <c r="EZ32" s="29">
        <f>Sheet1!FS33</f>
        <v>0.83</v>
      </c>
      <c r="FA32" s="29">
        <f>Sheet1!FT33</f>
        <v>0.83</v>
      </c>
      <c r="FB32" s="29">
        <f>Sheet1!FU33</f>
        <v>0.83</v>
      </c>
      <c r="FC32" s="29">
        <f>Sheet1!FV33</f>
        <v>0.83</v>
      </c>
      <c r="FD32" s="29">
        <f>Sheet1!FW33</f>
        <v>0.83</v>
      </c>
      <c r="FE32" s="29">
        <f>Sheet1!FX33</f>
        <v>0.83</v>
      </c>
      <c r="FF32" s="29">
        <f>Sheet1!FY33</f>
        <v>0.83</v>
      </c>
      <c r="FG32" s="29">
        <f>Sheet1!FZ33</f>
        <v>0.83</v>
      </c>
      <c r="FH32" s="29">
        <f>Sheet1!GA33</f>
        <v>0.83</v>
      </c>
      <c r="FI32" s="29">
        <f>Sheet1!GB33</f>
        <v>0.83</v>
      </c>
      <c r="FJ32" s="29">
        <f>Sheet1!GC33</f>
        <v>0.83</v>
      </c>
      <c r="FK32" s="29">
        <f>Sheet1!GD33</f>
        <v>0.83</v>
      </c>
      <c r="FL32" s="29">
        <f>Sheet1!GE33</f>
        <v>0.83</v>
      </c>
      <c r="FM32" s="29">
        <f>Sheet1!GF33</f>
        <v>0.81</v>
      </c>
      <c r="FN32" s="23">
        <f>Sheet1!GG33</f>
        <v>-2.409638554216869</v>
      </c>
      <c r="FO32" s="23">
        <f>Sheet1!GH33</f>
        <v>-0.60240963855421747</v>
      </c>
      <c r="FP32" s="23">
        <f>Sheet1!GI33</f>
        <v>6.5789473684210549</v>
      </c>
    </row>
    <row r="33" spans="1:183">
      <c r="A33" s="4"/>
      <c r="B33" s="30" t="s">
        <v>250</v>
      </c>
      <c r="C33" s="21"/>
      <c r="D33" s="21"/>
      <c r="E33" s="15"/>
      <c r="F33" s="15"/>
      <c r="G33" s="15"/>
      <c r="H33" s="15"/>
      <c r="I33" s="15"/>
      <c r="J33" s="15"/>
      <c r="K33" s="15"/>
      <c r="L33" s="15"/>
      <c r="M33" s="15"/>
      <c r="N33" s="15"/>
      <c r="O33" s="15"/>
      <c r="P33" s="15"/>
      <c r="Q33" s="15"/>
      <c r="R33" s="15"/>
      <c r="S33" s="15"/>
      <c r="T33" s="15"/>
      <c r="U33" s="15"/>
      <c r="V33" s="15"/>
      <c r="W33" s="15"/>
      <c r="X33" s="15"/>
      <c r="Y33" s="15"/>
      <c r="Z33" s="15"/>
      <c r="AA33" s="19"/>
      <c r="AB33" s="19"/>
      <c r="AC33" s="19"/>
      <c r="AD33" s="19"/>
      <c r="AE33" s="19"/>
      <c r="AF33" s="29"/>
      <c r="AG33" s="29"/>
      <c r="AH33" s="29"/>
      <c r="AI33" s="29"/>
      <c r="AJ33" s="29"/>
      <c r="AK33" s="29"/>
      <c r="AL33" s="29"/>
      <c r="AM33" s="29"/>
      <c r="AN33" s="29"/>
      <c r="AO33" s="29"/>
      <c r="AP33" s="29"/>
      <c r="AQ33" s="29"/>
      <c r="AR33" s="29"/>
      <c r="AS33" s="29"/>
      <c r="AT33" s="29"/>
      <c r="AU33" s="29"/>
      <c r="AV33" s="29"/>
      <c r="AW33" s="29"/>
      <c r="AX33" s="29"/>
      <c r="AY33" s="29"/>
      <c r="AZ33" s="29"/>
      <c r="BA33" s="29"/>
      <c r="BB33" s="29"/>
      <c r="BC33" s="29"/>
      <c r="BD33" s="29"/>
      <c r="BE33" s="29"/>
      <c r="BF33" s="29"/>
      <c r="BG33" s="29"/>
      <c r="BH33" s="29"/>
      <c r="BI33" s="29"/>
      <c r="BJ33" s="29"/>
      <c r="BK33" s="29"/>
      <c r="BL33" s="29"/>
      <c r="BM33" s="29"/>
      <c r="BN33" s="29"/>
      <c r="BO33" s="29"/>
      <c r="BP33" s="29"/>
      <c r="BQ33" s="29"/>
      <c r="BR33" s="29"/>
      <c r="BS33" s="29"/>
      <c r="BT33" s="29"/>
      <c r="BU33" s="29"/>
      <c r="BV33" s="29"/>
      <c r="BW33" s="29"/>
      <c r="BX33" s="29"/>
      <c r="BY33" s="29"/>
      <c r="BZ33" s="29"/>
      <c r="CA33" s="29"/>
      <c r="CB33" s="29"/>
      <c r="CC33" s="29"/>
      <c r="CD33" s="29"/>
      <c r="CE33" s="29"/>
      <c r="CF33" s="29"/>
      <c r="CG33" s="29"/>
      <c r="CH33" s="29"/>
      <c r="CI33" s="29"/>
      <c r="CJ33" s="29"/>
      <c r="CK33" s="29"/>
      <c r="CL33" s="29"/>
      <c r="CM33" s="29"/>
      <c r="CN33" s="29"/>
      <c r="CO33" s="29"/>
      <c r="CP33" s="29">
        <f>Sheet1!DI34</f>
        <v>0.80500000000000005</v>
      </c>
      <c r="CQ33" s="29">
        <f>Sheet1!DJ34</f>
        <v>0.80500000000000005</v>
      </c>
      <c r="CR33" s="29">
        <f>Sheet1!DK34</f>
        <v>0.80500000000000005</v>
      </c>
      <c r="CS33" s="29">
        <f>Sheet1!DL34</f>
        <v>0.80500000000000005</v>
      </c>
      <c r="CT33" s="29">
        <f>Sheet1!DM34</f>
        <v>0.8</v>
      </c>
      <c r="CU33" s="29">
        <f>Sheet1!DN34</f>
        <v>0.8</v>
      </c>
      <c r="CV33" s="29">
        <f>Sheet1!DO34</f>
        <v>0.8</v>
      </c>
      <c r="CW33" s="29">
        <f>Sheet1!DP34</f>
        <v>0.76</v>
      </c>
      <c r="CX33" s="29">
        <f>Sheet1!DQ34</f>
        <v>0.76</v>
      </c>
      <c r="CY33" s="29">
        <f>Sheet1!DR34</f>
        <v>0.76</v>
      </c>
      <c r="CZ33" s="29">
        <f>Sheet1!DS34</f>
        <v>0.76</v>
      </c>
      <c r="DA33" s="29">
        <f>Sheet1!DT34</f>
        <v>0.76</v>
      </c>
      <c r="DB33" s="29">
        <f>Sheet1!DU34</f>
        <v>0.76</v>
      </c>
      <c r="DC33" s="29">
        <f>Sheet1!DV34</f>
        <v>0.76</v>
      </c>
      <c r="DD33" s="29">
        <f>Sheet1!DW34</f>
        <v>0.76</v>
      </c>
      <c r="DE33" s="29">
        <f>Sheet1!DX34</f>
        <v>0.76</v>
      </c>
      <c r="DF33" s="29">
        <f>Sheet1!DY34</f>
        <v>0.76</v>
      </c>
      <c r="DG33" s="29">
        <f>Sheet1!DZ34</f>
        <v>0.76</v>
      </c>
      <c r="DH33" s="29">
        <f>Sheet1!EA34</f>
        <v>0.76</v>
      </c>
      <c r="DI33" s="29">
        <f>Sheet1!EB34</f>
        <v>0.76</v>
      </c>
      <c r="DJ33" s="29">
        <f>Sheet1!EC34</f>
        <v>0.76</v>
      </c>
      <c r="DK33" s="29">
        <f>Sheet1!ED34</f>
        <v>0.76</v>
      </c>
      <c r="DL33" s="29">
        <f>Sheet1!EE34</f>
        <v>0.76</v>
      </c>
      <c r="DM33" s="29">
        <f>Sheet1!EF34</f>
        <v>0.76</v>
      </c>
      <c r="DN33" s="29">
        <f>Sheet1!EG34</f>
        <v>0.76</v>
      </c>
      <c r="DO33" s="29">
        <f>Sheet1!EH34</f>
        <v>0.76</v>
      </c>
      <c r="DP33" s="29">
        <f>Sheet1!EI34</f>
        <v>0.76</v>
      </c>
      <c r="DQ33" s="29">
        <f>Sheet1!EJ34</f>
        <v>0.76</v>
      </c>
      <c r="DR33" s="29">
        <f>Sheet1!EK34</f>
        <v>0.76</v>
      </c>
      <c r="DS33" s="29">
        <f>Sheet1!EL34</f>
        <v>0.76</v>
      </c>
      <c r="DT33" s="29">
        <f>Sheet1!EM34</f>
        <v>0.76</v>
      </c>
      <c r="DU33" s="29">
        <f>Sheet1!EN34</f>
        <v>0.76</v>
      </c>
      <c r="DV33" s="29">
        <f>Sheet1!EO34</f>
        <v>0.76</v>
      </c>
      <c r="DW33" s="29">
        <f>Sheet1!EP34</f>
        <v>0.76</v>
      </c>
      <c r="DX33" s="29">
        <f>Sheet1!EQ34</f>
        <v>0.76</v>
      </c>
      <c r="DY33" s="29">
        <f>Sheet1!ER34</f>
        <v>0.76</v>
      </c>
      <c r="DZ33" s="29">
        <f>Sheet1!ES34</f>
        <v>0.75</v>
      </c>
      <c r="EA33" s="29">
        <f>Sheet1!ET34</f>
        <v>0.75</v>
      </c>
      <c r="EB33" s="29">
        <f>Sheet1!EU34</f>
        <v>0.75</v>
      </c>
      <c r="EC33" s="29">
        <f>Sheet1!EV34</f>
        <v>0.75</v>
      </c>
      <c r="ED33" s="29">
        <f>Sheet1!EW34</f>
        <v>0.75</v>
      </c>
      <c r="EE33" s="29">
        <f>Sheet1!EX34</f>
        <v>0.75</v>
      </c>
      <c r="EF33" s="29">
        <f>Sheet1!EY34</f>
        <v>0.75</v>
      </c>
      <c r="EG33" s="29">
        <f>Sheet1!EZ34</f>
        <v>0.82</v>
      </c>
      <c r="EH33" s="29">
        <f>Sheet1!FA34</f>
        <v>0.82</v>
      </c>
      <c r="EI33" s="29">
        <f>Sheet1!FB34</f>
        <v>0.82</v>
      </c>
      <c r="EJ33" s="29">
        <f>Sheet1!FC34</f>
        <v>0.82</v>
      </c>
      <c r="EK33" s="29">
        <f>Sheet1!FD34</f>
        <v>0.82</v>
      </c>
      <c r="EL33" s="29">
        <f>Sheet1!FE34</f>
        <v>0.82</v>
      </c>
      <c r="EM33" s="29">
        <f>Sheet1!FF34</f>
        <v>0.82</v>
      </c>
      <c r="EN33" s="29">
        <f>Sheet1!FG34</f>
        <v>0.82</v>
      </c>
      <c r="EO33" s="29">
        <f>Sheet1!FH34</f>
        <v>0.82</v>
      </c>
      <c r="EP33" s="29">
        <f>Sheet1!FI34</f>
        <v>0.82</v>
      </c>
      <c r="EQ33" s="29">
        <f>Sheet1!FJ34</f>
        <v>0.82</v>
      </c>
      <c r="ER33" s="29">
        <f>Sheet1!FK34</f>
        <v>0.79</v>
      </c>
      <c r="ES33" s="29">
        <f>Sheet1!FL34</f>
        <v>0.79</v>
      </c>
      <c r="ET33" s="29">
        <f>Sheet1!FM34</f>
        <v>0.79</v>
      </c>
      <c r="EU33" s="29">
        <f>Sheet1!FN34</f>
        <v>0.79</v>
      </c>
      <c r="EV33" s="29">
        <f>Sheet1!FO34</f>
        <v>0.79</v>
      </c>
      <c r="EW33" s="29">
        <f>Sheet1!FP34</f>
        <v>0.79</v>
      </c>
      <c r="EX33" s="29">
        <f>Sheet1!FQ34</f>
        <v>0.79</v>
      </c>
      <c r="EY33" s="29">
        <f>Sheet1!FR34</f>
        <v>0.79</v>
      </c>
      <c r="EZ33" s="29">
        <f>Sheet1!FS34</f>
        <v>0.79</v>
      </c>
      <c r="FA33" s="29">
        <f>Sheet1!FT34</f>
        <v>0.79</v>
      </c>
      <c r="FB33" s="29">
        <f>Sheet1!FU34</f>
        <v>0.79</v>
      </c>
      <c r="FC33" s="29">
        <f>Sheet1!FV34</f>
        <v>0.79</v>
      </c>
      <c r="FD33" s="29">
        <f>Sheet1!FW34</f>
        <v>0.79</v>
      </c>
      <c r="FE33" s="29">
        <f>Sheet1!FX34</f>
        <v>0.79</v>
      </c>
      <c r="FF33" s="29">
        <f>Sheet1!FY34</f>
        <v>0.79</v>
      </c>
      <c r="FG33" s="29">
        <f>Sheet1!FZ34</f>
        <v>0.79</v>
      </c>
      <c r="FH33" s="29">
        <f>Sheet1!GA34</f>
        <v>0.79</v>
      </c>
      <c r="FI33" s="29">
        <f>Sheet1!GB34</f>
        <v>0.79</v>
      </c>
      <c r="FJ33" s="29">
        <f>Sheet1!GC34</f>
        <v>0.79</v>
      </c>
      <c r="FK33" s="29">
        <f>Sheet1!GD34</f>
        <v>0.79</v>
      </c>
      <c r="FL33" s="29">
        <f>Sheet1!GE34</f>
        <v>0.79</v>
      </c>
      <c r="FM33" s="29">
        <f>Sheet1!GF34</f>
        <v>0.78</v>
      </c>
      <c r="FN33" s="23">
        <f>Sheet1!GG34</f>
        <v>-1.2658227848101262</v>
      </c>
      <c r="FO33" s="23">
        <f>Sheet1!GH34</f>
        <v>-0.31645569620252489</v>
      </c>
      <c r="FP33" s="23">
        <f>Sheet1!GI34</f>
        <v>4</v>
      </c>
    </row>
    <row r="34" spans="1:183">
      <c r="A34" s="4"/>
      <c r="B34" s="30" t="s">
        <v>251</v>
      </c>
      <c r="C34" s="21"/>
      <c r="D34" s="21"/>
      <c r="E34" s="15"/>
      <c r="F34" s="15"/>
      <c r="G34" s="15"/>
      <c r="H34" s="15"/>
      <c r="I34" s="15"/>
      <c r="J34" s="15"/>
      <c r="K34" s="15"/>
      <c r="L34" s="15"/>
      <c r="M34" s="15"/>
      <c r="N34" s="15"/>
      <c r="O34" s="15"/>
      <c r="P34" s="15"/>
      <c r="Q34" s="15"/>
      <c r="R34" s="15"/>
      <c r="S34" s="15"/>
      <c r="T34" s="15"/>
      <c r="U34" s="15"/>
      <c r="V34" s="15"/>
      <c r="W34" s="15"/>
      <c r="X34" s="15"/>
      <c r="Y34" s="15"/>
      <c r="Z34" s="15"/>
      <c r="AA34" s="19"/>
      <c r="AB34" s="19"/>
      <c r="AC34" s="19"/>
      <c r="AD34" s="19"/>
      <c r="AE34" s="19"/>
      <c r="AF34" s="29"/>
      <c r="AG34" s="29"/>
      <c r="AH34" s="29"/>
      <c r="AI34" s="29"/>
      <c r="AJ34" s="29"/>
      <c r="AK34" s="29"/>
      <c r="AL34" s="29"/>
      <c r="AM34" s="29"/>
      <c r="AN34" s="29"/>
      <c r="AO34" s="29"/>
      <c r="AP34" s="29"/>
      <c r="AQ34" s="29"/>
      <c r="AR34" s="29"/>
      <c r="AS34" s="29"/>
      <c r="AT34" s="29"/>
      <c r="AU34" s="29"/>
      <c r="AV34" s="29"/>
      <c r="AW34" s="29"/>
      <c r="AX34" s="29"/>
      <c r="AY34" s="29"/>
      <c r="AZ34" s="29"/>
      <c r="BA34" s="29"/>
      <c r="BB34" s="29"/>
      <c r="BC34" s="29"/>
      <c r="BD34" s="29"/>
      <c r="BE34" s="29"/>
      <c r="BF34" s="29"/>
      <c r="BG34" s="29"/>
      <c r="BH34" s="29"/>
      <c r="BI34" s="29"/>
      <c r="BJ34" s="29"/>
      <c r="BK34" s="29"/>
      <c r="BL34" s="29"/>
      <c r="BM34" s="29"/>
      <c r="BN34" s="29"/>
      <c r="BO34" s="29"/>
      <c r="BP34" s="29"/>
      <c r="BQ34" s="29"/>
      <c r="BR34" s="29"/>
      <c r="BS34" s="29"/>
      <c r="BT34" s="29"/>
      <c r="BU34" s="29"/>
      <c r="BV34" s="29"/>
      <c r="BW34" s="29"/>
      <c r="BX34" s="29"/>
      <c r="BY34" s="29"/>
      <c r="BZ34" s="29"/>
      <c r="CA34" s="29"/>
      <c r="CB34" s="29"/>
      <c r="CC34" s="29"/>
      <c r="CD34" s="29"/>
      <c r="CE34" s="29"/>
      <c r="CF34" s="29"/>
      <c r="CG34" s="29"/>
      <c r="CH34" s="29"/>
      <c r="CI34" s="29"/>
      <c r="CJ34" s="29"/>
      <c r="CK34" s="29"/>
      <c r="CL34" s="29"/>
      <c r="CM34" s="29"/>
      <c r="CN34" s="29"/>
      <c r="CO34" s="29"/>
      <c r="CP34" s="29"/>
      <c r="CQ34" s="29"/>
      <c r="CR34" s="29"/>
      <c r="CS34" s="29"/>
      <c r="CT34" s="29"/>
      <c r="CU34" s="29"/>
      <c r="CV34" s="29"/>
      <c r="CW34" s="29"/>
      <c r="CX34" s="29"/>
      <c r="CY34" s="29"/>
      <c r="CZ34" s="29"/>
      <c r="DA34" s="29"/>
      <c r="DB34" s="29">
        <f>Sheet1!DU36</f>
        <v>0.68</v>
      </c>
      <c r="DC34" s="29">
        <f>Sheet1!DV36</f>
        <v>0.68</v>
      </c>
      <c r="DD34" s="29">
        <f>Sheet1!DW36</f>
        <v>0.68</v>
      </c>
      <c r="DE34" s="29">
        <f>Sheet1!DX36</f>
        <v>0.68</v>
      </c>
      <c r="DF34" s="29">
        <f>Sheet1!DY36</f>
        <v>0.68500000000000005</v>
      </c>
      <c r="DG34" s="29">
        <f>Sheet1!DZ36</f>
        <v>0.70499999999999996</v>
      </c>
      <c r="DH34" s="29">
        <f>Sheet1!EA36</f>
        <v>0.70499999999999996</v>
      </c>
      <c r="DI34" s="29">
        <f>Sheet1!EB36</f>
        <v>0.72</v>
      </c>
      <c r="DJ34" s="29">
        <f>Sheet1!EC36</f>
        <v>0.71</v>
      </c>
      <c r="DK34" s="29">
        <f>Sheet1!ED36</f>
        <v>0.71</v>
      </c>
      <c r="DL34" s="29">
        <f>Sheet1!EE36</f>
        <v>0.71</v>
      </c>
      <c r="DM34" s="29">
        <f>Sheet1!EF36</f>
        <v>0.71</v>
      </c>
      <c r="DN34" s="29">
        <f>Sheet1!EG36</f>
        <v>0.71</v>
      </c>
      <c r="DO34" s="29">
        <f>Sheet1!EH36</f>
        <v>0.7</v>
      </c>
      <c r="DP34" s="29">
        <f>Sheet1!EI36</f>
        <v>0.68</v>
      </c>
      <c r="DQ34" s="29">
        <f>Sheet1!EJ36</f>
        <v>0.67800000000000005</v>
      </c>
      <c r="DR34" s="29">
        <f>Sheet1!EK36</f>
        <v>0.67800000000000005</v>
      </c>
      <c r="DS34" s="29">
        <f>Sheet1!EL36</f>
        <v>0.66500000000000004</v>
      </c>
      <c r="DT34" s="29">
        <f>Sheet1!EM36</f>
        <v>0.66500000000000004</v>
      </c>
      <c r="DU34" s="29">
        <f>Sheet1!EN36</f>
        <v>0.66500000000000004</v>
      </c>
      <c r="DV34" s="29">
        <f>Sheet1!EO36</f>
        <v>0.66</v>
      </c>
      <c r="DW34" s="29">
        <f>Sheet1!EP36</f>
        <v>0.66</v>
      </c>
      <c r="DX34" s="29">
        <f>Sheet1!EQ36</f>
        <v>0.66</v>
      </c>
      <c r="DY34" s="29">
        <f>Sheet1!ER36</f>
        <v>0.65500000000000003</v>
      </c>
      <c r="DZ34" s="29">
        <f>Sheet1!ES36</f>
        <v>0.65500000000000003</v>
      </c>
      <c r="EA34" s="29">
        <f>Sheet1!ET36</f>
        <v>0.65500000000000003</v>
      </c>
      <c r="EB34" s="29">
        <f>Sheet1!EU36</f>
        <v>0.65500000000000003</v>
      </c>
      <c r="EC34" s="29">
        <f>Sheet1!EV36</f>
        <v>0.65500000000000003</v>
      </c>
      <c r="ED34" s="29">
        <f>Sheet1!EW36</f>
        <v>0.66</v>
      </c>
      <c r="EE34" s="29">
        <f>Sheet1!EX36</f>
        <v>0.72</v>
      </c>
      <c r="EF34" s="29">
        <f>Sheet1!EY36</f>
        <v>0.74</v>
      </c>
      <c r="EG34" s="29">
        <f>Sheet1!EZ36</f>
        <v>0.78</v>
      </c>
      <c r="EH34" s="29">
        <f>Sheet1!FA36</f>
        <v>0.78</v>
      </c>
      <c r="EI34" s="29">
        <f>Sheet1!FB36</f>
        <v>0.78</v>
      </c>
      <c r="EJ34" s="29">
        <f>Sheet1!FC36</f>
        <v>0.86</v>
      </c>
      <c r="EK34" s="29">
        <f>Sheet1!FD36</f>
        <v>0.86</v>
      </c>
      <c r="EL34" s="29">
        <f>Sheet1!FE36</f>
        <v>0.84</v>
      </c>
      <c r="EM34" s="29">
        <f>Sheet1!FF36</f>
        <v>0.79500000000000004</v>
      </c>
      <c r="EN34" s="29">
        <f>Sheet1!FG36</f>
        <v>0.79</v>
      </c>
      <c r="EO34" s="29">
        <f>Sheet1!FH36</f>
        <v>0.77</v>
      </c>
      <c r="EP34" s="29">
        <f>Sheet1!FI36</f>
        <v>0.76</v>
      </c>
      <c r="EQ34" s="29">
        <f>Sheet1!FJ36</f>
        <v>0.76</v>
      </c>
      <c r="ER34" s="29">
        <f>Sheet1!FK36</f>
        <v>0.75800000000000001</v>
      </c>
      <c r="ES34" s="29">
        <f>Sheet1!FL36</f>
        <v>0.75800000000000001</v>
      </c>
      <c r="ET34" s="29">
        <f>Sheet1!FM36</f>
        <v>0.755</v>
      </c>
      <c r="EU34" s="29">
        <f>Sheet1!FN36</f>
        <v>0.75</v>
      </c>
      <c r="EV34" s="29">
        <f>Sheet1!FO36</f>
        <v>0.75</v>
      </c>
      <c r="EW34" s="29">
        <f>Sheet1!FP36</f>
        <v>0.745</v>
      </c>
      <c r="EX34" s="29">
        <f>Sheet1!FQ36</f>
        <v>0.745</v>
      </c>
      <c r="EY34" s="29">
        <f>Sheet1!FR36</f>
        <v>0.73</v>
      </c>
      <c r="EZ34" s="29">
        <f>Sheet1!FS36</f>
        <v>0.73</v>
      </c>
      <c r="FA34" s="29">
        <f>Sheet1!FT36</f>
        <v>0.72</v>
      </c>
      <c r="FB34" s="29">
        <f>Sheet1!FU36</f>
        <v>0.71499999999999997</v>
      </c>
      <c r="FC34" s="29">
        <f>Sheet1!FV36</f>
        <v>0.71499999999999997</v>
      </c>
      <c r="FD34" s="29">
        <f>Sheet1!FW36</f>
        <v>0.71499999999999997</v>
      </c>
      <c r="FE34" s="29">
        <f>Sheet1!FX36</f>
        <v>0.71499999999999997</v>
      </c>
      <c r="FF34" s="29">
        <f>Sheet1!FY36</f>
        <v>0.71499999999999997</v>
      </c>
      <c r="FG34" s="29">
        <f>Sheet1!FZ36</f>
        <v>0.69</v>
      </c>
      <c r="FH34" s="29">
        <f>Sheet1!GA36</f>
        <v>0.69</v>
      </c>
      <c r="FI34" s="29">
        <f>Sheet1!GB36</f>
        <v>0.69</v>
      </c>
      <c r="FJ34" s="29">
        <f>Sheet1!GC36</f>
        <v>0.69</v>
      </c>
      <c r="FK34" s="29">
        <f>Sheet1!GD36</f>
        <v>0.69</v>
      </c>
      <c r="FL34" s="29">
        <f>Sheet1!GE36</f>
        <v>0.67</v>
      </c>
      <c r="FM34" s="29">
        <f>Sheet1!GF36</f>
        <v>0.67</v>
      </c>
      <c r="FN34" s="23">
        <f>Sheet1!GG36</f>
        <v>0</v>
      </c>
      <c r="FO34" s="23">
        <f>Sheet1!GH36</f>
        <v>-2.3339317773788131</v>
      </c>
      <c r="FP34" s="23">
        <f>Sheet1!GI36</f>
        <v>1.5151515151515156</v>
      </c>
    </row>
    <row r="35" spans="1:183">
      <c r="A35" s="4"/>
      <c r="B35" s="30" t="s">
        <v>229</v>
      </c>
      <c r="C35" s="21"/>
      <c r="D35" s="21"/>
      <c r="E35" s="15"/>
      <c r="F35" s="15"/>
      <c r="G35" s="15"/>
      <c r="H35" s="15"/>
      <c r="I35" s="15"/>
      <c r="J35" s="15"/>
      <c r="K35" s="15"/>
      <c r="L35" s="15"/>
      <c r="M35" s="15"/>
      <c r="N35" s="15"/>
      <c r="O35" s="15"/>
      <c r="P35" s="15"/>
      <c r="Q35" s="15"/>
      <c r="R35" s="15"/>
      <c r="S35" s="15"/>
      <c r="T35" s="15"/>
      <c r="U35" s="15"/>
      <c r="V35" s="15"/>
      <c r="W35" s="15"/>
      <c r="X35" s="15"/>
      <c r="Y35" s="15"/>
      <c r="Z35" s="15"/>
      <c r="AA35" s="19"/>
      <c r="AB35" s="19"/>
      <c r="AC35" s="19"/>
      <c r="AD35" s="19"/>
      <c r="AE35" s="19"/>
      <c r="AF35" s="29"/>
      <c r="AG35" s="29"/>
      <c r="AH35" s="29"/>
      <c r="AI35" s="29"/>
      <c r="AJ35" s="29"/>
      <c r="AK35" s="29"/>
      <c r="AL35" s="29"/>
      <c r="AM35" s="29"/>
      <c r="AN35" s="29"/>
      <c r="AO35" s="29"/>
      <c r="AP35" s="29"/>
      <c r="AQ35" s="29"/>
      <c r="AR35" s="29"/>
      <c r="AS35" s="29"/>
      <c r="AT35" s="29"/>
      <c r="AU35" s="29"/>
      <c r="AV35" s="29"/>
      <c r="AW35" s="29"/>
      <c r="AX35" s="29"/>
      <c r="AY35" s="29"/>
      <c r="AZ35" s="29"/>
      <c r="BA35" s="29"/>
      <c r="BB35" s="29"/>
      <c r="BC35" s="29"/>
      <c r="BD35" s="29"/>
      <c r="BE35" s="29"/>
      <c r="BF35" s="29"/>
      <c r="BG35" s="29"/>
      <c r="BH35" s="29"/>
      <c r="BI35" s="29"/>
      <c r="BJ35" s="29"/>
      <c r="BK35" s="29"/>
      <c r="BL35" s="29"/>
      <c r="BM35" s="29"/>
      <c r="BN35" s="29"/>
      <c r="BO35" s="29"/>
      <c r="BP35" s="29"/>
      <c r="BQ35" s="29"/>
      <c r="BR35" s="29"/>
      <c r="BS35" s="29"/>
      <c r="BT35" s="29"/>
      <c r="BU35" s="29"/>
      <c r="BV35" s="29"/>
      <c r="BW35" s="29"/>
      <c r="BX35" s="29"/>
      <c r="BY35" s="29"/>
      <c r="BZ35" s="29"/>
      <c r="CA35" s="29"/>
      <c r="CB35" s="29"/>
      <c r="CC35" s="29"/>
      <c r="CD35" s="29"/>
      <c r="CE35" s="29"/>
      <c r="CF35" s="29"/>
      <c r="CG35" s="29"/>
      <c r="CH35" s="29"/>
      <c r="CI35" s="29"/>
      <c r="CJ35" s="29"/>
      <c r="CK35" s="29"/>
      <c r="CL35" s="29"/>
      <c r="CM35" s="29"/>
      <c r="CN35" s="29"/>
      <c r="CO35" s="29"/>
      <c r="CP35" s="29"/>
      <c r="CQ35" s="29"/>
      <c r="CR35" s="29"/>
      <c r="CS35" s="29"/>
      <c r="CT35" s="29"/>
      <c r="CU35" s="29"/>
      <c r="CV35" s="29"/>
      <c r="CW35" s="29"/>
      <c r="CX35" s="29"/>
      <c r="CY35" s="29">
        <f>Sheet1!DR37</f>
        <v>0.68</v>
      </c>
      <c r="CZ35" s="29">
        <f>Sheet1!DS37</f>
        <v>0.69</v>
      </c>
      <c r="DA35" s="29">
        <f>Sheet1!DT37</f>
        <v>0.69</v>
      </c>
      <c r="DB35" s="29">
        <f>Sheet1!DU37</f>
        <v>0.69</v>
      </c>
      <c r="DC35" s="29">
        <f>Sheet1!DV37</f>
        <v>0.69</v>
      </c>
      <c r="DD35" s="29">
        <f>Sheet1!DW37</f>
        <v>0.69</v>
      </c>
      <c r="DE35" s="29">
        <f>Sheet1!DX37</f>
        <v>0.69</v>
      </c>
      <c r="DF35" s="29">
        <f>Sheet1!DY37</f>
        <v>0.69499999999999995</v>
      </c>
      <c r="DG35" s="29">
        <f>Sheet1!DZ37</f>
        <v>0.7</v>
      </c>
      <c r="DH35" s="29">
        <f>Sheet1!EA37</f>
        <v>0.7</v>
      </c>
      <c r="DI35" s="29">
        <f>Sheet1!EB37</f>
        <v>0.7</v>
      </c>
      <c r="DJ35" s="29">
        <f>Sheet1!EC37</f>
        <v>0.69499999999999995</v>
      </c>
      <c r="DK35" s="29">
        <f>Sheet1!ED37</f>
        <v>0.69499999999999995</v>
      </c>
      <c r="DL35" s="29">
        <f>Sheet1!EE37</f>
        <v>0.69499999999999995</v>
      </c>
      <c r="DM35" s="29">
        <f>Sheet1!EF37</f>
        <v>0.69499999999999995</v>
      </c>
      <c r="DN35" s="29">
        <f>Sheet1!EG37</f>
        <v>0.69499999999999995</v>
      </c>
      <c r="DO35" s="29">
        <f>Sheet1!EH37</f>
        <v>0.69</v>
      </c>
      <c r="DP35" s="29">
        <f>Sheet1!EI37</f>
        <v>0.68500000000000005</v>
      </c>
      <c r="DQ35" s="29">
        <f>Sheet1!EJ37</f>
        <v>0.68500000000000005</v>
      </c>
      <c r="DR35" s="29">
        <f>Sheet1!EK37</f>
        <v>0.68500000000000005</v>
      </c>
      <c r="DS35" s="29">
        <f>Sheet1!EL37</f>
        <v>0.68500000000000005</v>
      </c>
      <c r="DT35" s="29">
        <f>Sheet1!EM37</f>
        <v>0.68500000000000005</v>
      </c>
      <c r="DU35" s="29">
        <f>Sheet1!EN37</f>
        <v>0.68500000000000005</v>
      </c>
      <c r="DV35" s="29">
        <f>Sheet1!EO37</f>
        <v>0.68500000000000005</v>
      </c>
      <c r="DW35" s="29">
        <f>Sheet1!EP37</f>
        <v>0.68500000000000005</v>
      </c>
      <c r="DX35" s="29">
        <f>Sheet1!EQ37</f>
        <v>0.68500000000000005</v>
      </c>
      <c r="DY35" s="29">
        <f>Sheet1!ER37</f>
        <v>0.68500000000000005</v>
      </c>
      <c r="DZ35" s="29">
        <f>Sheet1!ES37</f>
        <v>0.68500000000000005</v>
      </c>
      <c r="EA35" s="29">
        <f>Sheet1!ET37</f>
        <v>0.68500000000000005</v>
      </c>
      <c r="EB35" s="29">
        <f>Sheet1!EU37</f>
        <v>0.68500000000000005</v>
      </c>
      <c r="EC35" s="29">
        <f>Sheet1!EV37</f>
        <v>0.68500000000000005</v>
      </c>
      <c r="ED35" s="29">
        <f>Sheet1!EW37</f>
        <v>0.68500000000000005</v>
      </c>
      <c r="EE35" s="29">
        <f>Sheet1!EX37</f>
        <v>0.75</v>
      </c>
      <c r="EF35" s="29">
        <f>Sheet1!EY37</f>
        <v>0.76</v>
      </c>
      <c r="EG35" s="29">
        <f>Sheet1!EZ37</f>
        <v>0.8</v>
      </c>
      <c r="EH35" s="29">
        <f>Sheet1!FA37</f>
        <v>0.8</v>
      </c>
      <c r="EI35" s="29">
        <f>Sheet1!FB37</f>
        <v>0.8</v>
      </c>
      <c r="EJ35" s="29">
        <f>Sheet1!FC37</f>
        <v>0.875</v>
      </c>
      <c r="EK35" s="29">
        <f>Sheet1!FD37</f>
        <v>0.875</v>
      </c>
      <c r="EL35" s="29">
        <f>Sheet1!FE37</f>
        <v>0.85</v>
      </c>
      <c r="EM35" s="29">
        <f>Sheet1!FF37</f>
        <v>0.80500000000000005</v>
      </c>
      <c r="EN35" s="29">
        <f>Sheet1!FG37</f>
        <v>0.80500000000000005</v>
      </c>
      <c r="EO35" s="29">
        <f>Sheet1!FH37</f>
        <v>0.78</v>
      </c>
      <c r="EP35" s="29">
        <f>Sheet1!FI37</f>
        <v>0.77500000000000002</v>
      </c>
      <c r="EQ35" s="29">
        <f>Sheet1!FJ37</f>
        <v>0.77500000000000002</v>
      </c>
      <c r="ER35" s="29">
        <f>Sheet1!FK37</f>
        <v>0.77</v>
      </c>
      <c r="ES35" s="29">
        <f>Sheet1!FL37</f>
        <v>0.77</v>
      </c>
      <c r="ET35" s="29">
        <f>Sheet1!FM37</f>
        <v>0.77</v>
      </c>
      <c r="EU35" s="29">
        <f>Sheet1!FN37</f>
        <v>0.76500000000000001</v>
      </c>
      <c r="EV35" s="29">
        <f>Sheet1!FO37</f>
        <v>0.76500000000000001</v>
      </c>
      <c r="EW35" s="29">
        <f>Sheet1!FP37</f>
        <v>0.75</v>
      </c>
      <c r="EX35" s="29">
        <f>Sheet1!FQ37</f>
        <v>0.75</v>
      </c>
      <c r="EY35" s="29">
        <f>Sheet1!FR37</f>
        <v>0.75</v>
      </c>
      <c r="EZ35" s="29">
        <f>Sheet1!FS37</f>
        <v>0.75</v>
      </c>
      <c r="FA35" s="29">
        <f>Sheet1!FT37</f>
        <v>0.73</v>
      </c>
      <c r="FB35" s="29">
        <f>Sheet1!FU37</f>
        <v>0.72499999999999998</v>
      </c>
      <c r="FC35" s="29">
        <f>Sheet1!FV37</f>
        <v>0.72499999999999998</v>
      </c>
      <c r="FD35" s="29">
        <f>Sheet1!FW37</f>
        <v>0.72499999999999998</v>
      </c>
      <c r="FE35" s="29">
        <f>Sheet1!FX37</f>
        <v>0.72</v>
      </c>
      <c r="FF35" s="29">
        <f>Sheet1!FY37</f>
        <v>0.72499999999999998</v>
      </c>
      <c r="FG35" s="29">
        <f>Sheet1!FZ37</f>
        <v>0.72499999999999998</v>
      </c>
      <c r="FH35" s="29">
        <f>Sheet1!GA37</f>
        <v>0.72499999999999998</v>
      </c>
      <c r="FI35" s="29">
        <f>Sheet1!GB37</f>
        <v>0.72499999999999998</v>
      </c>
      <c r="FJ35" s="29">
        <f>Sheet1!GC37</f>
        <v>0.72499999999999998</v>
      </c>
      <c r="FK35" s="29">
        <f>Sheet1!GD37</f>
        <v>0.72499999999999998</v>
      </c>
      <c r="FL35" s="29">
        <f>Sheet1!GE37</f>
        <v>0.72499999999999998</v>
      </c>
      <c r="FM35" s="29">
        <f>Sheet1!GF37</f>
        <v>0.72499999999999998</v>
      </c>
      <c r="FN35" s="23">
        <f>Sheet1!GG37</f>
        <v>0</v>
      </c>
      <c r="FO35" s="23">
        <f>Sheet1!GH37</f>
        <v>0</v>
      </c>
      <c r="FP35" s="23">
        <f>Sheet1!GI37</f>
        <v>5.8394160583941499</v>
      </c>
    </row>
    <row r="36" spans="1:183">
      <c r="A36" s="4"/>
      <c r="B36" s="30" t="s">
        <v>252</v>
      </c>
      <c r="C36" s="21"/>
      <c r="D36" s="21"/>
      <c r="E36" s="15"/>
      <c r="F36" s="15"/>
      <c r="G36" s="15"/>
      <c r="H36" s="15"/>
      <c r="I36" s="15"/>
      <c r="J36" s="15"/>
      <c r="K36" s="15"/>
      <c r="L36" s="15"/>
      <c r="M36" s="15"/>
      <c r="N36" s="15"/>
      <c r="O36" s="15"/>
      <c r="P36" s="15"/>
      <c r="Q36" s="15"/>
      <c r="R36" s="15"/>
      <c r="S36" s="15"/>
      <c r="T36" s="15"/>
      <c r="U36" s="15"/>
      <c r="V36" s="15"/>
      <c r="W36" s="15"/>
      <c r="X36" s="15"/>
      <c r="Y36" s="15"/>
      <c r="Z36" s="15"/>
      <c r="AA36" s="19"/>
      <c r="AB36" s="15"/>
      <c r="AC36" s="15"/>
      <c r="AD36" s="15"/>
      <c r="AE36" s="15"/>
      <c r="AF36" s="33"/>
      <c r="AG36" s="33"/>
      <c r="AH36" s="33"/>
      <c r="AI36" s="33"/>
      <c r="AJ36" s="33"/>
      <c r="AK36" s="33"/>
      <c r="AL36" s="33"/>
      <c r="AM36" s="23"/>
      <c r="AN36" s="23"/>
      <c r="AO36" s="23"/>
      <c r="AP36" s="23"/>
      <c r="AQ36" s="23"/>
      <c r="AR36" s="23"/>
      <c r="AS36" s="23"/>
      <c r="AT36" s="23"/>
      <c r="AU36" s="23"/>
      <c r="AV36" s="23"/>
      <c r="AW36" s="23"/>
      <c r="AX36" s="23"/>
      <c r="AY36" s="23"/>
      <c r="AZ36" s="23"/>
      <c r="BA36" s="23"/>
      <c r="BB36" s="29"/>
      <c r="BC36" s="23"/>
      <c r="BD36" s="23"/>
      <c r="BE36" s="23"/>
      <c r="BF36" s="23"/>
      <c r="BG36" s="23"/>
      <c r="BH36" s="23"/>
      <c r="BI36" s="23"/>
      <c r="BJ36" s="23"/>
      <c r="BK36" s="23"/>
      <c r="BL36" s="23"/>
      <c r="BM36" s="23"/>
      <c r="BN36" s="23"/>
      <c r="BO36" s="23"/>
      <c r="BP36" s="23"/>
      <c r="BQ36" s="23"/>
      <c r="BR36" s="23"/>
      <c r="BS36" s="23"/>
      <c r="BT36" s="23"/>
      <c r="BU36" s="23"/>
      <c r="BV36" s="23"/>
      <c r="BW36" s="23"/>
      <c r="BX36" s="23"/>
      <c r="BY36" s="23"/>
      <c r="BZ36" s="23"/>
      <c r="CA36" s="23"/>
      <c r="CB36" s="23"/>
      <c r="CC36" s="23"/>
      <c r="CD36" s="23"/>
      <c r="CE36" s="23"/>
      <c r="CF36" s="23"/>
      <c r="CG36" s="23"/>
      <c r="CH36" s="23"/>
      <c r="CI36" s="23"/>
      <c r="CJ36" s="23"/>
      <c r="CK36" s="23"/>
      <c r="CL36" s="23"/>
      <c r="CM36" s="23"/>
      <c r="CN36" s="23"/>
      <c r="CO36" s="23"/>
      <c r="CP36" s="23"/>
      <c r="CQ36" s="23"/>
      <c r="CR36" s="23"/>
      <c r="CS36" s="23"/>
      <c r="CT36" s="23"/>
      <c r="CU36" s="23"/>
      <c r="CV36" s="23"/>
      <c r="CW36" s="23"/>
      <c r="CX36" s="23"/>
      <c r="CY36" s="23"/>
      <c r="CZ36" s="23"/>
      <c r="DA36" s="23"/>
      <c r="DB36" s="29">
        <f>Sheet1!DU38</f>
        <v>0.66</v>
      </c>
      <c r="DC36" s="29">
        <f>Sheet1!DV38</f>
        <v>0.66</v>
      </c>
      <c r="DD36" s="29">
        <f>Sheet1!DW38</f>
        <v>0.66</v>
      </c>
      <c r="DE36" s="29">
        <f>Sheet1!DX38</f>
        <v>0.66</v>
      </c>
      <c r="DF36" s="29">
        <f>Sheet1!DY38</f>
        <v>0.66</v>
      </c>
      <c r="DG36" s="29">
        <f>Sheet1!DZ38</f>
        <v>0.66</v>
      </c>
      <c r="DH36" s="29">
        <f>Sheet1!EA38</f>
        <v>0.66</v>
      </c>
      <c r="DI36" s="29">
        <f>Sheet1!EB38</f>
        <v>0.66</v>
      </c>
      <c r="DJ36" s="29">
        <f>Sheet1!EC38</f>
        <v>0.66</v>
      </c>
      <c r="DK36" s="29">
        <f>Sheet1!ED38</f>
        <v>0.66</v>
      </c>
      <c r="DL36" s="29">
        <f>Sheet1!EE38</f>
        <v>0.66</v>
      </c>
      <c r="DM36" s="29">
        <f>Sheet1!EF38</f>
        <v>0.66</v>
      </c>
      <c r="DN36" s="29">
        <f>Sheet1!EG38</f>
        <v>0.66</v>
      </c>
      <c r="DO36" s="29">
        <f>Sheet1!EH38</f>
        <v>0.66</v>
      </c>
      <c r="DP36" s="29">
        <f>Sheet1!EI38</f>
        <v>0.66</v>
      </c>
      <c r="DQ36" s="29">
        <f>Sheet1!EJ38</f>
        <v>0.66</v>
      </c>
      <c r="DR36" s="29">
        <f>Sheet1!EK38</f>
        <v>0.66</v>
      </c>
      <c r="DS36" s="29">
        <f>Sheet1!EL38</f>
        <v>0.66</v>
      </c>
      <c r="DT36" s="29">
        <f>Sheet1!EM38</f>
        <v>0.66</v>
      </c>
      <c r="DU36" s="29">
        <f>Sheet1!EN38</f>
        <v>0.66</v>
      </c>
      <c r="DV36" s="29">
        <f>Sheet1!EO38</f>
        <v>0.66</v>
      </c>
      <c r="DW36" s="29">
        <f>Sheet1!EP38</f>
        <v>0.66</v>
      </c>
      <c r="DX36" s="29">
        <f>Sheet1!EQ38</f>
        <v>0.66</v>
      </c>
      <c r="DY36" s="29">
        <f>Sheet1!ER38</f>
        <v>0.66</v>
      </c>
      <c r="DZ36" s="29">
        <f>Sheet1!ES38</f>
        <v>0.66</v>
      </c>
      <c r="EA36" s="29">
        <f>Sheet1!ET38</f>
        <v>0.66</v>
      </c>
      <c r="EB36" s="29">
        <f>Sheet1!EU38</f>
        <v>0.66</v>
      </c>
      <c r="EC36" s="29">
        <f>Sheet1!EV38</f>
        <v>0.66</v>
      </c>
      <c r="ED36" s="29">
        <f>Sheet1!EW38</f>
        <v>0.68</v>
      </c>
      <c r="EE36" s="29">
        <f>Sheet1!EX38</f>
        <v>0.75</v>
      </c>
      <c r="EF36" s="29">
        <f>Sheet1!EY38</f>
        <v>0.75</v>
      </c>
      <c r="EG36" s="29">
        <f>Sheet1!EZ38</f>
        <v>0.78</v>
      </c>
      <c r="EH36" s="29">
        <f>Sheet1!FA38</f>
        <v>0.78</v>
      </c>
      <c r="EI36" s="29">
        <f>Sheet1!FB38</f>
        <v>0.78</v>
      </c>
      <c r="EJ36" s="29">
        <f>Sheet1!FC38</f>
        <v>0.78</v>
      </c>
      <c r="EK36" s="29">
        <f>Sheet1!FD38</f>
        <v>0.78</v>
      </c>
      <c r="EL36" s="29">
        <f>Sheet1!FE38</f>
        <v>0.78</v>
      </c>
      <c r="EM36" s="29">
        <f>Sheet1!FF38</f>
        <v>0.78</v>
      </c>
      <c r="EN36" s="29">
        <f>Sheet1!FG38</f>
        <v>0.78</v>
      </c>
      <c r="EO36" s="29">
        <f>Sheet1!FH38</f>
        <v>0.78</v>
      </c>
      <c r="EP36" s="29">
        <f>Sheet1!FI38</f>
        <v>0.78</v>
      </c>
      <c r="EQ36" s="29">
        <f>Sheet1!FJ38</f>
        <v>0.78</v>
      </c>
      <c r="ER36" s="29">
        <f>Sheet1!FK38</f>
        <v>0.78</v>
      </c>
      <c r="ES36" s="29">
        <f>Sheet1!FL38</f>
        <v>0.78</v>
      </c>
      <c r="ET36" s="29">
        <f>Sheet1!FM38</f>
        <v>0.78</v>
      </c>
      <c r="EU36" s="29">
        <f>Sheet1!FN38</f>
        <v>0.78</v>
      </c>
      <c r="EV36" s="29">
        <f>Sheet1!FO38</f>
        <v>0.78</v>
      </c>
      <c r="EW36" s="29">
        <f>Sheet1!FP38</f>
        <v>0.747</v>
      </c>
      <c r="EX36" s="29">
        <f>Sheet1!FQ38</f>
        <v>0.747</v>
      </c>
      <c r="EY36" s="29">
        <f>Sheet1!FR38</f>
        <v>0.745</v>
      </c>
      <c r="EZ36" s="29">
        <f>Sheet1!FS38</f>
        <v>0.745</v>
      </c>
      <c r="FA36" s="29">
        <f>Sheet1!FT38</f>
        <v>0.74</v>
      </c>
      <c r="FB36" s="29">
        <f>Sheet1!FU38</f>
        <v>0.72</v>
      </c>
      <c r="FC36" s="29">
        <f>Sheet1!FV38</f>
        <v>0.72</v>
      </c>
      <c r="FD36" s="29">
        <f>Sheet1!FW38</f>
        <v>0.72</v>
      </c>
      <c r="FE36" s="29">
        <f>Sheet1!FX38</f>
        <v>0.72</v>
      </c>
      <c r="FF36" s="29">
        <f>Sheet1!FY38</f>
        <v>0.72</v>
      </c>
      <c r="FG36" s="29">
        <f>Sheet1!FZ38</f>
        <v>0.72</v>
      </c>
      <c r="FH36" s="29">
        <f>Sheet1!GA38</f>
        <v>0.72</v>
      </c>
      <c r="FI36" s="29">
        <f>Sheet1!GB38</f>
        <v>0.72</v>
      </c>
      <c r="FJ36" s="29">
        <f>Sheet1!GC38</f>
        <v>0.72</v>
      </c>
      <c r="FK36" s="29">
        <f>Sheet1!GD38</f>
        <v>0.72</v>
      </c>
      <c r="FL36" s="29">
        <f>Sheet1!GE38</f>
        <v>0.72</v>
      </c>
      <c r="FM36" s="29">
        <f>Sheet1!GF38</f>
        <v>0.72</v>
      </c>
      <c r="FN36" s="23">
        <f>Sheet1!GG38</f>
        <v>0</v>
      </c>
      <c r="FO36" s="23">
        <f>Sheet1!GH38</f>
        <v>0</v>
      </c>
      <c r="FP36" s="23">
        <f>Sheet1!GI38</f>
        <v>5.8823529411764639</v>
      </c>
    </row>
    <row r="37" spans="1:183">
      <c r="A37" s="4"/>
      <c r="B37" s="32" t="s">
        <v>253</v>
      </c>
      <c r="C37" s="18"/>
      <c r="D37" s="18"/>
      <c r="E37" s="15"/>
      <c r="F37" s="15"/>
      <c r="G37" s="15"/>
      <c r="H37" s="15"/>
      <c r="I37" s="15"/>
      <c r="J37" s="15"/>
      <c r="K37" s="15"/>
      <c r="L37" s="15"/>
      <c r="M37" s="15"/>
      <c r="N37" s="15"/>
      <c r="O37" s="15"/>
      <c r="P37" s="15"/>
      <c r="Q37" s="15"/>
      <c r="R37" s="15"/>
      <c r="S37" s="15"/>
      <c r="T37" s="15"/>
      <c r="U37" s="15"/>
      <c r="V37" s="15"/>
      <c r="W37" s="15"/>
      <c r="X37" s="15"/>
      <c r="Y37" s="15"/>
      <c r="Z37" s="15"/>
      <c r="AA37" s="19"/>
      <c r="AB37" s="15"/>
      <c r="AC37" s="15"/>
      <c r="AD37" s="15"/>
      <c r="AE37" s="15"/>
      <c r="AF37" s="33"/>
      <c r="AG37" s="33"/>
      <c r="AH37" s="33"/>
      <c r="AI37" s="33"/>
      <c r="AJ37" s="33"/>
      <c r="AK37" s="33"/>
      <c r="AL37" s="33"/>
      <c r="AM37" s="23"/>
      <c r="AN37" s="23"/>
      <c r="AO37" s="23"/>
      <c r="AP37" s="23"/>
      <c r="AQ37" s="23"/>
      <c r="AR37" s="23"/>
      <c r="AS37" s="23"/>
      <c r="AT37" s="23"/>
      <c r="AU37" s="23"/>
      <c r="AV37" s="23"/>
      <c r="AW37" s="23"/>
      <c r="AX37" s="23"/>
      <c r="AY37" s="23"/>
      <c r="AZ37" s="23"/>
      <c r="BA37" s="23"/>
      <c r="BB37" s="29"/>
      <c r="BC37" s="23"/>
      <c r="BD37" s="23"/>
      <c r="BE37" s="23"/>
      <c r="BF37" s="23"/>
      <c r="BG37" s="23"/>
      <c r="BH37" s="23"/>
      <c r="BI37" s="23"/>
      <c r="BJ37" s="23"/>
      <c r="BK37" s="23"/>
      <c r="BL37" s="23"/>
      <c r="BM37" s="23"/>
      <c r="BN37" s="23"/>
      <c r="BO37" s="23"/>
      <c r="BP37" s="23"/>
      <c r="BQ37" s="23"/>
      <c r="BR37" s="23"/>
      <c r="BS37" s="23"/>
      <c r="BT37" s="23"/>
      <c r="BU37" s="23"/>
      <c r="BV37" s="23"/>
      <c r="BW37" s="23"/>
      <c r="BX37" s="23"/>
      <c r="BY37" s="23"/>
      <c r="BZ37" s="23"/>
      <c r="CA37" s="23"/>
      <c r="CB37" s="23"/>
      <c r="CC37" s="23"/>
      <c r="CD37" s="23"/>
      <c r="CE37" s="23"/>
      <c r="CF37" s="23"/>
      <c r="CG37" s="23"/>
      <c r="CH37" s="23"/>
      <c r="CI37" s="23"/>
      <c r="CJ37" s="23"/>
      <c r="CK37" s="23"/>
      <c r="CL37" s="23"/>
      <c r="CM37" s="23"/>
      <c r="CN37" s="23"/>
      <c r="CO37" s="23"/>
      <c r="CP37" s="23"/>
      <c r="CQ37" s="23"/>
      <c r="CR37" s="23"/>
      <c r="CS37" s="23"/>
      <c r="CT37" s="23"/>
      <c r="CU37" s="23"/>
      <c r="CV37" s="23"/>
      <c r="CW37" s="23"/>
      <c r="CX37" s="23"/>
      <c r="CY37" s="23"/>
      <c r="CZ37" s="23"/>
      <c r="DA37" s="23"/>
      <c r="DB37" s="23"/>
      <c r="DC37" s="23"/>
      <c r="DD37" s="23"/>
      <c r="DE37" s="23"/>
      <c r="DF37" s="23"/>
      <c r="DG37" s="23"/>
      <c r="DH37" s="23"/>
      <c r="DI37" s="23"/>
      <c r="DJ37" s="23"/>
      <c r="DK37" s="23"/>
      <c r="DL37" s="23"/>
      <c r="DM37" s="23"/>
      <c r="DN37" s="23"/>
      <c r="DO37" s="23"/>
      <c r="DP37" s="23"/>
      <c r="DQ37" s="23"/>
      <c r="DR37" s="23"/>
      <c r="DS37" s="23"/>
      <c r="DT37" s="23"/>
      <c r="DU37" s="23"/>
      <c r="DV37" s="23"/>
      <c r="DW37" s="23"/>
      <c r="DX37" s="23"/>
      <c r="DY37" s="23"/>
      <c r="DZ37" s="23"/>
      <c r="EA37" s="23"/>
      <c r="EB37" s="23"/>
      <c r="EC37" s="23"/>
      <c r="ED37" s="23"/>
      <c r="EE37" s="23"/>
      <c r="EF37" s="23"/>
      <c r="EG37" s="23"/>
      <c r="EH37" s="23"/>
      <c r="EI37" s="23"/>
      <c r="EJ37" s="23"/>
      <c r="EK37" s="23"/>
      <c r="EL37" s="23"/>
      <c r="EM37" s="23"/>
      <c r="EN37" s="23"/>
      <c r="EO37" s="23"/>
      <c r="EP37" s="23"/>
      <c r="EQ37" s="23"/>
      <c r="ER37" s="23"/>
      <c r="ES37" s="23"/>
      <c r="ET37" s="23"/>
      <c r="EU37" s="23"/>
      <c r="EV37" s="23"/>
      <c r="EW37" s="23"/>
      <c r="EX37" s="23"/>
      <c r="EY37" s="23"/>
      <c r="EZ37" s="23"/>
      <c r="FA37" s="23"/>
      <c r="FB37" s="23"/>
      <c r="FC37" s="23"/>
      <c r="FD37" s="23"/>
      <c r="FE37" s="23"/>
      <c r="FF37" s="23"/>
      <c r="FG37" s="23"/>
      <c r="FH37" s="23"/>
      <c r="FI37" s="23"/>
      <c r="FJ37" s="23"/>
      <c r="FK37" s="23"/>
      <c r="FL37" s="23"/>
      <c r="FM37" s="23"/>
      <c r="FN37" s="23"/>
      <c r="FO37" s="23"/>
      <c r="FP37" s="23"/>
    </row>
    <row r="38" spans="1:183">
      <c r="A38" s="4"/>
      <c r="B38" s="27" t="s">
        <v>232</v>
      </c>
      <c r="C38" s="28" t="e">
        <f>Sheet1!#REF!</f>
        <v>#REF!</v>
      </c>
      <c r="D38" s="28" t="e">
        <f>Sheet1!#REF!</f>
        <v>#REF!</v>
      </c>
      <c r="E38" s="26">
        <v>25</v>
      </c>
      <c r="F38" s="26">
        <v>25</v>
      </c>
      <c r="G38" s="26">
        <v>25</v>
      </c>
      <c r="H38" s="26">
        <v>25</v>
      </c>
      <c r="I38" s="26">
        <v>25</v>
      </c>
      <c r="J38" s="26">
        <v>25</v>
      </c>
      <c r="K38" s="26">
        <v>25.5</v>
      </c>
      <c r="L38" s="26">
        <v>25.5</v>
      </c>
      <c r="M38" s="26">
        <v>25.5</v>
      </c>
      <c r="N38" s="26">
        <v>25.5</v>
      </c>
      <c r="O38" s="26">
        <v>28</v>
      </c>
      <c r="P38" s="26">
        <v>28</v>
      </c>
      <c r="Q38" s="26">
        <v>28</v>
      </c>
      <c r="R38" s="26">
        <v>28</v>
      </c>
      <c r="S38" s="26">
        <v>28</v>
      </c>
      <c r="T38" s="26">
        <v>28</v>
      </c>
      <c r="U38" s="26">
        <v>28</v>
      </c>
      <c r="V38" s="26">
        <v>28</v>
      </c>
      <c r="W38" s="26">
        <v>28</v>
      </c>
      <c r="X38" s="26">
        <v>28</v>
      </c>
      <c r="Y38" s="26">
        <v>28</v>
      </c>
      <c r="Z38" s="26">
        <v>28</v>
      </c>
      <c r="AA38" s="19">
        <v>28</v>
      </c>
      <c r="AB38" s="19">
        <v>28</v>
      </c>
      <c r="AC38" s="19">
        <v>28</v>
      </c>
      <c r="AD38" s="19">
        <v>28</v>
      </c>
      <c r="AE38" s="19">
        <v>28</v>
      </c>
      <c r="AF38" s="22">
        <f>Sheet1!AY40</f>
        <v>28</v>
      </c>
      <c r="AG38" s="22">
        <f>Sheet1!AZ40</f>
        <v>28</v>
      </c>
      <c r="AH38" s="22">
        <f>Sheet1!BA40</f>
        <v>28</v>
      </c>
      <c r="AI38" s="22">
        <f>Sheet1!BB40</f>
        <v>28</v>
      </c>
      <c r="AJ38" s="22">
        <f>Sheet1!BC40</f>
        <v>28</v>
      </c>
      <c r="AK38" s="22">
        <f>Sheet1!BD40</f>
        <v>28</v>
      </c>
      <c r="AL38" s="22">
        <f>Sheet1!BE40</f>
        <v>28</v>
      </c>
      <c r="AM38" s="22">
        <f>Sheet1!BF40</f>
        <v>28</v>
      </c>
      <c r="AN38" s="22">
        <f>Sheet1!BG40</f>
        <v>28</v>
      </c>
      <c r="AO38" s="22">
        <f>Sheet1!BH40</f>
        <v>25.5</v>
      </c>
      <c r="AP38" s="22">
        <f>Sheet1!BI40</f>
        <v>25.5</v>
      </c>
      <c r="AQ38" s="22">
        <f>Sheet1!BJ40</f>
        <v>25.5</v>
      </c>
      <c r="AR38" s="22">
        <f>Sheet1!BK40</f>
        <v>25.5</v>
      </c>
      <c r="AS38" s="22">
        <f>Sheet1!BL40</f>
        <v>25.5</v>
      </c>
      <c r="AT38" s="22">
        <f>Sheet1!BM40</f>
        <v>26</v>
      </c>
      <c r="AU38" s="22">
        <f>Sheet1!BN40</f>
        <v>26</v>
      </c>
      <c r="AV38" s="22">
        <f>Sheet1!BO40</f>
        <v>26</v>
      </c>
      <c r="AW38" s="22">
        <f>Sheet1!BP40</f>
        <v>26</v>
      </c>
      <c r="AX38" s="22">
        <f>Sheet1!BQ40</f>
        <v>26</v>
      </c>
      <c r="AY38" s="22">
        <f>Sheet1!BR40</f>
        <v>26</v>
      </c>
      <c r="AZ38" s="22">
        <f>Sheet1!BS40</f>
        <v>26</v>
      </c>
      <c r="BA38" s="22">
        <f>Sheet1!BT40</f>
        <v>26</v>
      </c>
      <c r="BB38" s="29">
        <f>Sheet1!BU40</f>
        <v>26</v>
      </c>
      <c r="BC38" s="29">
        <f>Sheet1!BV40</f>
        <v>26</v>
      </c>
      <c r="BD38" s="29">
        <f>Sheet1!BW40</f>
        <v>26</v>
      </c>
      <c r="BE38" s="29">
        <f>Sheet1!BX40</f>
        <v>26</v>
      </c>
      <c r="BF38" s="29">
        <f>Sheet1!BY40</f>
        <v>26</v>
      </c>
      <c r="BG38" s="29">
        <f>Sheet1!BZ40</f>
        <v>26</v>
      </c>
      <c r="BH38" s="29">
        <f>Sheet1!CA40</f>
        <v>25.5</v>
      </c>
      <c r="BI38" s="29">
        <f>Sheet1!CB40</f>
        <v>25.5</v>
      </c>
      <c r="BJ38" s="29">
        <f>Sheet1!CC40</f>
        <v>25.5</v>
      </c>
      <c r="BK38" s="29">
        <f>Sheet1!CD40</f>
        <v>25.5</v>
      </c>
      <c r="BL38" s="29">
        <f>Sheet1!CE40</f>
        <v>25.5</v>
      </c>
      <c r="BM38" s="29">
        <f>Sheet1!CF40</f>
        <v>25.5</v>
      </c>
      <c r="BN38" s="29">
        <f>Sheet1!CG40</f>
        <v>24</v>
      </c>
      <c r="BO38" s="29">
        <f>Sheet1!CH40</f>
        <v>24</v>
      </c>
      <c r="BP38" s="29">
        <f>Sheet1!CI40</f>
        <v>24</v>
      </c>
      <c r="BQ38" s="29">
        <f>Sheet1!CJ40</f>
        <v>23</v>
      </c>
      <c r="BR38" s="29">
        <f>Sheet1!CK40</f>
        <v>22</v>
      </c>
      <c r="BS38" s="29">
        <f>Sheet1!CL40</f>
        <v>22</v>
      </c>
      <c r="BT38" s="29">
        <f>Sheet1!CM40</f>
        <v>22</v>
      </c>
      <c r="BU38" s="29">
        <f>Sheet1!CN40</f>
        <v>22</v>
      </c>
      <c r="BV38" s="29">
        <f>Sheet1!CO40</f>
        <v>22</v>
      </c>
      <c r="BW38" s="29">
        <f>Sheet1!CP40</f>
        <v>22</v>
      </c>
      <c r="BX38" s="29">
        <f>Sheet1!CQ40</f>
        <v>22</v>
      </c>
      <c r="BY38" s="29">
        <f>Sheet1!CR40</f>
        <v>22</v>
      </c>
      <c r="BZ38" s="29">
        <f>Sheet1!CS40</f>
        <v>22</v>
      </c>
      <c r="CA38" s="29">
        <f>Sheet1!CT40</f>
        <v>22</v>
      </c>
      <c r="CB38" s="29">
        <f>Sheet1!CU40</f>
        <v>21.5</v>
      </c>
      <c r="CC38" s="29">
        <f>Sheet1!CV40</f>
        <v>21.5</v>
      </c>
      <c r="CD38" s="29">
        <f>Sheet1!CW40</f>
        <v>19.5</v>
      </c>
      <c r="CE38" s="29">
        <f>Sheet1!CX40</f>
        <v>19.5</v>
      </c>
      <c r="CF38" s="29">
        <f>Sheet1!CY40</f>
        <v>19.5</v>
      </c>
      <c r="CG38" s="29">
        <f>Sheet1!CZ40</f>
        <v>19.5</v>
      </c>
      <c r="CH38" s="29">
        <f>Sheet1!DA40</f>
        <v>19.5</v>
      </c>
      <c r="CI38" s="29">
        <f>Sheet1!DB40</f>
        <v>19.5</v>
      </c>
      <c r="CJ38" s="29">
        <f>Sheet1!DC40</f>
        <v>19.5</v>
      </c>
      <c r="CK38" s="29">
        <f>Sheet1!DD40</f>
        <v>19.5</v>
      </c>
      <c r="CL38" s="29">
        <f>Sheet1!DE40</f>
        <v>19.5</v>
      </c>
      <c r="CM38" s="29">
        <f>Sheet1!DF40</f>
        <v>20</v>
      </c>
      <c r="CN38" s="29">
        <f>Sheet1!DG40</f>
        <v>20</v>
      </c>
      <c r="CO38" s="29">
        <f>Sheet1!DH40</f>
        <v>20</v>
      </c>
      <c r="CP38" s="29">
        <f>Sheet1!DI40</f>
        <v>23</v>
      </c>
      <c r="CQ38" s="29">
        <f>Sheet1!DJ40</f>
        <v>23.5</v>
      </c>
      <c r="CR38" s="29">
        <f>Sheet1!DK40</f>
        <v>23.5</v>
      </c>
      <c r="CS38" s="29">
        <f>Sheet1!DL40</f>
        <v>23.5</v>
      </c>
      <c r="CT38" s="29">
        <f>Sheet1!DM40</f>
        <v>23.5</v>
      </c>
      <c r="CU38" s="29">
        <f>Sheet1!DN40</f>
        <v>23.5</v>
      </c>
      <c r="CV38" s="29">
        <f>Sheet1!DO40</f>
        <v>23.5</v>
      </c>
      <c r="CW38" s="29">
        <f>Sheet1!DP40</f>
        <v>23</v>
      </c>
      <c r="CX38" s="29">
        <f>Sheet1!DQ40</f>
        <v>22.5</v>
      </c>
      <c r="CY38" s="29">
        <f>Sheet1!DR40</f>
        <v>22.5</v>
      </c>
      <c r="CZ38" s="29">
        <f>Sheet1!DS40</f>
        <v>22.5</v>
      </c>
      <c r="DA38" s="29">
        <f>Sheet1!DT40</f>
        <v>22.5</v>
      </c>
      <c r="DB38" s="29">
        <f>Sheet1!DU40</f>
        <v>22.5</v>
      </c>
      <c r="DC38" s="29">
        <f>Sheet1!DV40</f>
        <v>20</v>
      </c>
      <c r="DD38" s="29">
        <f>Sheet1!DW40</f>
        <v>20</v>
      </c>
      <c r="DE38" s="29">
        <f>Sheet1!DX40</f>
        <v>20</v>
      </c>
      <c r="DF38" s="29">
        <f>Sheet1!DY40</f>
        <v>20</v>
      </c>
      <c r="DG38" s="29">
        <f>Sheet1!DZ40</f>
        <v>20</v>
      </c>
      <c r="DH38" s="29">
        <f>Sheet1!EA40</f>
        <v>20</v>
      </c>
      <c r="DI38" s="29">
        <f>Sheet1!EB40</f>
        <v>20</v>
      </c>
      <c r="DJ38" s="29">
        <f>Sheet1!EC40</f>
        <v>20</v>
      </c>
      <c r="DK38" s="29">
        <f>Sheet1!ED40</f>
        <v>20</v>
      </c>
      <c r="DL38" s="29">
        <f>Sheet1!EE40</f>
        <v>20</v>
      </c>
      <c r="DM38" s="29">
        <f>Sheet1!EF40</f>
        <v>20</v>
      </c>
      <c r="DN38" s="29">
        <f>Sheet1!EG40</f>
        <v>20</v>
      </c>
      <c r="DO38" s="29">
        <f>Sheet1!EH40</f>
        <v>20</v>
      </c>
      <c r="DP38" s="29">
        <f>Sheet1!EI40</f>
        <v>20</v>
      </c>
      <c r="DQ38" s="29">
        <f>Sheet1!EJ40</f>
        <v>20</v>
      </c>
      <c r="DR38" s="29">
        <f>Sheet1!EK40</f>
        <v>20</v>
      </c>
      <c r="DS38" s="29">
        <f>Sheet1!EL40</f>
        <v>20</v>
      </c>
      <c r="DT38" s="29">
        <f>Sheet1!EM40</f>
        <v>20</v>
      </c>
      <c r="DU38" s="29">
        <f>Sheet1!EN40</f>
        <v>20</v>
      </c>
      <c r="DV38" s="29">
        <f>Sheet1!EO40</f>
        <v>20</v>
      </c>
      <c r="DW38" s="29">
        <f>Sheet1!EP40</f>
        <v>20</v>
      </c>
      <c r="DX38" s="29">
        <f>Sheet1!EQ40</f>
        <v>20</v>
      </c>
      <c r="DY38" s="29">
        <f>Sheet1!ER40</f>
        <v>20</v>
      </c>
      <c r="DZ38" s="29">
        <f>Sheet1!ES40</f>
        <v>20</v>
      </c>
      <c r="EA38" s="29">
        <f>Sheet1!ET40</f>
        <v>20</v>
      </c>
      <c r="EB38" s="29">
        <f>Sheet1!EU40</f>
        <v>20</v>
      </c>
      <c r="EC38" s="29">
        <f>Sheet1!EV40</f>
        <v>20</v>
      </c>
      <c r="ED38" s="29">
        <f>Sheet1!EW40</f>
        <v>20</v>
      </c>
      <c r="EE38" s="29">
        <f>Sheet1!EX40</f>
        <v>20</v>
      </c>
      <c r="EF38" s="29">
        <f>Sheet1!EY40</f>
        <v>20</v>
      </c>
      <c r="EG38" s="29">
        <f>Sheet1!EZ40</f>
        <v>20</v>
      </c>
      <c r="EH38" s="29">
        <f>Sheet1!FA40</f>
        <v>20</v>
      </c>
      <c r="EI38" s="29">
        <f>Sheet1!FB40</f>
        <v>20</v>
      </c>
      <c r="EJ38" s="29">
        <f>Sheet1!FC40</f>
        <v>20</v>
      </c>
      <c r="EK38" s="29">
        <f>Sheet1!FD40</f>
        <v>20</v>
      </c>
      <c r="EL38" s="29">
        <f>Sheet1!FE40</f>
        <v>20</v>
      </c>
      <c r="EM38" s="29">
        <f>Sheet1!FF40</f>
        <v>19.5</v>
      </c>
      <c r="EN38" s="29">
        <f>Sheet1!FG40</f>
        <v>19.5</v>
      </c>
      <c r="EO38" s="29">
        <f>Sheet1!FH40</f>
        <v>19.5</v>
      </c>
      <c r="EP38" s="29">
        <f>Sheet1!FI40</f>
        <v>19.5</v>
      </c>
      <c r="EQ38" s="29">
        <f>Sheet1!FJ40</f>
        <v>19.5</v>
      </c>
      <c r="ER38" s="29">
        <f>Sheet1!FK40</f>
        <v>18.5</v>
      </c>
      <c r="ES38" s="29">
        <f>Sheet1!FL40</f>
        <v>18.5</v>
      </c>
      <c r="ET38" s="29">
        <f>Sheet1!FM40</f>
        <v>18.5</v>
      </c>
      <c r="EU38" s="29">
        <f>Sheet1!FN40</f>
        <v>18.5</v>
      </c>
      <c r="EV38" s="29">
        <f>Sheet1!FO40</f>
        <v>18.5</v>
      </c>
      <c r="EW38" s="29">
        <f>Sheet1!FP40</f>
        <v>18.5</v>
      </c>
      <c r="EX38" s="29">
        <f>Sheet1!FQ40</f>
        <v>18.5</v>
      </c>
      <c r="EY38" s="29">
        <f>Sheet1!FR40</f>
        <v>18.5</v>
      </c>
      <c r="EZ38" s="29">
        <f>Sheet1!FS40</f>
        <v>18.5</v>
      </c>
      <c r="FA38" s="29">
        <f>Sheet1!FT40</f>
        <v>18.5</v>
      </c>
      <c r="FB38" s="29">
        <f>Sheet1!FU40</f>
        <v>18.5</v>
      </c>
      <c r="FC38" s="29">
        <f>Sheet1!FV40</f>
        <v>18.5</v>
      </c>
      <c r="FD38" s="29">
        <f>Sheet1!FW40</f>
        <v>18.5</v>
      </c>
      <c r="FE38" s="29">
        <f>Sheet1!FX40</f>
        <v>18.5</v>
      </c>
      <c r="FF38" s="29">
        <f>Sheet1!FY40</f>
        <v>18.5</v>
      </c>
      <c r="FG38" s="29">
        <f>Sheet1!FZ40</f>
        <v>18.5</v>
      </c>
      <c r="FH38" s="29">
        <f>Sheet1!GA40</f>
        <v>18.5</v>
      </c>
      <c r="FI38" s="29">
        <f>Sheet1!GB40</f>
        <v>18.5</v>
      </c>
      <c r="FJ38" s="29">
        <f>Sheet1!GC40</f>
        <v>18.5</v>
      </c>
      <c r="FK38" s="29">
        <f>Sheet1!GD40</f>
        <v>18.5</v>
      </c>
      <c r="FL38" s="29">
        <f>Sheet1!GE40</f>
        <v>18.5</v>
      </c>
      <c r="FM38" s="29">
        <f>Sheet1!GF40</f>
        <v>18.5</v>
      </c>
      <c r="FN38" s="23">
        <f>Sheet1!GG40</f>
        <v>0</v>
      </c>
      <c r="FO38" s="23">
        <f>Sheet1!GH40</f>
        <v>0</v>
      </c>
      <c r="FP38" s="23">
        <f>Sheet1!GI40</f>
        <v>-7.5</v>
      </c>
    </row>
    <row r="39" spans="1:183">
      <c r="A39" s="4"/>
      <c r="B39" s="30" t="s">
        <v>233</v>
      </c>
      <c r="C39" s="31" t="e">
        <f>Sheet1!#REF!</f>
        <v>#REF!</v>
      </c>
      <c r="D39" s="31" t="e">
        <f>Sheet1!#REF!</f>
        <v>#REF!</v>
      </c>
      <c r="E39" s="15">
        <v>18.5</v>
      </c>
      <c r="F39" s="15">
        <v>18.5</v>
      </c>
      <c r="G39" s="15">
        <v>18.5</v>
      </c>
      <c r="H39" s="15">
        <v>18.5</v>
      </c>
      <c r="I39" s="15">
        <v>18.5</v>
      </c>
      <c r="J39" s="15">
        <v>18.5</v>
      </c>
      <c r="K39" s="15">
        <v>18.5</v>
      </c>
      <c r="L39" s="15">
        <v>18.5</v>
      </c>
      <c r="M39" s="15">
        <v>18.5</v>
      </c>
      <c r="N39" s="15">
        <v>18.5</v>
      </c>
      <c r="O39" s="15">
        <v>20</v>
      </c>
      <c r="P39" s="15">
        <v>20</v>
      </c>
      <c r="Q39" s="15">
        <v>20</v>
      </c>
      <c r="R39" s="15">
        <v>20</v>
      </c>
      <c r="S39" s="15">
        <v>20</v>
      </c>
      <c r="T39" s="15">
        <v>20</v>
      </c>
      <c r="U39" s="15">
        <v>20</v>
      </c>
      <c r="V39" s="15">
        <v>20</v>
      </c>
      <c r="W39" s="15">
        <v>20</v>
      </c>
      <c r="X39" s="15">
        <v>20</v>
      </c>
      <c r="Y39" s="15">
        <v>20</v>
      </c>
      <c r="Z39" s="15">
        <v>20</v>
      </c>
      <c r="AA39" s="19">
        <v>20</v>
      </c>
      <c r="AB39" s="19">
        <v>20</v>
      </c>
      <c r="AC39" s="19">
        <v>20</v>
      </c>
      <c r="AD39" s="19">
        <v>20</v>
      </c>
      <c r="AE39" s="19">
        <v>20</v>
      </c>
      <c r="AF39" s="22">
        <f>Sheet1!AY41</f>
        <v>20</v>
      </c>
      <c r="AG39" s="22">
        <f>Sheet1!AZ41</f>
        <v>20</v>
      </c>
      <c r="AH39" s="22">
        <f>Sheet1!BA41</f>
        <v>20</v>
      </c>
      <c r="AI39" s="22">
        <f>Sheet1!BB41</f>
        <v>20</v>
      </c>
      <c r="AJ39" s="22">
        <f>Sheet1!BC41</f>
        <v>20</v>
      </c>
      <c r="AK39" s="22">
        <f>Sheet1!BD41</f>
        <v>20</v>
      </c>
      <c r="AL39" s="22">
        <f>Sheet1!BE41</f>
        <v>20</v>
      </c>
      <c r="AM39" s="22">
        <f>Sheet1!BF41</f>
        <v>20</v>
      </c>
      <c r="AN39" s="22">
        <f>Sheet1!BG41</f>
        <v>20</v>
      </c>
      <c r="AO39" s="22">
        <f>Sheet1!BH41</f>
        <v>16.5</v>
      </c>
      <c r="AP39" s="22">
        <f>Sheet1!BI41</f>
        <v>16.5</v>
      </c>
      <c r="AQ39" s="22">
        <f>Sheet1!BJ41</f>
        <v>16.5</v>
      </c>
      <c r="AR39" s="22">
        <f>Sheet1!BK41</f>
        <v>16.5</v>
      </c>
      <c r="AS39" s="22">
        <f>Sheet1!BL41</f>
        <v>16.5</v>
      </c>
      <c r="AT39" s="22">
        <f>Sheet1!BM41</f>
        <v>16.5</v>
      </c>
      <c r="AU39" s="22">
        <f>Sheet1!BN41</f>
        <v>16.5</v>
      </c>
      <c r="AV39" s="22">
        <f>Sheet1!BO41</f>
        <v>16.5</v>
      </c>
      <c r="AW39" s="22">
        <f>Sheet1!BP41</f>
        <v>16.5</v>
      </c>
      <c r="AX39" s="22">
        <f>Sheet1!BQ41</f>
        <v>16.5</v>
      </c>
      <c r="AY39" s="22">
        <f>Sheet1!BR41</f>
        <v>16.5</v>
      </c>
      <c r="AZ39" s="22">
        <f>Sheet1!BS41</f>
        <v>16.5</v>
      </c>
      <c r="BA39" s="22">
        <f>Sheet1!BT41</f>
        <v>16.5</v>
      </c>
      <c r="BB39" s="29">
        <f>Sheet1!BU41</f>
        <v>16.5</v>
      </c>
      <c r="BC39" s="29">
        <f>Sheet1!BV41</f>
        <v>16.5</v>
      </c>
      <c r="BD39" s="29">
        <f>Sheet1!BW41</f>
        <v>16.5</v>
      </c>
      <c r="BE39" s="29">
        <f>Sheet1!BX41</f>
        <v>16.5</v>
      </c>
      <c r="BF39" s="29">
        <f>Sheet1!BY41</f>
        <v>16.5</v>
      </c>
      <c r="BG39" s="29">
        <f>Sheet1!BZ41</f>
        <v>16.5</v>
      </c>
      <c r="BH39" s="29">
        <f>Sheet1!CA41</f>
        <v>15.8</v>
      </c>
      <c r="BI39" s="29">
        <f>Sheet1!CB41</f>
        <v>15.8</v>
      </c>
      <c r="BJ39" s="29">
        <f>Sheet1!CC41</f>
        <v>15.8</v>
      </c>
      <c r="BK39" s="29">
        <f>Sheet1!CD41</f>
        <v>15.8</v>
      </c>
      <c r="BL39" s="29">
        <f>Sheet1!CE41</f>
        <v>15.8</v>
      </c>
      <c r="BM39" s="29">
        <f>Sheet1!CF41</f>
        <v>15.8</v>
      </c>
      <c r="BN39" s="29">
        <f>Sheet1!CG41</f>
        <v>15</v>
      </c>
      <c r="BO39" s="29">
        <f>Sheet1!CH41</f>
        <v>15</v>
      </c>
      <c r="BP39" s="29">
        <f>Sheet1!CI41</f>
        <v>15</v>
      </c>
      <c r="BQ39" s="29">
        <f>Sheet1!CJ41</f>
        <v>14</v>
      </c>
      <c r="BR39" s="29">
        <f>Sheet1!CK41</f>
        <v>13</v>
      </c>
      <c r="BS39" s="29">
        <f>Sheet1!CL41</f>
        <v>13</v>
      </c>
      <c r="BT39" s="29">
        <f>Sheet1!CM41</f>
        <v>13</v>
      </c>
      <c r="BU39" s="29">
        <f>Sheet1!CN41</f>
        <v>13</v>
      </c>
      <c r="BV39" s="29">
        <f>Sheet1!CO41</f>
        <v>13</v>
      </c>
      <c r="BW39" s="29">
        <f>Sheet1!CP41</f>
        <v>13</v>
      </c>
      <c r="BX39" s="29">
        <f>Sheet1!CQ41</f>
        <v>13</v>
      </c>
      <c r="BY39" s="29">
        <f>Sheet1!CR41</f>
        <v>13</v>
      </c>
      <c r="BZ39" s="29">
        <f>Sheet1!CS41</f>
        <v>13</v>
      </c>
      <c r="CA39" s="29">
        <f>Sheet1!CT41</f>
        <v>13</v>
      </c>
      <c r="CB39" s="29">
        <f>Sheet1!CU41</f>
        <v>13</v>
      </c>
      <c r="CC39" s="29">
        <f>Sheet1!CV41</f>
        <v>13</v>
      </c>
      <c r="CD39" s="29">
        <f>Sheet1!CW41</f>
        <v>12</v>
      </c>
      <c r="CE39" s="29">
        <f>Sheet1!CX41</f>
        <v>12</v>
      </c>
      <c r="CF39" s="29">
        <f>Sheet1!CY41</f>
        <v>12</v>
      </c>
      <c r="CG39" s="29">
        <f>Sheet1!CZ41</f>
        <v>12</v>
      </c>
      <c r="CH39" s="29">
        <f>Sheet1!DA41</f>
        <v>12</v>
      </c>
      <c r="CI39" s="29">
        <f>Sheet1!DB41</f>
        <v>12</v>
      </c>
      <c r="CJ39" s="29">
        <f>Sheet1!DC41</f>
        <v>12</v>
      </c>
      <c r="CK39" s="29">
        <f>Sheet1!DD41</f>
        <v>12</v>
      </c>
      <c r="CL39" s="29">
        <f>Sheet1!DE41</f>
        <v>12</v>
      </c>
      <c r="CM39" s="29">
        <f>Sheet1!DF41</f>
        <v>13</v>
      </c>
      <c r="CN39" s="29">
        <f>Sheet1!DG41</f>
        <v>13</v>
      </c>
      <c r="CO39" s="29">
        <f>Sheet1!DH41</f>
        <v>13</v>
      </c>
      <c r="CP39" s="29">
        <f>Sheet1!DI41</f>
        <v>13.5</v>
      </c>
      <c r="CQ39" s="29">
        <f>Sheet1!DJ41</f>
        <v>14</v>
      </c>
      <c r="CR39" s="29">
        <f>Sheet1!DK41</f>
        <v>14.5</v>
      </c>
      <c r="CS39" s="29">
        <f>Sheet1!DL41</f>
        <v>14.5</v>
      </c>
      <c r="CT39" s="29">
        <f>Sheet1!DM41</f>
        <v>14.5</v>
      </c>
      <c r="CU39" s="29">
        <f>Sheet1!DN41</f>
        <v>14.5</v>
      </c>
      <c r="CV39" s="29">
        <f>Sheet1!DO41</f>
        <v>14.5</v>
      </c>
      <c r="CW39" s="29">
        <f>Sheet1!DP41</f>
        <v>14.2</v>
      </c>
      <c r="CX39" s="29">
        <f>Sheet1!DQ41</f>
        <v>14</v>
      </c>
      <c r="CY39" s="29">
        <f>Sheet1!DR41</f>
        <v>14</v>
      </c>
      <c r="CZ39" s="29">
        <f>Sheet1!DS41</f>
        <v>14</v>
      </c>
      <c r="DA39" s="29">
        <f>Sheet1!DT41</f>
        <v>14</v>
      </c>
      <c r="DB39" s="29">
        <f>Sheet1!DU41</f>
        <v>14</v>
      </c>
      <c r="DC39" s="29">
        <f>Sheet1!DV41</f>
        <v>12</v>
      </c>
      <c r="DD39" s="29">
        <f>Sheet1!DW41</f>
        <v>12</v>
      </c>
      <c r="DE39" s="29">
        <f>Sheet1!DX41</f>
        <v>12</v>
      </c>
      <c r="DF39" s="29">
        <f>Sheet1!DY41</f>
        <v>12</v>
      </c>
      <c r="DG39" s="29">
        <f>Sheet1!DZ41</f>
        <v>12</v>
      </c>
      <c r="DH39" s="29">
        <f>Sheet1!EA41</f>
        <v>12</v>
      </c>
      <c r="DI39" s="29">
        <f>Sheet1!EB41</f>
        <v>12</v>
      </c>
      <c r="DJ39" s="29">
        <f>Sheet1!EC41</f>
        <v>12</v>
      </c>
      <c r="DK39" s="29">
        <f>Sheet1!ED41</f>
        <v>12</v>
      </c>
      <c r="DL39" s="29">
        <f>Sheet1!EE41</f>
        <v>14</v>
      </c>
      <c r="DM39" s="29">
        <f>Sheet1!EF41</f>
        <v>14</v>
      </c>
      <c r="DN39" s="29">
        <f>Sheet1!EG41</f>
        <v>14</v>
      </c>
      <c r="DO39" s="29">
        <f>Sheet1!EH41</f>
        <v>14</v>
      </c>
      <c r="DP39" s="29">
        <f>Sheet1!EI41</f>
        <v>14</v>
      </c>
      <c r="DQ39" s="29">
        <f>Sheet1!EJ41</f>
        <v>14</v>
      </c>
      <c r="DR39" s="29">
        <f>Sheet1!EK41</f>
        <v>14</v>
      </c>
      <c r="DS39" s="29">
        <f>Sheet1!EL41</f>
        <v>14</v>
      </c>
      <c r="DT39" s="29">
        <f>Sheet1!EM41</f>
        <v>14</v>
      </c>
      <c r="DU39" s="29">
        <f>Sheet1!EN41</f>
        <v>14</v>
      </c>
      <c r="DV39" s="29">
        <f>Sheet1!EO41</f>
        <v>14</v>
      </c>
      <c r="DW39" s="29">
        <f>Sheet1!EP41</f>
        <v>14</v>
      </c>
      <c r="DX39" s="29">
        <f>Sheet1!EQ41</f>
        <v>14</v>
      </c>
      <c r="DY39" s="29">
        <f>Sheet1!ER41</f>
        <v>13.5</v>
      </c>
      <c r="DZ39" s="29">
        <f>Sheet1!ES41</f>
        <v>13.5</v>
      </c>
      <c r="EA39" s="29">
        <f>Sheet1!ET41</f>
        <v>13.5</v>
      </c>
      <c r="EB39" s="29">
        <f>Sheet1!EU41</f>
        <v>13.5</v>
      </c>
      <c r="EC39" s="29">
        <f>Sheet1!EV41</f>
        <v>13.5</v>
      </c>
      <c r="ED39" s="29">
        <f>Sheet1!EW41</f>
        <v>13.5</v>
      </c>
      <c r="EE39" s="29">
        <f>Sheet1!EX41</f>
        <v>13.5</v>
      </c>
      <c r="EF39" s="29">
        <f>Sheet1!EY41</f>
        <v>13.5</v>
      </c>
      <c r="EG39" s="29">
        <f>Sheet1!EZ41</f>
        <v>13.5</v>
      </c>
      <c r="EH39" s="29">
        <f>Sheet1!FA41</f>
        <v>13.5</v>
      </c>
      <c r="EI39" s="29">
        <f>Sheet1!FB41</f>
        <v>13.5</v>
      </c>
      <c r="EJ39" s="29">
        <f>Sheet1!FC41</f>
        <v>13.5</v>
      </c>
      <c r="EK39" s="29">
        <f>Sheet1!FD41</f>
        <v>13.5</v>
      </c>
      <c r="EL39" s="29">
        <f>Sheet1!FE41</f>
        <v>13.5</v>
      </c>
      <c r="EM39" s="29">
        <f>Sheet1!FF41</f>
        <v>12.8</v>
      </c>
      <c r="EN39" s="29">
        <f>Sheet1!FG41</f>
        <v>12.8</v>
      </c>
      <c r="EO39" s="29">
        <f>Sheet1!FH41</f>
        <v>12.8</v>
      </c>
      <c r="EP39" s="29">
        <f>Sheet1!FI41</f>
        <v>12.8</v>
      </c>
      <c r="EQ39" s="29">
        <f>Sheet1!FJ41</f>
        <v>12.8</v>
      </c>
      <c r="ER39" s="29">
        <f>Sheet1!FK41</f>
        <v>11.5</v>
      </c>
      <c r="ES39" s="29">
        <f>Sheet1!FL41</f>
        <v>11.5</v>
      </c>
      <c r="ET39" s="29">
        <f>Sheet1!FM41</f>
        <v>11.5</v>
      </c>
      <c r="EU39" s="29">
        <f>Sheet1!FN41</f>
        <v>11.5</v>
      </c>
      <c r="EV39" s="29">
        <f>Sheet1!FO41</f>
        <v>11.5</v>
      </c>
      <c r="EW39" s="29">
        <f>Sheet1!FP41</f>
        <v>11.5</v>
      </c>
      <c r="EX39" s="29">
        <f>Sheet1!FQ41</f>
        <v>11.5</v>
      </c>
      <c r="EY39" s="29">
        <f>Sheet1!FR41</f>
        <v>11.5</v>
      </c>
      <c r="EZ39" s="29">
        <f>Sheet1!FS41</f>
        <v>11.5</v>
      </c>
      <c r="FA39" s="29">
        <f>Sheet1!FT41</f>
        <v>11.5</v>
      </c>
      <c r="FB39" s="29">
        <f>Sheet1!FU41</f>
        <v>11.5</v>
      </c>
      <c r="FC39" s="29">
        <f>Sheet1!FV41</f>
        <v>11.5</v>
      </c>
      <c r="FD39" s="29">
        <f>Sheet1!FW41</f>
        <v>11.5</v>
      </c>
      <c r="FE39" s="29">
        <f>Sheet1!FX41</f>
        <v>11.5</v>
      </c>
      <c r="FF39" s="29">
        <f>Sheet1!FY41</f>
        <v>11.5</v>
      </c>
      <c r="FG39" s="29">
        <f>Sheet1!FZ41</f>
        <v>11.5</v>
      </c>
      <c r="FH39" s="29">
        <f>Sheet1!GA41</f>
        <v>11.5</v>
      </c>
      <c r="FI39" s="29">
        <f>Sheet1!GB41</f>
        <v>11.5</v>
      </c>
      <c r="FJ39" s="29">
        <f>Sheet1!GC41</f>
        <v>11.5</v>
      </c>
      <c r="FK39" s="29">
        <f>Sheet1!GD41</f>
        <v>11.5</v>
      </c>
      <c r="FL39" s="29">
        <f>Sheet1!GE41</f>
        <v>11.5</v>
      </c>
      <c r="FM39" s="29">
        <f>Sheet1!GF41</f>
        <v>11.5</v>
      </c>
      <c r="FN39" s="23">
        <f>Sheet1!GG41</f>
        <v>0</v>
      </c>
      <c r="FO39" s="23">
        <f>Sheet1!GH41</f>
        <v>0</v>
      </c>
      <c r="FP39" s="23">
        <f>Sheet1!GI41</f>
        <v>-14.81481481481481</v>
      </c>
    </row>
    <row r="40" spans="1:183">
      <c r="A40" s="4"/>
      <c r="B40" s="37" t="s">
        <v>254</v>
      </c>
      <c r="X40" s="38"/>
      <c r="Y40" s="38"/>
      <c r="Z40" s="38"/>
      <c r="AB40" s="38"/>
      <c r="AC40" s="38"/>
      <c r="AD40" s="38"/>
      <c r="AE40" s="38"/>
      <c r="AF40" s="38"/>
      <c r="AG40" s="38"/>
      <c r="AH40" s="38"/>
      <c r="AI40" s="38"/>
      <c r="AJ40" s="38"/>
      <c r="AK40" s="38"/>
      <c r="AL40" s="38"/>
      <c r="AM40" s="38"/>
      <c r="AN40" s="38"/>
      <c r="AO40" s="38"/>
      <c r="AP40" s="38"/>
      <c r="AQ40" s="38"/>
      <c r="AR40" s="38"/>
      <c r="AS40" s="38"/>
      <c r="AT40" s="38"/>
      <c r="AU40" s="38"/>
      <c r="AV40" s="38"/>
      <c r="AW40" s="38"/>
      <c r="AX40" s="38"/>
      <c r="AY40" s="38"/>
      <c r="AZ40" s="38"/>
      <c r="BA40" s="38"/>
      <c r="BB40" s="38"/>
      <c r="BC40" s="38"/>
      <c r="BD40" s="38"/>
      <c r="BE40" s="38"/>
      <c r="BF40" s="38"/>
      <c r="BG40" s="38"/>
      <c r="BH40" s="38"/>
      <c r="BI40" s="38"/>
      <c r="BJ40" s="38"/>
      <c r="BK40" s="38"/>
      <c r="BL40" s="38"/>
      <c r="BM40" s="38"/>
      <c r="BN40" s="38"/>
      <c r="BO40" s="38"/>
      <c r="BP40" s="38"/>
      <c r="BQ40" s="38"/>
      <c r="BR40" s="38"/>
      <c r="BS40" s="38"/>
      <c r="BT40" s="38"/>
      <c r="BU40" s="38"/>
      <c r="BV40" s="38"/>
      <c r="BW40" s="38"/>
      <c r="BX40" s="38"/>
      <c r="BY40" s="38"/>
      <c r="BZ40" s="38"/>
      <c r="CA40" s="38"/>
      <c r="CB40" s="38"/>
      <c r="CC40" s="38"/>
      <c r="CD40" s="38"/>
      <c r="CE40" s="38"/>
      <c r="CF40" s="38"/>
      <c r="CG40" s="38"/>
      <c r="CH40" s="38"/>
      <c r="CI40" s="38"/>
      <c r="CJ40" s="38"/>
      <c r="CK40" s="38"/>
      <c r="CL40" s="38"/>
      <c r="CM40" s="38"/>
      <c r="CN40" s="38"/>
      <c r="CO40" s="38"/>
      <c r="CP40" s="38"/>
      <c r="CQ40" s="38"/>
      <c r="CR40" s="38"/>
      <c r="CS40" s="38"/>
      <c r="CT40" s="38"/>
      <c r="CU40" s="38"/>
      <c r="CX40" s="38"/>
      <c r="CY40" s="38"/>
      <c r="CZ40" s="38"/>
      <c r="DA40" s="38"/>
      <c r="DB40" s="38"/>
      <c r="DC40" s="38"/>
      <c r="DD40" s="38"/>
      <c r="DE40" s="38"/>
      <c r="DF40" s="38"/>
      <c r="DG40" s="38"/>
      <c r="DH40" s="38"/>
      <c r="DI40" s="38"/>
      <c r="DJ40" s="38"/>
      <c r="DK40" s="38"/>
      <c r="DL40" s="38"/>
      <c r="DM40" s="38"/>
      <c r="DN40" s="38"/>
      <c r="DO40" s="38"/>
      <c r="DP40" s="38"/>
      <c r="DQ40" s="38"/>
      <c r="DR40" s="38"/>
      <c r="DS40" s="38"/>
      <c r="DT40" s="38"/>
      <c r="DU40" s="38"/>
      <c r="DV40" s="38"/>
      <c r="DW40" s="38"/>
      <c r="DX40" s="38"/>
      <c r="DY40" s="38"/>
      <c r="DZ40" s="38"/>
      <c r="EA40" s="38"/>
      <c r="EB40" s="38"/>
      <c r="EC40" s="38"/>
      <c r="ED40" s="38"/>
      <c r="EE40" s="38"/>
      <c r="EF40" s="38"/>
      <c r="EG40" s="38"/>
      <c r="EH40" s="38"/>
      <c r="EI40" s="38"/>
      <c r="EJ40" s="38"/>
      <c r="EK40" s="38"/>
      <c r="EL40" s="38"/>
      <c r="EM40" s="38"/>
      <c r="EN40" s="38"/>
      <c r="EO40" s="38"/>
      <c r="EP40" s="38"/>
      <c r="EQ40" s="38"/>
      <c r="ER40" s="38"/>
      <c r="ES40" s="38"/>
      <c r="ET40" s="38"/>
      <c r="EU40" s="38"/>
      <c r="EV40" s="38"/>
      <c r="EW40" s="38"/>
      <c r="EX40" s="38"/>
      <c r="EY40" s="38"/>
      <c r="EZ40" s="38"/>
      <c r="FA40" s="38"/>
      <c r="FB40" s="38"/>
      <c r="FC40" s="38"/>
      <c r="FD40" s="38"/>
      <c r="FE40" s="38"/>
      <c r="FF40" s="38"/>
      <c r="FG40" s="38"/>
      <c r="FH40" s="38"/>
      <c r="FI40" s="38"/>
      <c r="FJ40" s="38"/>
      <c r="FK40" s="38"/>
      <c r="FL40" s="38"/>
      <c r="FM40" s="38"/>
      <c r="FN40" s="38"/>
      <c r="FO40" s="38"/>
      <c r="FP40" s="38"/>
    </row>
    <row r="41" spans="1:183">
      <c r="A41" s="4"/>
      <c r="B41" t="s">
        <v>235</v>
      </c>
    </row>
    <row r="42" spans="1:183">
      <c r="EH42" s="2" t="s">
        <v>238</v>
      </c>
    </row>
    <row r="43" spans="1:183">
      <c r="B43" s="2" t="s">
        <v>255</v>
      </c>
    </row>
    <row r="44" spans="1:183">
      <c r="B44" s="2" t="s">
        <v>256</v>
      </c>
    </row>
    <row r="45" spans="1:183">
      <c r="B45" s="39" t="s">
        <v>236</v>
      </c>
      <c r="FW45" s="5"/>
      <c r="FX45" s="5"/>
      <c r="FY45" s="5"/>
      <c r="FZ45" s="5"/>
      <c r="GA45" s="5"/>
    </row>
  </sheetData>
  <mergeCells count="1">
    <mergeCell ref="E3:AF3"/>
  </mergeCells>
  <conditionalFormatting sqref="FM28 FN27:FP39">
    <cfRule type="cellIs" dxfId="5" priority="3" operator="greaterThan">
      <formula>0</formula>
    </cfRule>
    <cfRule type="cellIs" dxfId="4" priority="4" operator="lessThan">
      <formula>0</formula>
    </cfRule>
  </conditionalFormatting>
  <conditionalFormatting sqref="FN6:FP10 FN13:FP16 FN19:FP22 FL28 FL30 FL11:FP12 FL17:FP18 FL23:FP26">
    <cfRule type="cellIs" dxfId="3" priority="8" operator="greaterThan">
      <formula>0</formula>
    </cfRule>
    <cfRule type="cellIs" dxfId="2" priority="9" operator="lessThan">
      <formula>0</formula>
    </cfRule>
  </conditionalFormatting>
  <conditionalFormatting sqref="FM30">
    <cfRule type="cellIs" dxfId="1" priority="1" operator="greaterThan">
      <formula>0</formula>
    </cfRule>
    <cfRule type="cellIs" dxfId="0" priority="2" operator="lessThan">
      <formula>0</formula>
    </cfRule>
  </conditionalFormatting>
  <pageMargins left="0.7" right="0.7" top="0.75" bottom="0.75" header="0.3" footer="0.3"/>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2:GF8"/>
  <sheetViews>
    <sheetView topLeftCell="EA1" zoomScale="55" zoomScaleNormal="55" workbookViewId="0">
      <selection activeCell="FI23" sqref="FI23"/>
    </sheetView>
  </sheetViews>
  <sheetFormatPr defaultColWidth="11" defaultRowHeight="15.75"/>
  <cols>
    <col min="2" max="101" width="11" hidden="1" customWidth="1"/>
  </cols>
  <sheetData>
    <row r="2" spans="1:188">
      <c r="B2" s="99">
        <v>2023</v>
      </c>
      <c r="C2" s="99"/>
      <c r="D2" s="99"/>
      <c r="E2" s="99"/>
      <c r="F2" s="99"/>
      <c r="G2" s="99"/>
      <c r="H2" s="99"/>
      <c r="I2" s="99"/>
      <c r="J2" s="99"/>
      <c r="K2" s="99"/>
      <c r="L2" s="99"/>
      <c r="M2" s="99"/>
      <c r="N2" s="99"/>
      <c r="O2" s="99"/>
      <c r="P2" s="99"/>
      <c r="Q2" s="99"/>
      <c r="R2" s="99"/>
      <c r="S2" s="99"/>
      <c r="T2" s="99"/>
      <c r="U2" s="99"/>
      <c r="V2" s="99"/>
      <c r="W2" s="99"/>
      <c r="X2" s="99"/>
      <c r="Y2" s="99"/>
      <c r="Z2" s="99"/>
      <c r="AA2" s="99"/>
      <c r="AB2" s="99"/>
      <c r="AC2" s="99"/>
      <c r="AD2" s="99"/>
      <c r="AE2" s="99"/>
      <c r="AF2" s="99"/>
      <c r="AG2" s="99"/>
      <c r="AH2" s="99"/>
      <c r="AI2" s="99"/>
      <c r="AJ2" s="99"/>
      <c r="AK2" s="99"/>
      <c r="AL2" s="99"/>
      <c r="AM2" s="99"/>
      <c r="AN2" s="99"/>
      <c r="AO2" s="99"/>
      <c r="AP2" s="99"/>
      <c r="AQ2" s="99"/>
      <c r="AR2" s="99"/>
      <c r="AS2" s="99"/>
      <c r="AT2" s="99"/>
      <c r="AU2" s="99"/>
      <c r="AV2" s="99"/>
      <c r="AW2" s="99"/>
      <c r="AX2" s="99"/>
      <c r="AY2" s="99"/>
      <c r="AZ2" s="99"/>
      <c r="BA2" s="99">
        <v>2024</v>
      </c>
      <c r="BB2" s="99"/>
      <c r="BC2" s="99"/>
      <c r="BD2" s="99"/>
      <c r="BE2" s="99"/>
      <c r="BF2" s="99"/>
      <c r="BG2" s="99"/>
      <c r="BH2" s="99"/>
      <c r="BI2" s="99"/>
      <c r="BJ2" s="99"/>
      <c r="BK2" s="99"/>
      <c r="BL2" s="99"/>
      <c r="BM2" s="99"/>
      <c r="BN2" s="99"/>
      <c r="BO2" s="99"/>
      <c r="BP2" s="99"/>
      <c r="BQ2" s="99"/>
      <c r="BR2" s="99"/>
      <c r="BS2" s="99"/>
      <c r="BT2" s="99"/>
      <c r="BU2" s="99"/>
      <c r="BV2" s="99"/>
      <c r="BW2" s="99"/>
      <c r="BX2" s="99"/>
      <c r="BY2" s="99"/>
      <c r="BZ2" s="99"/>
      <c r="CA2" s="99"/>
      <c r="CB2" s="99"/>
      <c r="CC2" s="99"/>
      <c r="CD2" s="99"/>
      <c r="CE2" s="99"/>
      <c r="CF2" s="99"/>
      <c r="CG2" s="99"/>
      <c r="CH2" s="99"/>
      <c r="CI2" s="99"/>
      <c r="CJ2" s="99"/>
      <c r="CK2" s="99"/>
      <c r="CL2" s="99"/>
      <c r="CM2" s="99"/>
      <c r="CN2" s="99"/>
      <c r="CO2" s="99"/>
      <c r="CP2" s="99"/>
      <c r="CQ2" s="99"/>
      <c r="CR2" s="99"/>
      <c r="CS2" s="99"/>
      <c r="CT2" s="99"/>
      <c r="CU2" s="99"/>
      <c r="CV2" s="99"/>
      <c r="CW2" s="99"/>
      <c r="CX2" s="99">
        <v>2025</v>
      </c>
      <c r="CY2" s="99"/>
      <c r="CZ2" s="99"/>
      <c r="DA2" s="99"/>
      <c r="DB2" s="99"/>
      <c r="DC2" s="99"/>
      <c r="DD2" s="99"/>
      <c r="DE2" s="99"/>
      <c r="DF2" s="99"/>
      <c r="DG2" s="99"/>
      <c r="DH2" s="99"/>
      <c r="DI2" s="99"/>
      <c r="DJ2" s="99"/>
      <c r="DK2" s="99"/>
      <c r="DL2" s="99"/>
      <c r="DM2" s="99"/>
      <c r="DN2" s="99"/>
      <c r="DO2" s="99"/>
      <c r="DP2" s="99"/>
      <c r="DQ2" s="99"/>
      <c r="DR2" s="99"/>
      <c r="DS2" s="99"/>
      <c r="DT2" s="99"/>
      <c r="DU2" s="99"/>
      <c r="DV2" s="99"/>
      <c r="DW2" s="99"/>
      <c r="DX2" s="99"/>
      <c r="DY2" s="99"/>
      <c r="DZ2" s="99"/>
      <c r="EA2" s="99"/>
      <c r="EB2" s="99"/>
      <c r="EC2" s="99"/>
      <c r="ED2" s="99"/>
      <c r="EE2" s="99"/>
      <c r="EF2" s="99"/>
      <c r="EG2" s="99"/>
      <c r="EH2" s="99"/>
      <c r="EI2" s="99"/>
      <c r="EJ2" s="99"/>
      <c r="EK2" s="99"/>
      <c r="EL2" s="99"/>
      <c r="EM2" s="99"/>
      <c r="EN2" s="99"/>
      <c r="EO2" s="99"/>
      <c r="EP2" s="99"/>
      <c r="EQ2" s="99"/>
      <c r="ER2" s="99"/>
      <c r="ES2" s="99"/>
      <c r="ET2" s="99"/>
      <c r="EU2" s="99"/>
      <c r="EV2" s="99"/>
      <c r="EW2">
        <v>2026</v>
      </c>
    </row>
    <row r="3" spans="1:188">
      <c r="B3" s="1">
        <v>1</v>
      </c>
      <c r="C3" s="1">
        <v>2</v>
      </c>
      <c r="D3" s="1">
        <v>3</v>
      </c>
      <c r="E3" s="1">
        <v>5</v>
      </c>
      <c r="F3" s="1">
        <v>6</v>
      </c>
      <c r="G3" s="1">
        <v>7</v>
      </c>
      <c r="H3" s="1">
        <v>8</v>
      </c>
      <c r="I3" s="1">
        <v>9</v>
      </c>
      <c r="J3" s="1">
        <v>10</v>
      </c>
      <c r="K3" s="1">
        <v>11</v>
      </c>
      <c r="L3" s="1">
        <v>12</v>
      </c>
      <c r="M3" s="1">
        <v>13</v>
      </c>
      <c r="N3" s="1">
        <v>14</v>
      </c>
      <c r="O3" s="1">
        <v>15</v>
      </c>
      <c r="P3" s="1">
        <v>16</v>
      </c>
      <c r="Q3" s="1">
        <v>17</v>
      </c>
      <c r="R3" s="1">
        <v>18</v>
      </c>
      <c r="S3" s="1">
        <v>19</v>
      </c>
      <c r="T3" s="1">
        <v>20</v>
      </c>
      <c r="U3" s="1">
        <v>21</v>
      </c>
      <c r="V3" s="1">
        <v>22</v>
      </c>
      <c r="W3" s="1">
        <v>23</v>
      </c>
      <c r="X3" s="1">
        <v>24</v>
      </c>
      <c r="Y3" s="1">
        <v>25</v>
      </c>
      <c r="Z3" s="1">
        <v>26</v>
      </c>
      <c r="AA3" s="1">
        <v>27</v>
      </c>
      <c r="AB3" s="1">
        <v>28</v>
      </c>
      <c r="AC3" s="1">
        <v>29</v>
      </c>
      <c r="AD3" s="1">
        <v>30</v>
      </c>
      <c r="AE3" s="1">
        <v>31</v>
      </c>
      <c r="AF3" s="1">
        <v>32</v>
      </c>
      <c r="AG3" s="1">
        <v>33</v>
      </c>
      <c r="AH3" s="1">
        <v>34</v>
      </c>
      <c r="AI3" s="1">
        <v>35</v>
      </c>
      <c r="AJ3" s="1">
        <v>36</v>
      </c>
      <c r="AK3" s="1">
        <v>37</v>
      </c>
      <c r="AL3" s="1">
        <v>38</v>
      </c>
      <c r="AM3" s="1">
        <v>39</v>
      </c>
      <c r="AN3" s="1">
        <v>40</v>
      </c>
      <c r="AO3" s="1">
        <v>41</v>
      </c>
      <c r="AP3" s="1">
        <v>42</v>
      </c>
      <c r="AQ3" s="1">
        <v>43</v>
      </c>
      <c r="AR3" s="1">
        <v>44</v>
      </c>
      <c r="AS3" s="1">
        <v>45</v>
      </c>
      <c r="AT3" s="1">
        <v>46</v>
      </c>
      <c r="AU3" s="1">
        <v>47</v>
      </c>
      <c r="AV3" s="1">
        <v>48</v>
      </c>
      <c r="AW3" s="1">
        <v>49</v>
      </c>
      <c r="AX3" s="1">
        <v>50</v>
      </c>
      <c r="AY3" s="1">
        <v>51</v>
      </c>
      <c r="AZ3" s="1">
        <v>52</v>
      </c>
      <c r="BA3" s="1">
        <v>1</v>
      </c>
      <c r="BB3">
        <v>2</v>
      </c>
      <c r="BC3">
        <v>3</v>
      </c>
      <c r="BD3">
        <v>4</v>
      </c>
      <c r="BE3">
        <v>5</v>
      </c>
      <c r="BF3">
        <v>6</v>
      </c>
      <c r="BG3">
        <v>8</v>
      </c>
      <c r="BH3">
        <v>9</v>
      </c>
      <c r="BI3">
        <v>10</v>
      </c>
      <c r="BJ3">
        <v>11</v>
      </c>
      <c r="BK3">
        <v>12</v>
      </c>
      <c r="BL3">
        <v>13</v>
      </c>
      <c r="BM3">
        <v>14</v>
      </c>
      <c r="BN3">
        <v>15</v>
      </c>
      <c r="BO3">
        <v>16</v>
      </c>
      <c r="BP3">
        <v>17</v>
      </c>
      <c r="BQ3">
        <v>19</v>
      </c>
      <c r="BR3">
        <v>20</v>
      </c>
      <c r="BS3">
        <v>21</v>
      </c>
      <c r="BT3">
        <v>22</v>
      </c>
      <c r="BU3">
        <v>23</v>
      </c>
      <c r="BV3">
        <v>24</v>
      </c>
      <c r="BW3">
        <v>25</v>
      </c>
      <c r="BX3">
        <v>26</v>
      </c>
      <c r="BY3">
        <v>27</v>
      </c>
      <c r="BZ3">
        <v>28</v>
      </c>
      <c r="CA3">
        <v>29</v>
      </c>
      <c r="CB3">
        <v>30</v>
      </c>
      <c r="CC3">
        <v>31</v>
      </c>
      <c r="CD3">
        <v>32</v>
      </c>
      <c r="CE3">
        <v>33</v>
      </c>
      <c r="CF3">
        <v>34</v>
      </c>
      <c r="CG3">
        <v>35</v>
      </c>
      <c r="CH3">
        <v>36</v>
      </c>
      <c r="CI3">
        <v>37</v>
      </c>
      <c r="CJ3">
        <v>38</v>
      </c>
      <c r="CK3">
        <v>39</v>
      </c>
      <c r="CL3">
        <v>41</v>
      </c>
      <c r="CM3">
        <v>42</v>
      </c>
      <c r="CN3">
        <v>43</v>
      </c>
      <c r="CO3">
        <v>44</v>
      </c>
      <c r="CP3">
        <v>45</v>
      </c>
      <c r="CQ3">
        <v>46</v>
      </c>
      <c r="CR3">
        <v>47</v>
      </c>
      <c r="CS3">
        <v>48</v>
      </c>
      <c r="CT3">
        <v>49</v>
      </c>
      <c r="CU3">
        <v>50</v>
      </c>
      <c r="CV3">
        <v>51</v>
      </c>
      <c r="CW3">
        <v>52</v>
      </c>
      <c r="CX3">
        <v>1</v>
      </c>
      <c r="CY3">
        <v>2</v>
      </c>
      <c r="CZ3">
        <v>3</v>
      </c>
      <c r="DA3">
        <v>4</v>
      </c>
      <c r="DB3">
        <v>6</v>
      </c>
      <c r="DC3">
        <v>7</v>
      </c>
      <c r="DD3">
        <v>8</v>
      </c>
      <c r="DE3">
        <v>9</v>
      </c>
      <c r="DF3">
        <v>10</v>
      </c>
      <c r="DG3">
        <v>11</v>
      </c>
      <c r="DH3">
        <v>12</v>
      </c>
      <c r="DI3">
        <v>13</v>
      </c>
      <c r="DJ3">
        <v>14</v>
      </c>
      <c r="DK3">
        <v>15</v>
      </c>
      <c r="DL3">
        <v>16</v>
      </c>
      <c r="DM3">
        <v>17</v>
      </c>
      <c r="DN3">
        <v>18</v>
      </c>
      <c r="DO3">
        <v>19</v>
      </c>
      <c r="DP3">
        <v>20</v>
      </c>
      <c r="DQ3">
        <v>21</v>
      </c>
      <c r="DR3">
        <v>22</v>
      </c>
      <c r="DS3">
        <v>23</v>
      </c>
      <c r="DT3">
        <v>24</v>
      </c>
      <c r="DU3">
        <v>25</v>
      </c>
      <c r="DV3">
        <v>26</v>
      </c>
      <c r="DW3">
        <v>27</v>
      </c>
      <c r="DX3">
        <v>28</v>
      </c>
      <c r="DY3">
        <v>29</v>
      </c>
      <c r="DZ3">
        <v>30</v>
      </c>
      <c r="EA3">
        <v>31</v>
      </c>
      <c r="EB3">
        <v>32</v>
      </c>
      <c r="EC3">
        <v>33</v>
      </c>
      <c r="ED3">
        <v>34</v>
      </c>
      <c r="EE3">
        <v>35</v>
      </c>
      <c r="EF3">
        <v>36</v>
      </c>
      <c r="EG3">
        <v>37</v>
      </c>
      <c r="EH3">
        <v>38</v>
      </c>
      <c r="EI3">
        <v>39</v>
      </c>
      <c r="EJ3">
        <v>41</v>
      </c>
      <c r="EK3">
        <v>42</v>
      </c>
      <c r="EL3">
        <v>43</v>
      </c>
      <c r="EM3">
        <v>44</v>
      </c>
      <c r="EN3">
        <v>45</v>
      </c>
      <c r="EO3">
        <v>46</v>
      </c>
      <c r="EP3">
        <v>47</v>
      </c>
      <c r="EQ3">
        <v>48</v>
      </c>
      <c r="ER3">
        <v>49</v>
      </c>
      <c r="ES3">
        <v>50</v>
      </c>
      <c r="ET3">
        <v>51</v>
      </c>
      <c r="EU3">
        <v>52</v>
      </c>
      <c r="EV3" t="s">
        <v>192</v>
      </c>
      <c r="EW3">
        <v>1</v>
      </c>
      <c r="EX3">
        <v>2</v>
      </c>
      <c r="EY3">
        <v>3</v>
      </c>
      <c r="EZ3">
        <v>4</v>
      </c>
      <c r="FA3">
        <v>5</v>
      </c>
      <c r="FB3">
        <v>6</v>
      </c>
      <c r="FC3">
        <v>8</v>
      </c>
      <c r="FD3">
        <v>9</v>
      </c>
      <c r="FE3">
        <v>10</v>
      </c>
      <c r="FF3">
        <v>11</v>
      </c>
      <c r="FG3">
        <v>12</v>
      </c>
      <c r="FH3">
        <v>13</v>
      </c>
      <c r="FI3">
        <v>14</v>
      </c>
      <c r="FJ3">
        <v>15</v>
      </c>
      <c r="FK3">
        <v>16</v>
      </c>
      <c r="FL3">
        <v>17</v>
      </c>
      <c r="FM3">
        <v>18</v>
      </c>
      <c r="FN3">
        <v>19</v>
      </c>
      <c r="FO3">
        <v>20</v>
      </c>
      <c r="FP3">
        <v>21</v>
      </c>
      <c r="FQ3">
        <v>22</v>
      </c>
      <c r="FR3">
        <v>23</v>
      </c>
      <c r="FS3">
        <v>24</v>
      </c>
      <c r="FT3">
        <v>25</v>
      </c>
      <c r="FU3">
        <v>26</v>
      </c>
      <c r="FV3">
        <v>27</v>
      </c>
      <c r="FW3">
        <v>28</v>
      </c>
      <c r="FX3">
        <v>29</v>
      </c>
      <c r="FY3">
        <v>30</v>
      </c>
      <c r="FZ3">
        <v>31</v>
      </c>
      <c r="GA3">
        <v>32</v>
      </c>
      <c r="GB3">
        <v>33</v>
      </c>
      <c r="GC3">
        <v>34</v>
      </c>
      <c r="GD3">
        <v>35</v>
      </c>
      <c r="GE3">
        <v>36</v>
      </c>
      <c r="GF3">
        <v>37</v>
      </c>
    </row>
    <row r="4" spans="1:188">
      <c r="A4" t="s">
        <v>198</v>
      </c>
      <c r="B4">
        <v>210</v>
      </c>
      <c r="C4">
        <v>170</v>
      </c>
      <c r="D4">
        <v>170</v>
      </c>
      <c r="E4">
        <v>208</v>
      </c>
      <c r="F4">
        <v>240</v>
      </c>
      <c r="G4">
        <v>241</v>
      </c>
      <c r="H4">
        <v>241</v>
      </c>
      <c r="I4">
        <v>240</v>
      </c>
      <c r="J4">
        <v>228</v>
      </c>
      <c r="K4">
        <v>220</v>
      </c>
      <c r="L4">
        <v>215</v>
      </c>
      <c r="M4">
        <v>209</v>
      </c>
      <c r="N4">
        <v>201</v>
      </c>
      <c r="O4">
        <v>196</v>
      </c>
      <c r="P4">
        <v>194</v>
      </c>
      <c r="Q4">
        <v>182</v>
      </c>
      <c r="R4">
        <v>181</v>
      </c>
      <c r="S4">
        <v>161</v>
      </c>
      <c r="T4">
        <v>140</v>
      </c>
      <c r="U4">
        <v>135</v>
      </c>
      <c r="V4">
        <v>120</v>
      </c>
      <c r="W4">
        <v>115</v>
      </c>
      <c r="X4">
        <v>65</v>
      </c>
      <c r="Y4">
        <v>64.8</v>
      </c>
      <c r="Z4">
        <v>64</v>
      </c>
      <c r="AA4">
        <v>64</v>
      </c>
      <c r="AB4">
        <v>64.5</v>
      </c>
      <c r="AC4">
        <v>66</v>
      </c>
      <c r="AD4">
        <v>68</v>
      </c>
      <c r="AE4">
        <v>70.5</v>
      </c>
      <c r="AF4">
        <v>71.5</v>
      </c>
      <c r="AG4">
        <v>73.5</v>
      </c>
      <c r="AH4">
        <v>75</v>
      </c>
      <c r="AI4">
        <v>80</v>
      </c>
      <c r="AJ4">
        <v>82</v>
      </c>
      <c r="AK4">
        <v>82</v>
      </c>
      <c r="AL4">
        <v>82</v>
      </c>
      <c r="AM4">
        <v>82</v>
      </c>
      <c r="AN4">
        <v>82</v>
      </c>
      <c r="AO4">
        <v>82</v>
      </c>
      <c r="AP4">
        <v>80</v>
      </c>
      <c r="AQ4">
        <v>75</v>
      </c>
      <c r="AR4">
        <v>70</v>
      </c>
      <c r="AS4">
        <v>65</v>
      </c>
      <c r="AT4">
        <v>63.5</v>
      </c>
      <c r="AU4">
        <v>63</v>
      </c>
      <c r="AV4">
        <v>63</v>
      </c>
      <c r="AW4">
        <v>62.5</v>
      </c>
      <c r="AX4">
        <v>62.5</v>
      </c>
      <c r="AY4">
        <v>61</v>
      </c>
      <c r="AZ4">
        <f>Sheet1!AY7</f>
        <v>61</v>
      </c>
      <c r="BA4">
        <f>Sheet1!AZ7</f>
        <v>61</v>
      </c>
      <c r="BB4">
        <f>Sheet1!BA7</f>
        <v>61</v>
      </c>
      <c r="BC4">
        <f>Sheet1!BB7</f>
        <v>61.5</v>
      </c>
      <c r="BD4">
        <f>Sheet1!BC7</f>
        <v>61.5</v>
      </c>
      <c r="BE4">
        <f>Sheet1!BD7</f>
        <v>61.5</v>
      </c>
      <c r="BF4">
        <f>Sheet1!BE7</f>
        <v>61.5</v>
      </c>
      <c r="BG4">
        <f>Sheet1!BF7</f>
        <v>61.5</v>
      </c>
      <c r="BH4">
        <f>Sheet1!BG7</f>
        <v>61.5</v>
      </c>
      <c r="BI4">
        <f>Sheet1!BH7</f>
        <v>61.5</v>
      </c>
      <c r="BJ4">
        <f>Sheet1!BI7</f>
        <v>61.5</v>
      </c>
      <c r="BK4">
        <f>Sheet1!BJ7</f>
        <v>61.5</v>
      </c>
      <c r="BL4">
        <f>Sheet1!BK7</f>
        <v>60</v>
      </c>
      <c r="BM4">
        <f>Sheet1!BL7</f>
        <v>60</v>
      </c>
      <c r="BN4">
        <f>Sheet1!BM7</f>
        <v>58</v>
      </c>
      <c r="BO4">
        <f>Sheet1!BN7</f>
        <v>55</v>
      </c>
      <c r="BP4">
        <f>Sheet1!BO7</f>
        <v>48</v>
      </c>
      <c r="BQ4">
        <f>Sheet1!BP7</f>
        <v>39</v>
      </c>
      <c r="BR4">
        <f>Sheet1!BQ7</f>
        <v>38</v>
      </c>
      <c r="BS4">
        <f>Sheet1!BR7</f>
        <v>38</v>
      </c>
      <c r="BT4">
        <f>Sheet1!BS7</f>
        <v>37</v>
      </c>
      <c r="BU4">
        <f>Sheet1!BT7</f>
        <v>37</v>
      </c>
      <c r="BV4">
        <f>Sheet1!BU7</f>
        <v>37</v>
      </c>
      <c r="BW4">
        <f>Sheet1!BV7</f>
        <v>35</v>
      </c>
      <c r="BX4">
        <f>Sheet1!BW7</f>
        <v>35</v>
      </c>
      <c r="BY4">
        <f>Sheet1!BX7</f>
        <v>35</v>
      </c>
      <c r="BZ4">
        <f>Sheet1!BY7</f>
        <v>35</v>
      </c>
      <c r="CA4">
        <f>Sheet1!BZ7</f>
        <v>35</v>
      </c>
      <c r="CB4">
        <f>Sheet1!CA7</f>
        <v>35</v>
      </c>
      <c r="CC4">
        <f>Sheet1!CB7</f>
        <v>35</v>
      </c>
      <c r="CD4">
        <f>Sheet1!CC7</f>
        <v>35</v>
      </c>
      <c r="CE4">
        <f>Sheet1!CD7</f>
        <v>35</v>
      </c>
      <c r="CF4">
        <f>Sheet1!CE7</f>
        <v>35</v>
      </c>
      <c r="CG4">
        <f>Sheet1!CF7</f>
        <v>35</v>
      </c>
      <c r="CH4">
        <f>Sheet1!CG7</f>
        <v>35</v>
      </c>
      <c r="CI4">
        <f>Sheet1!CH7</f>
        <v>35</v>
      </c>
      <c r="CJ4">
        <f>Sheet1!CJ7</f>
        <v>35</v>
      </c>
      <c r="CK4">
        <f>Sheet1!CK7</f>
        <v>35</v>
      </c>
      <c r="CL4">
        <f>Sheet1!CL7</f>
        <v>35</v>
      </c>
      <c r="CM4">
        <f>Sheet1!CM7</f>
        <v>35</v>
      </c>
      <c r="CN4">
        <f>Sheet1!CN7</f>
        <v>35</v>
      </c>
      <c r="CO4">
        <f>Sheet1!CO7</f>
        <v>35</v>
      </c>
      <c r="CP4">
        <f>Sheet1!CP7</f>
        <v>35</v>
      </c>
      <c r="CQ4">
        <f>Sheet1!CQ7</f>
        <v>35</v>
      </c>
      <c r="CR4">
        <f>Sheet1!CR7</f>
        <v>35</v>
      </c>
      <c r="CS4">
        <f>Sheet1!CS7</f>
        <v>35</v>
      </c>
      <c r="CT4">
        <f>Sheet1!CT7</f>
        <v>35</v>
      </c>
      <c r="CU4">
        <f>Sheet1!CU7</f>
        <v>35</v>
      </c>
      <c r="CV4">
        <f>Sheet1!CV7</f>
        <v>35</v>
      </c>
      <c r="CW4">
        <f>Sheet1!CW7</f>
        <v>35</v>
      </c>
      <c r="CX4">
        <f>Sheet1!CX7</f>
        <v>35</v>
      </c>
      <c r="CY4">
        <f>Sheet1!CY7</f>
        <v>35</v>
      </c>
      <c r="CZ4">
        <f>Sheet1!CZ7</f>
        <v>35</v>
      </c>
      <c r="DA4">
        <f>Sheet1!DA7</f>
        <v>35</v>
      </c>
      <c r="DB4">
        <f>Sheet1!DB7</f>
        <v>35</v>
      </c>
      <c r="DC4">
        <f>Sheet1!DC7</f>
        <v>35</v>
      </c>
      <c r="DD4">
        <f>Sheet1!DD7</f>
        <v>35</v>
      </c>
      <c r="DE4">
        <f>Sheet1!DE7</f>
        <v>35</v>
      </c>
      <c r="DF4">
        <f>Sheet1!DF7</f>
        <v>35</v>
      </c>
      <c r="DG4">
        <f>Sheet1!DG7</f>
        <v>35</v>
      </c>
      <c r="DH4">
        <f>Sheet1!DH7</f>
        <v>35</v>
      </c>
      <c r="DI4">
        <f>Sheet1!DI7</f>
        <v>35</v>
      </c>
      <c r="DJ4">
        <f>Sheet1!DJ7</f>
        <v>35</v>
      </c>
      <c r="DK4">
        <f>Sheet1!DK7</f>
        <v>35</v>
      </c>
      <c r="DL4">
        <f>Sheet1!DL7</f>
        <v>35</v>
      </c>
      <c r="DM4">
        <f>Sheet1!DM7</f>
        <v>35</v>
      </c>
      <c r="DN4">
        <f>Sheet1!DN7</f>
        <v>35</v>
      </c>
      <c r="DO4">
        <f>Sheet1!DO7</f>
        <v>35</v>
      </c>
      <c r="DP4">
        <f>Sheet1!DP7</f>
        <v>35</v>
      </c>
      <c r="DQ4">
        <f>Sheet1!DQ7</f>
        <v>35</v>
      </c>
      <c r="DR4">
        <f>Sheet1!DR7</f>
        <v>35</v>
      </c>
      <c r="DS4">
        <f>Sheet1!DS7</f>
        <v>35</v>
      </c>
      <c r="DT4">
        <f>Sheet1!DT7</f>
        <v>35</v>
      </c>
      <c r="DU4">
        <f>Sheet1!DU7</f>
        <v>33.5</v>
      </c>
      <c r="DV4">
        <f>Sheet1!DV7</f>
        <v>33.5</v>
      </c>
      <c r="DW4">
        <f>Sheet1!DW7</f>
        <v>33.5</v>
      </c>
      <c r="DX4">
        <f>Sheet1!DX7</f>
        <v>33.5</v>
      </c>
      <c r="DY4">
        <f>Sheet1!DY7</f>
        <v>43</v>
      </c>
      <c r="DZ4">
        <f>Sheet1!DZ7</f>
        <v>43</v>
      </c>
      <c r="EA4">
        <f>Sheet1!EA7</f>
        <v>43</v>
      </c>
      <c r="EB4">
        <f>Sheet1!EB7</f>
        <v>43</v>
      </c>
      <c r="EC4">
        <f>Sheet1!EC7</f>
        <v>43</v>
      </c>
      <c r="ED4">
        <f>Sheet1!ED7</f>
        <v>43</v>
      </c>
      <c r="EE4">
        <f>Sheet1!EE7</f>
        <v>43.5</v>
      </c>
      <c r="EF4">
        <f>Sheet1!EF7</f>
        <v>43.5</v>
      </c>
      <c r="EG4">
        <f>Sheet1!EG7</f>
        <v>43.5</v>
      </c>
      <c r="EH4">
        <f>Sheet1!EH7</f>
        <v>43.5</v>
      </c>
      <c r="EI4">
        <f>Sheet1!EI7</f>
        <v>43.5</v>
      </c>
      <c r="EJ4">
        <f>Sheet1!EJ7</f>
        <v>43.5</v>
      </c>
      <c r="EK4">
        <f>Sheet1!EK7</f>
        <v>43.5</v>
      </c>
      <c r="EL4">
        <f>Sheet1!EL7</f>
        <v>43.5</v>
      </c>
      <c r="EM4">
        <f>Sheet1!EM7</f>
        <v>43.5</v>
      </c>
      <c r="EN4">
        <f>Sheet1!EN7</f>
        <v>43.5</v>
      </c>
      <c r="EO4">
        <f>Sheet1!EO7</f>
        <v>43.5</v>
      </c>
      <c r="EP4">
        <f>Sheet1!EP7</f>
        <v>43.5</v>
      </c>
      <c r="EQ4">
        <f>Sheet1!EQ7</f>
        <v>43.5</v>
      </c>
      <c r="ER4">
        <f>Sheet1!ER7</f>
        <v>43.5</v>
      </c>
      <c r="ES4">
        <f>Sheet1!ES7</f>
        <v>43.5</v>
      </c>
      <c r="ET4">
        <f>Sheet1!ET7</f>
        <v>43.5</v>
      </c>
      <c r="EU4">
        <f>Sheet1!EU7</f>
        <v>43.5</v>
      </c>
      <c r="EV4">
        <f>Sheet1!EV7</f>
        <v>43.5</v>
      </c>
      <c r="EW4">
        <f>Sheet1!EW7</f>
        <v>43.5</v>
      </c>
      <c r="EX4">
        <f>Sheet1!EX7</f>
        <v>43.5</v>
      </c>
      <c r="EY4">
        <f>Sheet1!EY7</f>
        <v>43.5</v>
      </c>
      <c r="EZ4">
        <f>Sheet1!EZ7</f>
        <v>43.5</v>
      </c>
      <c r="FA4">
        <f>Sheet1!FA7</f>
        <v>43.5</v>
      </c>
      <c r="FB4">
        <f>Sheet1!FB7</f>
        <v>43.5</v>
      </c>
      <c r="FC4">
        <f>Sheet1!FC7</f>
        <v>43.5</v>
      </c>
      <c r="FD4">
        <f>Sheet1!FD7</f>
        <v>43</v>
      </c>
      <c r="FE4">
        <f>Sheet1!FE7</f>
        <v>43</v>
      </c>
      <c r="FF4">
        <f>Sheet1!FF7</f>
        <v>42.5</v>
      </c>
      <c r="FG4">
        <f>Sheet1!FG7</f>
        <v>42.5</v>
      </c>
      <c r="FH4">
        <f>Sheet1!FH7</f>
        <v>36</v>
      </c>
      <c r="FI4">
        <f>Sheet1!FI7</f>
        <v>34</v>
      </c>
      <c r="FJ4">
        <f>Sheet1!FJ7</f>
        <v>34</v>
      </c>
      <c r="FK4">
        <f>Sheet1!FK7</f>
        <v>34</v>
      </c>
      <c r="FL4">
        <f>Sheet1!FL7</f>
        <v>34</v>
      </c>
      <c r="FM4">
        <f>Sheet1!FM7</f>
        <v>34</v>
      </c>
      <c r="FN4">
        <f>Sheet1!FN7</f>
        <v>34</v>
      </c>
      <c r="FO4">
        <f>Sheet1!FO7</f>
        <v>33.5</v>
      </c>
      <c r="FP4">
        <f>Sheet1!FP7</f>
        <v>33.5</v>
      </c>
      <c r="FQ4">
        <f>Sheet1!FQ7</f>
        <v>33.5</v>
      </c>
      <c r="FR4">
        <f>Sheet1!FR7</f>
        <v>32</v>
      </c>
      <c r="FS4">
        <f>Sheet1!FS7</f>
        <v>32</v>
      </c>
      <c r="FT4">
        <f>Sheet1!FT7</f>
        <v>31</v>
      </c>
      <c r="FU4">
        <f>Sheet1!FU7</f>
        <v>31</v>
      </c>
      <c r="FV4">
        <f>Sheet1!FV7</f>
        <v>31</v>
      </c>
      <c r="FW4">
        <f>Sheet1!FW7</f>
        <v>31</v>
      </c>
      <c r="FX4">
        <f>Sheet1!FX7</f>
        <v>31</v>
      </c>
      <c r="FY4">
        <f>Sheet1!FY7</f>
        <v>30</v>
      </c>
      <c r="FZ4">
        <f>Sheet1!FZ7</f>
        <v>30</v>
      </c>
      <c r="GA4">
        <f>Sheet1!GA7</f>
        <v>30</v>
      </c>
      <c r="GB4">
        <f>Sheet1!GB7</f>
        <v>30</v>
      </c>
      <c r="GC4">
        <f>Sheet1!GC7</f>
        <v>30</v>
      </c>
      <c r="GD4">
        <f>Sheet1!GD7</f>
        <v>30</v>
      </c>
      <c r="GE4">
        <f>Sheet1!GE7</f>
        <v>38</v>
      </c>
      <c r="GF4">
        <f>Sheet1!GF7</f>
        <v>38</v>
      </c>
    </row>
    <row r="5" spans="1:188">
      <c r="A5" t="s">
        <v>199</v>
      </c>
      <c r="B5">
        <v>200</v>
      </c>
      <c r="C5">
        <v>162</v>
      </c>
      <c r="D5">
        <v>162</v>
      </c>
      <c r="E5">
        <v>200</v>
      </c>
      <c r="F5">
        <v>237</v>
      </c>
      <c r="G5">
        <v>237</v>
      </c>
      <c r="H5">
        <v>237</v>
      </c>
      <c r="I5">
        <v>234</v>
      </c>
      <c r="J5">
        <v>223</v>
      </c>
      <c r="K5">
        <v>218</v>
      </c>
      <c r="L5">
        <v>212</v>
      </c>
      <c r="M5">
        <v>206</v>
      </c>
      <c r="N5">
        <v>199</v>
      </c>
      <c r="O5">
        <v>194</v>
      </c>
      <c r="P5">
        <v>192</v>
      </c>
      <c r="Q5">
        <v>180</v>
      </c>
      <c r="R5">
        <v>178</v>
      </c>
      <c r="S5">
        <v>155</v>
      </c>
      <c r="T5">
        <v>138</v>
      </c>
      <c r="U5">
        <v>132</v>
      </c>
      <c r="V5">
        <v>115</v>
      </c>
      <c r="W5">
        <v>110</v>
      </c>
      <c r="X5">
        <v>63</v>
      </c>
      <c r="Y5">
        <v>62.5</v>
      </c>
      <c r="Z5">
        <v>62</v>
      </c>
      <c r="AA5">
        <v>62</v>
      </c>
      <c r="AB5">
        <v>62</v>
      </c>
      <c r="AC5">
        <v>64</v>
      </c>
      <c r="AD5">
        <v>65</v>
      </c>
      <c r="AE5">
        <v>68</v>
      </c>
      <c r="AF5">
        <v>69</v>
      </c>
      <c r="AG5">
        <v>71.5</v>
      </c>
      <c r="AH5">
        <v>73</v>
      </c>
      <c r="AI5">
        <v>77</v>
      </c>
      <c r="AJ5">
        <v>77</v>
      </c>
      <c r="AK5">
        <v>77</v>
      </c>
      <c r="AL5">
        <v>77</v>
      </c>
      <c r="AM5">
        <v>77</v>
      </c>
      <c r="AN5">
        <v>77</v>
      </c>
      <c r="AO5">
        <v>77</v>
      </c>
      <c r="AP5">
        <v>77</v>
      </c>
      <c r="AQ5">
        <v>72</v>
      </c>
      <c r="AR5">
        <v>65</v>
      </c>
      <c r="AS5">
        <v>65</v>
      </c>
      <c r="AT5">
        <v>65</v>
      </c>
      <c r="AU5">
        <v>65</v>
      </c>
      <c r="AV5">
        <v>64</v>
      </c>
      <c r="AW5">
        <v>60</v>
      </c>
      <c r="AX5">
        <v>60</v>
      </c>
      <c r="AY5">
        <v>59.5</v>
      </c>
      <c r="AZ5">
        <f>Sheet1!AY8</f>
        <v>59.5</v>
      </c>
      <c r="BA5">
        <f>Sheet1!AZ8</f>
        <v>59.5</v>
      </c>
      <c r="BB5">
        <f>Sheet1!BA8</f>
        <v>59.5</v>
      </c>
      <c r="BC5">
        <f>Sheet1!BB8</f>
        <v>59.5</v>
      </c>
      <c r="BD5">
        <f>Sheet1!BC8</f>
        <v>59.5</v>
      </c>
      <c r="BE5">
        <f>Sheet1!BD8</f>
        <v>59.5</v>
      </c>
      <c r="BF5">
        <f>Sheet1!BE8</f>
        <v>59.5</v>
      </c>
      <c r="BG5">
        <f>Sheet1!BF8</f>
        <v>59.5</v>
      </c>
      <c r="BH5">
        <f>Sheet1!BG8</f>
        <v>59.5</v>
      </c>
      <c r="BI5">
        <f>Sheet1!BH8</f>
        <v>59.5</v>
      </c>
      <c r="BJ5">
        <f>Sheet1!BI8</f>
        <v>59.5</v>
      </c>
      <c r="BK5">
        <f>Sheet1!BJ8</f>
        <v>59.5</v>
      </c>
      <c r="BL5">
        <f>Sheet1!BK8</f>
        <v>58</v>
      </c>
      <c r="BM5">
        <f>Sheet1!BL8</f>
        <v>58</v>
      </c>
      <c r="BN5">
        <f>Sheet1!BM8</f>
        <v>55</v>
      </c>
      <c r="BO5">
        <f>Sheet1!BN8</f>
        <v>52</v>
      </c>
      <c r="BP5">
        <f>Sheet1!BO8</f>
        <v>46</v>
      </c>
      <c r="BQ5">
        <f>Sheet1!BP8</f>
        <v>38</v>
      </c>
      <c r="BR5">
        <f>Sheet1!BQ8</f>
        <v>37</v>
      </c>
      <c r="BS5">
        <f>Sheet1!BR8</f>
        <v>37</v>
      </c>
      <c r="BT5">
        <f>Sheet1!BS8</f>
        <v>36</v>
      </c>
      <c r="BU5">
        <f>Sheet1!BT8</f>
        <v>36</v>
      </c>
      <c r="BV5">
        <f>Sheet1!BU8</f>
        <v>36</v>
      </c>
      <c r="BW5">
        <f>Sheet1!BV8</f>
        <v>34</v>
      </c>
      <c r="BX5">
        <f>Sheet1!BW8</f>
        <v>34</v>
      </c>
      <c r="BY5">
        <f>Sheet1!BX8</f>
        <v>34</v>
      </c>
      <c r="BZ5">
        <f>Sheet1!BY8</f>
        <v>34</v>
      </c>
      <c r="CA5">
        <f>Sheet1!BZ8</f>
        <v>34</v>
      </c>
      <c r="CB5">
        <f>Sheet1!CA8</f>
        <v>34</v>
      </c>
      <c r="CC5">
        <f>Sheet1!CB8</f>
        <v>34</v>
      </c>
      <c r="CD5">
        <f>Sheet1!CC8</f>
        <v>34</v>
      </c>
      <c r="CE5">
        <f>Sheet1!CD8</f>
        <v>34</v>
      </c>
      <c r="CF5">
        <f>Sheet1!CE8</f>
        <v>34</v>
      </c>
      <c r="CG5">
        <f>Sheet1!CF8</f>
        <v>34</v>
      </c>
      <c r="CH5">
        <f>Sheet1!CG8</f>
        <v>34</v>
      </c>
      <c r="CI5">
        <f>Sheet1!CH8</f>
        <v>34</v>
      </c>
      <c r="CJ5">
        <f>Sheet1!CJ8</f>
        <v>34</v>
      </c>
      <c r="CK5">
        <f>Sheet1!CK8</f>
        <v>34</v>
      </c>
      <c r="CL5">
        <f>Sheet1!CL8</f>
        <v>34</v>
      </c>
      <c r="CM5">
        <f>Sheet1!CM8</f>
        <v>34</v>
      </c>
      <c r="CN5">
        <f>Sheet1!CN8</f>
        <v>34</v>
      </c>
      <c r="CO5">
        <f>Sheet1!CO8</f>
        <v>34</v>
      </c>
      <c r="CP5">
        <f>Sheet1!CP8</f>
        <v>34</v>
      </c>
      <c r="CQ5">
        <f>Sheet1!CQ8</f>
        <v>34</v>
      </c>
      <c r="CR5">
        <f>Sheet1!CR8</f>
        <v>34</v>
      </c>
      <c r="CS5">
        <f>Sheet1!CS8</f>
        <v>34</v>
      </c>
      <c r="CT5">
        <f>Sheet1!CT8</f>
        <v>34</v>
      </c>
      <c r="CU5">
        <f>Sheet1!CU8</f>
        <v>34</v>
      </c>
      <c r="CV5">
        <f>Sheet1!CV8</f>
        <v>34</v>
      </c>
      <c r="CW5">
        <f>Sheet1!CW8</f>
        <v>34</v>
      </c>
      <c r="CX5">
        <f>Sheet1!CX8</f>
        <v>34</v>
      </c>
      <c r="CY5">
        <f>Sheet1!CY8</f>
        <v>34</v>
      </c>
      <c r="CZ5">
        <f>Sheet1!CZ8</f>
        <v>34</v>
      </c>
      <c r="DA5">
        <f>Sheet1!DA8</f>
        <v>34</v>
      </c>
      <c r="DB5">
        <f>Sheet1!DB8</f>
        <v>34</v>
      </c>
      <c r="DC5">
        <f>Sheet1!DC8</f>
        <v>34</v>
      </c>
      <c r="DD5">
        <f>Sheet1!DD8</f>
        <v>34</v>
      </c>
      <c r="DE5">
        <f>Sheet1!DE8</f>
        <v>34</v>
      </c>
      <c r="DF5">
        <f>Sheet1!DF8</f>
        <v>34</v>
      </c>
      <c r="DG5">
        <f>Sheet1!DG8</f>
        <v>34</v>
      </c>
      <c r="DH5">
        <f>Sheet1!DH8</f>
        <v>34</v>
      </c>
      <c r="DI5">
        <f>Sheet1!DI8</f>
        <v>34</v>
      </c>
      <c r="DJ5">
        <f>Sheet1!DJ8</f>
        <v>34</v>
      </c>
      <c r="DK5">
        <f>Sheet1!DK8</f>
        <v>34</v>
      </c>
      <c r="DL5">
        <f>Sheet1!DL8</f>
        <v>34</v>
      </c>
      <c r="DM5">
        <f>Sheet1!DM8</f>
        <v>34</v>
      </c>
      <c r="DN5">
        <f>Sheet1!DN8</f>
        <v>34</v>
      </c>
      <c r="DO5">
        <f>Sheet1!DO8</f>
        <v>34</v>
      </c>
      <c r="DP5">
        <f>Sheet1!DP8</f>
        <v>34</v>
      </c>
      <c r="DQ5">
        <f>Sheet1!DQ8</f>
        <v>34</v>
      </c>
      <c r="DR5">
        <f>Sheet1!DR8</f>
        <v>34</v>
      </c>
      <c r="DS5">
        <f>Sheet1!DS8</f>
        <v>34</v>
      </c>
      <c r="DT5">
        <f>Sheet1!DT8</f>
        <v>34</v>
      </c>
      <c r="DU5">
        <f>Sheet1!DU8</f>
        <v>32.5</v>
      </c>
      <c r="DV5">
        <f>Sheet1!DV8</f>
        <v>32.5</v>
      </c>
      <c r="DW5">
        <f>Sheet1!DW8</f>
        <v>32.5</v>
      </c>
      <c r="DX5">
        <f>Sheet1!DX8</f>
        <v>32.5</v>
      </c>
      <c r="DY5">
        <f>Sheet1!DY8</f>
        <v>42</v>
      </c>
      <c r="DZ5">
        <f>Sheet1!DZ8</f>
        <v>42</v>
      </c>
      <c r="EA5">
        <f>Sheet1!EA8</f>
        <v>42</v>
      </c>
      <c r="EB5">
        <f>Sheet1!EB8</f>
        <v>42</v>
      </c>
      <c r="EC5">
        <f>Sheet1!EC8</f>
        <v>42</v>
      </c>
      <c r="ED5">
        <f>Sheet1!ED8</f>
        <v>42</v>
      </c>
      <c r="EE5">
        <f>Sheet1!EE8</f>
        <v>42.5</v>
      </c>
      <c r="EF5">
        <f>Sheet1!EF8</f>
        <v>42.5</v>
      </c>
      <c r="EG5">
        <f>Sheet1!EG8</f>
        <v>42.5</v>
      </c>
      <c r="EH5">
        <f>Sheet1!EH8</f>
        <v>42.5</v>
      </c>
      <c r="EI5">
        <f>Sheet1!EI8</f>
        <v>42.5</v>
      </c>
      <c r="EJ5">
        <f>Sheet1!EJ8</f>
        <v>42.5</v>
      </c>
      <c r="EK5">
        <f>Sheet1!EK8</f>
        <v>42.5</v>
      </c>
      <c r="EL5">
        <f>Sheet1!EL8</f>
        <v>42.5</v>
      </c>
      <c r="EM5">
        <f>Sheet1!EM8</f>
        <v>42.5</v>
      </c>
      <c r="EN5">
        <f>Sheet1!EN8</f>
        <v>42.5</v>
      </c>
      <c r="EO5">
        <f>Sheet1!EO8</f>
        <v>42.5</v>
      </c>
      <c r="EP5">
        <f>Sheet1!EP8</f>
        <v>42.5</v>
      </c>
      <c r="EQ5">
        <f>Sheet1!EQ8</f>
        <v>42.5</v>
      </c>
      <c r="ER5">
        <f>Sheet1!ER8</f>
        <v>42.5</v>
      </c>
      <c r="ES5">
        <f>Sheet1!ES8</f>
        <v>42.5</v>
      </c>
      <c r="ET5">
        <f>Sheet1!ET8</f>
        <v>42.5</v>
      </c>
      <c r="EU5">
        <f>Sheet1!EU8</f>
        <v>42.5</v>
      </c>
      <c r="EV5">
        <f>Sheet1!EV8</f>
        <v>42.5</v>
      </c>
      <c r="EW5">
        <f>Sheet1!EW8</f>
        <v>42.5</v>
      </c>
      <c r="EX5">
        <f>Sheet1!EX8</f>
        <v>42.5</v>
      </c>
      <c r="EY5">
        <f>Sheet1!EY8</f>
        <v>42.5</v>
      </c>
      <c r="EZ5">
        <f>Sheet1!EZ8</f>
        <v>42.5</v>
      </c>
      <c r="FA5">
        <f>Sheet1!FA8</f>
        <v>42.5</v>
      </c>
      <c r="FB5">
        <f>Sheet1!FB8</f>
        <v>42.5</v>
      </c>
      <c r="FC5">
        <f>Sheet1!FC8</f>
        <v>42.5</v>
      </c>
      <c r="FD5">
        <f>Sheet1!FD8</f>
        <v>42</v>
      </c>
      <c r="FE5">
        <f>Sheet1!FE8</f>
        <v>42</v>
      </c>
      <c r="FF5">
        <f>Sheet1!FF8</f>
        <v>39.9</v>
      </c>
      <c r="FG5">
        <f>Sheet1!FG8</f>
        <v>39.9</v>
      </c>
      <c r="FH5">
        <f>Sheet1!FH8</f>
        <v>35.5</v>
      </c>
      <c r="FI5">
        <f>Sheet1!FI8</f>
        <v>33</v>
      </c>
      <c r="FJ5">
        <f>Sheet1!FJ8</f>
        <v>33</v>
      </c>
      <c r="FK5">
        <f>Sheet1!FK8</f>
        <v>33</v>
      </c>
      <c r="FL5">
        <f>Sheet1!FL8</f>
        <v>33</v>
      </c>
      <c r="FM5">
        <f>Sheet1!FM8</f>
        <v>33</v>
      </c>
      <c r="FN5">
        <f>Sheet1!FN8</f>
        <v>33</v>
      </c>
      <c r="FO5">
        <f>Sheet1!FO8</f>
        <v>33</v>
      </c>
      <c r="FP5">
        <f>Sheet1!FP8</f>
        <v>32</v>
      </c>
      <c r="FQ5">
        <f>Sheet1!FQ8</f>
        <v>32</v>
      </c>
      <c r="FR5">
        <f>Sheet1!FR8</f>
        <v>31</v>
      </c>
      <c r="FS5">
        <f>Sheet1!FS8</f>
        <v>31</v>
      </c>
      <c r="FT5">
        <f>Sheet1!FT8</f>
        <v>30</v>
      </c>
      <c r="FU5">
        <f>Sheet1!FU8</f>
        <v>30</v>
      </c>
      <c r="FV5">
        <f>Sheet1!FV8</f>
        <v>30</v>
      </c>
      <c r="FW5">
        <f>Sheet1!FW8</f>
        <v>30</v>
      </c>
      <c r="FX5">
        <f>Sheet1!FX8</f>
        <v>30</v>
      </c>
      <c r="FY5">
        <f>Sheet1!FY8</f>
        <v>28</v>
      </c>
      <c r="FZ5">
        <f>Sheet1!FZ8</f>
        <v>28</v>
      </c>
      <c r="GA5">
        <f>Sheet1!GA8</f>
        <v>28</v>
      </c>
      <c r="GB5">
        <f>Sheet1!GB8</f>
        <v>28</v>
      </c>
      <c r="GC5">
        <f>Sheet1!GC8</f>
        <v>28</v>
      </c>
      <c r="GD5">
        <f>Sheet1!GD8</f>
        <v>28</v>
      </c>
      <c r="GE5">
        <f>Sheet1!GE8</f>
        <v>36</v>
      </c>
      <c r="GF5">
        <f>Sheet1!GF8</f>
        <v>36</v>
      </c>
    </row>
    <row r="6" spans="1:188">
      <c r="A6" t="s">
        <v>201</v>
      </c>
      <c r="B6">
        <v>30</v>
      </c>
      <c r="C6">
        <v>28</v>
      </c>
      <c r="D6">
        <v>28</v>
      </c>
      <c r="E6">
        <v>28</v>
      </c>
      <c r="F6">
        <v>35</v>
      </c>
      <c r="G6">
        <v>35</v>
      </c>
      <c r="H6">
        <v>35</v>
      </c>
      <c r="I6">
        <v>35</v>
      </c>
      <c r="J6">
        <v>33</v>
      </c>
      <c r="K6">
        <v>33</v>
      </c>
      <c r="L6">
        <v>33</v>
      </c>
      <c r="M6">
        <v>33</v>
      </c>
      <c r="N6">
        <v>31</v>
      </c>
      <c r="O6">
        <v>30</v>
      </c>
      <c r="P6">
        <v>29</v>
      </c>
      <c r="Q6">
        <v>27</v>
      </c>
      <c r="R6">
        <v>26</v>
      </c>
      <c r="S6">
        <v>23.5</v>
      </c>
      <c r="T6">
        <v>23</v>
      </c>
      <c r="U6">
        <v>22.8</v>
      </c>
      <c r="V6">
        <v>21.5</v>
      </c>
      <c r="W6">
        <v>21</v>
      </c>
      <c r="X6">
        <v>20</v>
      </c>
      <c r="Y6">
        <v>20</v>
      </c>
      <c r="Z6">
        <v>20</v>
      </c>
      <c r="AA6">
        <v>20</v>
      </c>
      <c r="AB6">
        <v>20</v>
      </c>
      <c r="AC6">
        <v>20</v>
      </c>
      <c r="AD6">
        <v>20</v>
      </c>
      <c r="AE6">
        <v>20</v>
      </c>
      <c r="AF6">
        <v>20</v>
      </c>
      <c r="AG6">
        <v>20</v>
      </c>
      <c r="AH6">
        <v>20</v>
      </c>
      <c r="AI6">
        <v>20</v>
      </c>
      <c r="AJ6">
        <v>20</v>
      </c>
      <c r="AK6">
        <v>20</v>
      </c>
      <c r="AL6">
        <v>20</v>
      </c>
      <c r="AM6">
        <v>20</v>
      </c>
      <c r="AN6">
        <v>20</v>
      </c>
      <c r="AO6">
        <v>20</v>
      </c>
      <c r="AP6">
        <v>20</v>
      </c>
      <c r="AQ6">
        <v>20</v>
      </c>
      <c r="AR6">
        <v>20</v>
      </c>
      <c r="AS6">
        <v>20</v>
      </c>
      <c r="AT6">
        <v>20</v>
      </c>
      <c r="AU6">
        <v>20</v>
      </c>
      <c r="AV6">
        <v>20</v>
      </c>
      <c r="AW6">
        <v>20</v>
      </c>
      <c r="AX6">
        <v>20</v>
      </c>
      <c r="AY6">
        <v>20</v>
      </c>
      <c r="AZ6">
        <f>Sheet1!AY10</f>
        <v>20</v>
      </c>
      <c r="BA6">
        <f>Sheet1!AZ10</f>
        <v>20</v>
      </c>
      <c r="BB6">
        <f>Sheet1!BA10</f>
        <v>20</v>
      </c>
      <c r="BC6">
        <f>Sheet1!BB10</f>
        <v>20</v>
      </c>
      <c r="BD6">
        <f>Sheet1!BC10</f>
        <v>20</v>
      </c>
      <c r="BE6">
        <f>Sheet1!BD10</f>
        <v>20</v>
      </c>
      <c r="BF6">
        <f>Sheet1!BE10</f>
        <v>20</v>
      </c>
      <c r="BG6">
        <f>Sheet1!BF10</f>
        <v>20</v>
      </c>
      <c r="BH6">
        <f>Sheet1!BG10</f>
        <v>20</v>
      </c>
      <c r="BI6">
        <f>Sheet1!BH10</f>
        <v>20</v>
      </c>
      <c r="BJ6">
        <f>Sheet1!BI10</f>
        <v>20</v>
      </c>
      <c r="BK6">
        <f>Sheet1!BJ10</f>
        <v>20</v>
      </c>
      <c r="BL6">
        <f>Sheet1!BK10</f>
        <v>20</v>
      </c>
      <c r="BM6">
        <f>Sheet1!BL10</f>
        <v>20</v>
      </c>
      <c r="BN6">
        <f>Sheet1!BM10</f>
        <v>20</v>
      </c>
      <c r="BO6">
        <f>Sheet1!BN10</f>
        <v>20</v>
      </c>
      <c r="BP6">
        <f>Sheet1!BO10</f>
        <v>20</v>
      </c>
      <c r="BQ6">
        <f>Sheet1!BP10</f>
        <v>20</v>
      </c>
      <c r="BR6">
        <f>Sheet1!BQ10</f>
        <v>20</v>
      </c>
      <c r="BS6">
        <f>Sheet1!BR10</f>
        <v>20</v>
      </c>
      <c r="BT6">
        <f>Sheet1!BS10</f>
        <v>20</v>
      </c>
      <c r="BU6">
        <f>Sheet1!BT10</f>
        <v>20</v>
      </c>
      <c r="BV6">
        <f>Sheet1!BU10</f>
        <v>20</v>
      </c>
      <c r="BW6">
        <f>Sheet1!BV10</f>
        <v>20</v>
      </c>
      <c r="BX6">
        <f>Sheet1!BW10</f>
        <v>20</v>
      </c>
      <c r="BY6">
        <f>Sheet1!BX10</f>
        <v>20</v>
      </c>
      <c r="BZ6">
        <f>Sheet1!BY10</f>
        <v>20</v>
      </c>
      <c r="CA6">
        <f>Sheet1!BZ10</f>
        <v>20</v>
      </c>
      <c r="CB6">
        <f>Sheet1!CA10</f>
        <v>20</v>
      </c>
      <c r="CC6">
        <f>Sheet1!CB10</f>
        <v>20</v>
      </c>
      <c r="CD6">
        <f>Sheet1!CC10</f>
        <v>20</v>
      </c>
      <c r="CE6">
        <f>Sheet1!CD10</f>
        <v>20</v>
      </c>
      <c r="CF6">
        <f>Sheet1!CE10</f>
        <v>20</v>
      </c>
      <c r="CG6">
        <f>Sheet1!CF10</f>
        <v>20</v>
      </c>
      <c r="CH6">
        <f>Sheet1!CG10</f>
        <v>20</v>
      </c>
      <c r="CI6">
        <f>Sheet1!CH10</f>
        <v>20</v>
      </c>
      <c r="CJ6">
        <f>Sheet1!CJ10</f>
        <v>20</v>
      </c>
      <c r="CK6">
        <f>Sheet1!CK10</f>
        <v>20</v>
      </c>
      <c r="CL6">
        <f>Sheet1!CL10</f>
        <v>20</v>
      </c>
      <c r="CM6">
        <f>Sheet1!CM10</f>
        <v>20</v>
      </c>
      <c r="CN6">
        <f>Sheet1!CN10</f>
        <v>20</v>
      </c>
      <c r="CO6">
        <f>Sheet1!CO10</f>
        <v>20</v>
      </c>
      <c r="CP6">
        <f>Sheet1!CP10</f>
        <v>20</v>
      </c>
      <c r="CQ6">
        <f>Sheet1!CQ10</f>
        <v>20</v>
      </c>
      <c r="CR6">
        <f>Sheet1!CR10</f>
        <v>20</v>
      </c>
      <c r="CS6">
        <f>Sheet1!CS10</f>
        <v>20</v>
      </c>
      <c r="CT6">
        <f>Sheet1!CT10</f>
        <v>20</v>
      </c>
      <c r="CU6">
        <f>Sheet1!CU10</f>
        <v>20</v>
      </c>
      <c r="CV6">
        <f>Sheet1!CV10</f>
        <v>20</v>
      </c>
      <c r="CW6">
        <f>Sheet1!CW10</f>
        <v>20</v>
      </c>
      <c r="CX6">
        <f>Sheet1!CX10</f>
        <v>20</v>
      </c>
      <c r="CY6">
        <f>Sheet1!CY10</f>
        <v>20</v>
      </c>
      <c r="CZ6">
        <f>Sheet1!CZ10</f>
        <v>20</v>
      </c>
      <c r="DA6">
        <f>Sheet1!DA10</f>
        <v>20</v>
      </c>
      <c r="DB6">
        <f>Sheet1!DB10</f>
        <v>20</v>
      </c>
      <c r="DC6">
        <f>Sheet1!DC10</f>
        <v>20</v>
      </c>
      <c r="DD6">
        <f>Sheet1!DD10</f>
        <v>20</v>
      </c>
      <c r="DE6">
        <f>Sheet1!DE10</f>
        <v>20</v>
      </c>
      <c r="DF6">
        <f>Sheet1!DF10</f>
        <v>20</v>
      </c>
      <c r="DG6">
        <f>Sheet1!DG10</f>
        <v>20</v>
      </c>
      <c r="DH6">
        <f>Sheet1!DH10</f>
        <v>20</v>
      </c>
      <c r="DI6">
        <f>Sheet1!DI10</f>
        <v>20</v>
      </c>
      <c r="DJ6">
        <f>Sheet1!DJ10</f>
        <v>20</v>
      </c>
      <c r="DK6">
        <f>Sheet1!DK10</f>
        <v>20</v>
      </c>
      <c r="DL6">
        <f>Sheet1!DL10</f>
        <v>20</v>
      </c>
      <c r="DM6">
        <f>Sheet1!DM10</f>
        <v>20</v>
      </c>
      <c r="DN6">
        <f>Sheet1!DN10</f>
        <v>20</v>
      </c>
      <c r="DO6">
        <f>Sheet1!DO10</f>
        <v>20</v>
      </c>
      <c r="DP6">
        <f>Sheet1!DP10</f>
        <v>20</v>
      </c>
      <c r="DQ6">
        <f>Sheet1!DQ10</f>
        <v>20</v>
      </c>
      <c r="DR6">
        <f>Sheet1!DR10</f>
        <v>20</v>
      </c>
      <c r="DS6">
        <f>Sheet1!DS10</f>
        <v>20</v>
      </c>
      <c r="DT6">
        <f>Sheet1!DT10</f>
        <v>20</v>
      </c>
      <c r="DU6">
        <f>Sheet1!DU10</f>
        <v>20</v>
      </c>
      <c r="DV6">
        <f>Sheet1!DV10</f>
        <v>20</v>
      </c>
      <c r="DW6">
        <f>Sheet1!DW10</f>
        <v>20</v>
      </c>
      <c r="DX6">
        <f>Sheet1!DX10</f>
        <v>20</v>
      </c>
      <c r="DY6">
        <f>Sheet1!DY10</f>
        <v>20</v>
      </c>
      <c r="DZ6">
        <f>Sheet1!DZ10</f>
        <v>20</v>
      </c>
      <c r="EA6">
        <f>Sheet1!EA10</f>
        <v>20</v>
      </c>
      <c r="EB6">
        <f>Sheet1!EB10</f>
        <v>20</v>
      </c>
      <c r="EC6">
        <f>Sheet1!EC10</f>
        <v>20</v>
      </c>
      <c r="ED6">
        <f>Sheet1!ED10</f>
        <v>20</v>
      </c>
      <c r="EE6">
        <f>Sheet1!EE10</f>
        <v>20</v>
      </c>
      <c r="EF6">
        <f>Sheet1!EF10</f>
        <v>20</v>
      </c>
      <c r="EG6">
        <f>Sheet1!EG10</f>
        <v>20</v>
      </c>
      <c r="EH6">
        <f>Sheet1!EH10</f>
        <v>20</v>
      </c>
      <c r="EI6">
        <f>Sheet1!EI10</f>
        <v>20</v>
      </c>
      <c r="EJ6">
        <f>Sheet1!EJ10</f>
        <v>20</v>
      </c>
      <c r="EK6">
        <f>Sheet1!EK10</f>
        <v>20</v>
      </c>
      <c r="EL6">
        <f>Sheet1!EL10</f>
        <v>20</v>
      </c>
      <c r="EM6">
        <f>Sheet1!EM10</f>
        <v>20</v>
      </c>
      <c r="EN6">
        <f>Sheet1!EN10</f>
        <v>20</v>
      </c>
      <c r="EO6">
        <f>Sheet1!EO10</f>
        <v>20</v>
      </c>
      <c r="EP6">
        <f>Sheet1!EP10</f>
        <v>20</v>
      </c>
      <c r="EQ6">
        <f>Sheet1!EQ10</f>
        <v>20</v>
      </c>
      <c r="ER6">
        <f>Sheet1!ER10</f>
        <v>20</v>
      </c>
      <c r="ES6">
        <f>Sheet1!ES10</f>
        <v>20</v>
      </c>
      <c r="ET6">
        <f>Sheet1!ET10</f>
        <v>20</v>
      </c>
      <c r="EU6">
        <f>Sheet1!EU10</f>
        <v>20</v>
      </c>
      <c r="EV6">
        <f>Sheet1!EV10</f>
        <v>20</v>
      </c>
      <c r="EW6">
        <f>Sheet1!EW10</f>
        <v>20</v>
      </c>
      <c r="EX6">
        <f>Sheet1!EX10</f>
        <v>20</v>
      </c>
      <c r="EY6">
        <f>Sheet1!EY10</f>
        <v>20</v>
      </c>
      <c r="EZ6">
        <f>Sheet1!EZ10</f>
        <v>20</v>
      </c>
      <c r="FA6">
        <f>Sheet1!FA10</f>
        <v>20</v>
      </c>
      <c r="FB6">
        <f>Sheet1!FB10</f>
        <v>20</v>
      </c>
      <c r="FC6">
        <f>Sheet1!FC10</f>
        <v>20</v>
      </c>
      <c r="FD6">
        <f>Sheet1!FD10</f>
        <v>20</v>
      </c>
      <c r="FE6">
        <f>Sheet1!FE10</f>
        <v>20</v>
      </c>
      <c r="FF6">
        <f>Sheet1!FF10</f>
        <v>20</v>
      </c>
      <c r="FG6">
        <f>Sheet1!FG10</f>
        <v>20</v>
      </c>
      <c r="FH6">
        <f>Sheet1!FH10</f>
        <v>20</v>
      </c>
    </row>
    <row r="7" spans="1:188">
      <c r="A7" t="s">
        <v>241</v>
      </c>
      <c r="AB7">
        <v>74.5</v>
      </c>
      <c r="AC7">
        <v>76</v>
      </c>
      <c r="AD7">
        <v>76.3</v>
      </c>
      <c r="AE7">
        <v>80</v>
      </c>
      <c r="AF7">
        <v>80.2</v>
      </c>
      <c r="AG7">
        <v>84</v>
      </c>
      <c r="AH7">
        <v>86</v>
      </c>
      <c r="AI7">
        <v>90</v>
      </c>
      <c r="AJ7">
        <v>92</v>
      </c>
      <c r="AK7">
        <v>92</v>
      </c>
      <c r="AL7">
        <v>92</v>
      </c>
      <c r="AM7">
        <v>92</v>
      </c>
      <c r="AN7">
        <v>92</v>
      </c>
      <c r="AO7">
        <v>92</v>
      </c>
      <c r="AP7">
        <v>92</v>
      </c>
      <c r="AQ7">
        <v>85</v>
      </c>
      <c r="AR7">
        <v>75</v>
      </c>
      <c r="AS7">
        <v>72</v>
      </c>
      <c r="AT7">
        <v>69</v>
      </c>
      <c r="AU7">
        <v>68.5</v>
      </c>
      <c r="AV7">
        <v>68</v>
      </c>
      <c r="AW7">
        <v>67</v>
      </c>
      <c r="AX7">
        <v>67</v>
      </c>
      <c r="AY7">
        <v>67</v>
      </c>
      <c r="AZ7">
        <f>Sheet1!AY6</f>
        <v>67</v>
      </c>
      <c r="BA7">
        <f>Sheet1!AZ6</f>
        <v>67</v>
      </c>
      <c r="BB7">
        <f>Sheet1!BA6</f>
        <v>67</v>
      </c>
      <c r="BC7">
        <f>Sheet1!BB6</f>
        <v>69.5</v>
      </c>
      <c r="BD7">
        <f>Sheet1!BC6</f>
        <v>69.5</v>
      </c>
      <c r="BE7">
        <f>Sheet1!BD6</f>
        <v>69.5</v>
      </c>
      <c r="BF7">
        <f>Sheet1!BE6</f>
        <v>69.5</v>
      </c>
      <c r="BG7">
        <f>Sheet1!BF6</f>
        <v>69.5</v>
      </c>
      <c r="BH7">
        <f>Sheet1!BG6</f>
        <v>69.5</v>
      </c>
      <c r="BI7">
        <f>Sheet1!BH6</f>
        <v>69.5</v>
      </c>
      <c r="BJ7">
        <f>Sheet1!BI6</f>
        <v>69.5</v>
      </c>
      <c r="BK7">
        <f>Sheet1!BJ6</f>
        <v>69.5</v>
      </c>
      <c r="BL7">
        <f>Sheet1!BK6</f>
        <v>69.5</v>
      </c>
      <c r="BM7">
        <f>Sheet1!BL6</f>
        <v>69.5</v>
      </c>
      <c r="BN7">
        <f>Sheet1!BM6</f>
        <v>60</v>
      </c>
      <c r="BO7">
        <f>Sheet1!BN6</f>
        <v>57</v>
      </c>
      <c r="BP7">
        <f>Sheet1!BO6</f>
        <v>48</v>
      </c>
      <c r="BQ7">
        <f>Sheet1!BP6</f>
        <v>42</v>
      </c>
      <c r="BR7">
        <f>Sheet1!BQ6</f>
        <v>41</v>
      </c>
      <c r="BS7">
        <f>Sheet1!BR6</f>
        <v>41</v>
      </c>
      <c r="BT7">
        <f>Sheet1!BS6</f>
        <v>39.5</v>
      </c>
      <c r="BU7">
        <f>Sheet1!BT6</f>
        <v>39.5</v>
      </c>
      <c r="BV7">
        <f>Sheet1!BU6</f>
        <v>39.5</v>
      </c>
      <c r="BW7">
        <f>Sheet1!BV6</f>
        <v>37.5</v>
      </c>
      <c r="BX7">
        <f>Sheet1!BW6</f>
        <v>37.5</v>
      </c>
      <c r="BY7">
        <f>Sheet1!BX6</f>
        <v>37.5</v>
      </c>
      <c r="BZ7">
        <f>Sheet1!BY6</f>
        <v>37.5</v>
      </c>
      <c r="CA7">
        <f>Sheet1!BZ6</f>
        <v>37.5</v>
      </c>
      <c r="CB7">
        <f>Sheet1!CA6</f>
        <v>37.5</v>
      </c>
      <c r="CC7">
        <f>Sheet1!CB6</f>
        <v>37.5</v>
      </c>
      <c r="CD7">
        <f>Sheet1!CC6</f>
        <v>37.5</v>
      </c>
      <c r="CE7">
        <f>Sheet1!CD6</f>
        <v>37.5</v>
      </c>
      <c r="CF7">
        <f>Sheet1!CE6</f>
        <v>37.5</v>
      </c>
      <c r="CG7">
        <f>Sheet1!CF6</f>
        <v>37.5</v>
      </c>
      <c r="CH7">
        <f>Sheet1!CG6</f>
        <v>38.5</v>
      </c>
      <c r="CI7">
        <f>Sheet1!CH6</f>
        <v>38.5</v>
      </c>
      <c r="CJ7">
        <f>Sheet1!CJ6</f>
        <v>38.5</v>
      </c>
      <c r="CK7">
        <f>Sheet1!CK6</f>
        <v>40</v>
      </c>
      <c r="CL7">
        <f>Sheet1!CL6</f>
        <v>40</v>
      </c>
      <c r="CM7">
        <f>Sheet1!CM6</f>
        <v>40</v>
      </c>
      <c r="CN7">
        <f>Sheet1!CN6</f>
        <v>40</v>
      </c>
      <c r="CO7">
        <f>Sheet1!CO6</f>
        <v>40</v>
      </c>
      <c r="CP7">
        <f>Sheet1!CP6</f>
        <v>40</v>
      </c>
      <c r="CQ7">
        <f>Sheet1!CQ6</f>
        <v>40</v>
      </c>
      <c r="CR7">
        <f>Sheet1!CR6</f>
        <v>40</v>
      </c>
      <c r="CS7">
        <f>Sheet1!CS6</f>
        <v>40</v>
      </c>
      <c r="CT7">
        <f>Sheet1!CT6</f>
        <v>40</v>
      </c>
      <c r="CU7">
        <f>Sheet1!CU6</f>
        <v>40</v>
      </c>
      <c r="CV7">
        <f>Sheet1!CV6</f>
        <v>40.5</v>
      </c>
      <c r="CW7">
        <f>Sheet1!CW6</f>
        <v>40.5</v>
      </c>
      <c r="CX7">
        <f>Sheet1!CX6</f>
        <v>40.5</v>
      </c>
      <c r="CY7">
        <f>Sheet1!CY6</f>
        <v>42</v>
      </c>
      <c r="CZ7">
        <f>Sheet1!CZ6</f>
        <v>42</v>
      </c>
      <c r="DA7">
        <f>Sheet1!DA6</f>
        <v>42</v>
      </c>
      <c r="DB7">
        <f>Sheet1!DB6</f>
        <v>42</v>
      </c>
      <c r="DC7">
        <f>Sheet1!DC6</f>
        <v>42</v>
      </c>
      <c r="DD7">
        <f>Sheet1!DD6</f>
        <v>42</v>
      </c>
      <c r="DE7">
        <f>Sheet1!DE6</f>
        <v>42</v>
      </c>
      <c r="DF7">
        <f>Sheet1!DF6</f>
        <v>42</v>
      </c>
      <c r="DG7">
        <f>Sheet1!DG6</f>
        <v>42</v>
      </c>
      <c r="DH7">
        <f>Sheet1!DH6</f>
        <v>42</v>
      </c>
      <c r="DI7">
        <f>Sheet1!DI6</f>
        <v>42</v>
      </c>
      <c r="DJ7">
        <f>Sheet1!DJ6</f>
        <v>42</v>
      </c>
      <c r="DK7">
        <f>Sheet1!DK6</f>
        <v>42</v>
      </c>
      <c r="DL7">
        <f>Sheet1!DL6</f>
        <v>42</v>
      </c>
      <c r="DM7">
        <f>Sheet1!DM6</f>
        <v>39.5</v>
      </c>
      <c r="DN7">
        <f>Sheet1!DN6</f>
        <v>39.5</v>
      </c>
      <c r="DO7">
        <f>Sheet1!DO6</f>
        <v>39.5</v>
      </c>
      <c r="DP7">
        <f>Sheet1!DP6</f>
        <v>39.5</v>
      </c>
      <c r="DQ7">
        <f>Sheet1!DQ6</f>
        <v>38.5</v>
      </c>
      <c r="DR7">
        <f>Sheet1!DR6</f>
        <v>36.5</v>
      </c>
      <c r="DS7">
        <f>Sheet1!DS6</f>
        <v>36.5</v>
      </c>
      <c r="DT7">
        <f>Sheet1!DT6</f>
        <v>36.5</v>
      </c>
      <c r="DU7">
        <f>Sheet1!DU6</f>
        <v>35.5</v>
      </c>
      <c r="DV7">
        <f>Sheet1!DV6</f>
        <v>35.5</v>
      </c>
      <c r="DW7">
        <f>Sheet1!DW6</f>
        <v>35.5</v>
      </c>
      <c r="DX7">
        <f>Sheet1!DX6</f>
        <v>36</v>
      </c>
      <c r="DY7">
        <f>Sheet1!DY6</f>
        <v>46</v>
      </c>
      <c r="DZ7">
        <f>Sheet1!DZ6</f>
        <v>46</v>
      </c>
      <c r="EA7">
        <f>Sheet1!EA6</f>
        <v>48</v>
      </c>
      <c r="EB7">
        <f>Sheet1!EB6</f>
        <v>48</v>
      </c>
      <c r="EC7">
        <f>Sheet1!EC6</f>
        <v>48</v>
      </c>
      <c r="ED7">
        <f>Sheet1!ED6</f>
        <v>48</v>
      </c>
      <c r="EE7">
        <f>Sheet1!EE6</f>
        <v>50</v>
      </c>
      <c r="EF7">
        <f>Sheet1!EF6</f>
        <v>50</v>
      </c>
      <c r="EG7">
        <f>Sheet1!EG6</f>
        <v>51</v>
      </c>
      <c r="EH7">
        <f>Sheet1!EH6</f>
        <v>51</v>
      </c>
      <c r="EI7">
        <f>Sheet1!EI6</f>
        <v>51.5</v>
      </c>
      <c r="EJ7">
        <f>Sheet1!EJ6</f>
        <v>52</v>
      </c>
      <c r="EK7">
        <f>Sheet1!EK6</f>
        <v>52.5</v>
      </c>
      <c r="EL7">
        <f>Sheet1!EL6</f>
        <v>52.5</v>
      </c>
      <c r="EM7">
        <f>Sheet1!EM6</f>
        <v>52.5</v>
      </c>
      <c r="EN7">
        <f>Sheet1!EN6</f>
        <v>52.5</v>
      </c>
      <c r="EO7">
        <f>Sheet1!EO6</f>
        <v>52.5</v>
      </c>
      <c r="EP7">
        <f>Sheet1!EP6</f>
        <v>52.5</v>
      </c>
      <c r="EQ7">
        <f>Sheet1!EQ6</f>
        <v>52.5</v>
      </c>
      <c r="ER7">
        <f>Sheet1!ER6</f>
        <v>52.5</v>
      </c>
      <c r="ES7">
        <f>Sheet1!ES6</f>
        <v>52.5</v>
      </c>
      <c r="ET7">
        <f>Sheet1!ET6</f>
        <v>52.5</v>
      </c>
      <c r="EU7">
        <f>Sheet1!EU6</f>
        <v>52.5</v>
      </c>
      <c r="EV7">
        <f>Sheet1!EV6</f>
        <v>52.5</v>
      </c>
      <c r="EW7">
        <f>Sheet1!EW6</f>
        <v>52.5</v>
      </c>
      <c r="EX7">
        <f>Sheet1!EX6</f>
        <v>52.5</v>
      </c>
      <c r="EY7">
        <f>Sheet1!EY6</f>
        <v>52.5</v>
      </c>
      <c r="EZ7">
        <f>Sheet1!EZ6</f>
        <v>52.5</v>
      </c>
      <c r="FA7">
        <f>Sheet1!FA6</f>
        <v>52.5</v>
      </c>
      <c r="FB7">
        <f>Sheet1!FB6</f>
        <v>52.5</v>
      </c>
      <c r="FC7">
        <f>Sheet1!FC6</f>
        <v>52.5</v>
      </c>
      <c r="FD7">
        <f>Sheet1!FD6</f>
        <v>48</v>
      </c>
      <c r="FE7">
        <f>Sheet1!FE6</f>
        <v>48</v>
      </c>
      <c r="FF7">
        <f>Sheet1!FF6</f>
        <v>43.5</v>
      </c>
      <c r="FG7">
        <f>Sheet1!FG6</f>
        <v>43.5</v>
      </c>
      <c r="FH7">
        <f>Sheet1!FH6</f>
        <v>39</v>
      </c>
      <c r="FI7">
        <f>Sheet1!FI6</f>
        <v>36</v>
      </c>
      <c r="FJ7">
        <f>Sheet1!FJ6</f>
        <v>36</v>
      </c>
      <c r="FK7">
        <f>Sheet1!FK6</f>
        <v>36</v>
      </c>
      <c r="FL7">
        <f>Sheet1!FL6</f>
        <v>36</v>
      </c>
      <c r="FM7">
        <f>Sheet1!FM6</f>
        <v>36</v>
      </c>
      <c r="FN7">
        <f>Sheet1!FN6</f>
        <v>36</v>
      </c>
      <c r="FO7">
        <f>Sheet1!FO6</f>
        <v>35.5</v>
      </c>
      <c r="FP7">
        <f>Sheet1!FP6</f>
        <v>35</v>
      </c>
      <c r="FQ7">
        <f>Sheet1!FQ6</f>
        <v>35</v>
      </c>
      <c r="FR7">
        <f>Sheet1!FR6</f>
        <v>34.5</v>
      </c>
      <c r="FS7">
        <f>Sheet1!FS6</f>
        <v>34.5</v>
      </c>
      <c r="FT7">
        <f>Sheet1!FT6</f>
        <v>34</v>
      </c>
      <c r="FU7">
        <f>Sheet1!FU6</f>
        <v>33.700000000000003</v>
      </c>
      <c r="FV7">
        <f>Sheet1!FV6</f>
        <v>33.700000000000003</v>
      </c>
      <c r="FW7">
        <f>Sheet1!FW6</f>
        <v>33.700000000000003</v>
      </c>
      <c r="FX7">
        <f>Sheet1!FX6</f>
        <v>33.700000000000003</v>
      </c>
      <c r="FY7">
        <f>Sheet1!FY6</f>
        <v>32.5</v>
      </c>
      <c r="FZ7">
        <f>Sheet1!FZ6</f>
        <v>32.5</v>
      </c>
      <c r="GA7">
        <f>Sheet1!GA6</f>
        <v>32.5</v>
      </c>
      <c r="GB7">
        <f>Sheet1!GB6</f>
        <v>32.5</v>
      </c>
      <c r="GC7">
        <f>Sheet1!GC6</f>
        <v>32.5</v>
      </c>
      <c r="GD7">
        <f>Sheet1!GD6</f>
        <v>32.5</v>
      </c>
      <c r="GE7">
        <f>Sheet1!GE6</f>
        <v>43</v>
      </c>
      <c r="GF7">
        <f>Sheet1!GF6</f>
        <v>43</v>
      </c>
    </row>
    <row r="8" spans="1:188">
      <c r="A8" t="s">
        <v>242</v>
      </c>
      <c r="AJ8">
        <v>75</v>
      </c>
      <c r="AK8">
        <v>75</v>
      </c>
      <c r="AL8">
        <v>80</v>
      </c>
      <c r="AM8">
        <v>80</v>
      </c>
      <c r="AN8">
        <v>80</v>
      </c>
      <c r="AO8">
        <v>78</v>
      </c>
      <c r="AP8">
        <v>78</v>
      </c>
      <c r="AS8">
        <v>62</v>
      </c>
      <c r="AT8">
        <v>62</v>
      </c>
      <c r="AU8">
        <v>62</v>
      </c>
      <c r="AV8">
        <v>62</v>
      </c>
      <c r="AW8">
        <v>61</v>
      </c>
      <c r="AX8">
        <v>61</v>
      </c>
      <c r="AY8">
        <v>61</v>
      </c>
      <c r="AZ8">
        <f>Sheet1!AY9</f>
        <v>61</v>
      </c>
      <c r="BA8">
        <f>Sheet1!AZ9</f>
        <v>61</v>
      </c>
      <c r="BB8">
        <f>Sheet1!BA9</f>
        <v>61</v>
      </c>
      <c r="BC8">
        <f>Sheet1!BB9</f>
        <v>61</v>
      </c>
      <c r="BD8">
        <f>Sheet1!BC9</f>
        <v>61</v>
      </c>
      <c r="BE8">
        <f>Sheet1!BD9</f>
        <v>61</v>
      </c>
      <c r="BF8">
        <f>Sheet1!BE9</f>
        <v>61</v>
      </c>
      <c r="BG8">
        <f>Sheet1!BF9</f>
        <v>61</v>
      </c>
      <c r="BH8">
        <f>Sheet1!BG9</f>
        <v>61</v>
      </c>
      <c r="BI8">
        <f>Sheet1!BH9</f>
        <v>62.5</v>
      </c>
      <c r="BJ8">
        <f>Sheet1!BI9</f>
        <v>62.5</v>
      </c>
      <c r="BK8">
        <f>Sheet1!BJ9</f>
        <v>62.5</v>
      </c>
      <c r="BL8">
        <f>Sheet1!BK9</f>
        <v>59</v>
      </c>
      <c r="BM8">
        <f>Sheet1!BL9</f>
        <v>55</v>
      </c>
      <c r="BN8">
        <f>Sheet1!BM9</f>
        <v>51</v>
      </c>
      <c r="BO8">
        <f>Sheet1!BN9</f>
        <v>51</v>
      </c>
      <c r="BP8">
        <f>Sheet1!BO9</f>
        <v>44</v>
      </c>
      <c r="BQ8">
        <f>Sheet1!BP9</f>
        <v>40</v>
      </c>
      <c r="BR8">
        <f>Sheet1!BQ9</f>
        <v>39</v>
      </c>
      <c r="BS8">
        <f>Sheet1!BR9</f>
        <v>39</v>
      </c>
      <c r="BT8">
        <f>Sheet1!BS9</f>
        <v>38</v>
      </c>
      <c r="BU8">
        <f>Sheet1!BT9</f>
        <v>38</v>
      </c>
      <c r="BV8">
        <f>Sheet1!BU9</f>
        <v>38</v>
      </c>
      <c r="BW8">
        <f>Sheet1!BV9</f>
        <v>36.5</v>
      </c>
      <c r="BX8">
        <f>Sheet1!BW9</f>
        <v>36.5</v>
      </c>
      <c r="BY8">
        <f>Sheet1!BX9</f>
        <v>36.5</v>
      </c>
      <c r="BZ8">
        <f>Sheet1!BY9</f>
        <v>36.5</v>
      </c>
      <c r="CA8">
        <f>Sheet1!BZ9</f>
        <v>36.5</v>
      </c>
      <c r="CB8">
        <f>Sheet1!CA9</f>
        <v>36.5</v>
      </c>
      <c r="CC8">
        <f>Sheet1!CB9</f>
        <v>36.5</v>
      </c>
      <c r="CD8">
        <f>Sheet1!CC9</f>
        <v>36.5</v>
      </c>
      <c r="CE8">
        <f>Sheet1!CD9</f>
        <v>36.5</v>
      </c>
      <c r="CF8">
        <f>Sheet1!CE9</f>
        <v>36.5</v>
      </c>
      <c r="CG8">
        <f>Sheet1!CF9</f>
        <v>36.5</v>
      </c>
      <c r="CH8">
        <f>Sheet1!CG9</f>
        <v>37</v>
      </c>
      <c r="CI8">
        <f>Sheet1!CH9</f>
        <v>37</v>
      </c>
      <c r="CJ8">
        <f>Sheet1!CJ9</f>
        <v>37</v>
      </c>
      <c r="CK8">
        <f>Sheet1!CK9</f>
        <v>37</v>
      </c>
      <c r="CL8">
        <f>Sheet1!CL9</f>
        <v>37</v>
      </c>
      <c r="CM8">
        <f>Sheet1!CM9</f>
        <v>37</v>
      </c>
      <c r="CN8">
        <f>Sheet1!CN9</f>
        <v>37</v>
      </c>
      <c r="CO8">
        <f>Sheet1!CO9</f>
        <v>37</v>
      </c>
      <c r="CP8">
        <f>Sheet1!CP9</f>
        <v>37</v>
      </c>
      <c r="CQ8">
        <f>Sheet1!CQ9</f>
        <v>37</v>
      </c>
      <c r="CR8">
        <f>Sheet1!CR9</f>
        <v>37</v>
      </c>
      <c r="CS8">
        <f>Sheet1!CS9</f>
        <v>37</v>
      </c>
      <c r="CT8">
        <f>Sheet1!CT9</f>
        <v>37</v>
      </c>
      <c r="CU8">
        <f>Sheet1!CU9</f>
        <v>37</v>
      </c>
      <c r="CV8">
        <f>Sheet1!CV9</f>
        <v>37</v>
      </c>
      <c r="CW8">
        <f>Sheet1!CW9</f>
        <v>37</v>
      </c>
      <c r="CX8">
        <f>Sheet1!CX9</f>
        <v>37</v>
      </c>
      <c r="CY8">
        <f>Sheet1!CY9</f>
        <v>39</v>
      </c>
      <c r="CZ8">
        <f>Sheet1!CZ9</f>
        <v>39</v>
      </c>
      <c r="DA8">
        <f>Sheet1!DA9</f>
        <v>39</v>
      </c>
      <c r="DB8">
        <f>Sheet1!DB9</f>
        <v>39</v>
      </c>
      <c r="DC8">
        <f>Sheet1!DC9</f>
        <v>39</v>
      </c>
      <c r="DD8">
        <f>Sheet1!DD9</f>
        <v>39</v>
      </c>
      <c r="DE8">
        <f>Sheet1!DE9</f>
        <v>39</v>
      </c>
      <c r="DF8">
        <f>Sheet1!DF9</f>
        <v>39</v>
      </c>
      <c r="DG8">
        <f>Sheet1!DG9</f>
        <v>39</v>
      </c>
      <c r="DH8">
        <f>Sheet1!DH9</f>
        <v>39</v>
      </c>
      <c r="DI8">
        <f>Sheet1!DI9</f>
        <v>39</v>
      </c>
      <c r="DJ8">
        <f>Sheet1!DJ9</f>
        <v>39</v>
      </c>
      <c r="DK8">
        <f>Sheet1!DK9</f>
        <v>39</v>
      </c>
      <c r="DL8">
        <f>Sheet1!DL9</f>
        <v>39</v>
      </c>
      <c r="DM8">
        <f>Sheet1!DM9</f>
        <v>37.5</v>
      </c>
      <c r="DN8">
        <f>Sheet1!DN9</f>
        <v>37.5</v>
      </c>
      <c r="DO8">
        <f>Sheet1!DO9</f>
        <v>36.5</v>
      </c>
      <c r="DP8">
        <f>Sheet1!DP9</f>
        <v>35.5</v>
      </c>
      <c r="DQ8">
        <f>Sheet1!DQ9</f>
        <v>35.5</v>
      </c>
      <c r="DR8">
        <f>Sheet1!DR9</f>
        <v>35.5</v>
      </c>
      <c r="DS8">
        <f>Sheet1!DS9</f>
        <v>35.5</v>
      </c>
      <c r="DT8">
        <f>Sheet1!DT9</f>
        <v>35.5</v>
      </c>
      <c r="DU8">
        <f>Sheet1!DU9</f>
        <v>34</v>
      </c>
      <c r="DV8">
        <f>Sheet1!DV9</f>
        <v>34</v>
      </c>
      <c r="DW8">
        <f>Sheet1!DW9</f>
        <v>36</v>
      </c>
      <c r="DX8">
        <f>Sheet1!DX9</f>
        <v>34</v>
      </c>
      <c r="DY8">
        <f>Sheet1!DY9</f>
        <v>44</v>
      </c>
      <c r="DZ8">
        <f>Sheet1!DZ9</f>
        <v>44</v>
      </c>
      <c r="EA8">
        <f>Sheet1!EA9</f>
        <v>45</v>
      </c>
      <c r="EB8">
        <f>Sheet1!EB9</f>
        <v>45</v>
      </c>
      <c r="EC8">
        <f>Sheet1!EC9</f>
        <v>45</v>
      </c>
      <c r="ED8">
        <f>Sheet1!ED9</f>
        <v>45</v>
      </c>
      <c r="EE8">
        <f>Sheet1!EE9</f>
        <v>47</v>
      </c>
      <c r="EF8">
        <f>Sheet1!EF9</f>
        <v>47</v>
      </c>
      <c r="EG8">
        <f>Sheet1!EG9</f>
        <v>49</v>
      </c>
      <c r="EH8">
        <f>Sheet1!EH9</f>
        <v>49</v>
      </c>
      <c r="EI8">
        <f>Sheet1!EI9</f>
        <v>50</v>
      </c>
      <c r="EJ8">
        <f>Sheet1!EJ9</f>
        <v>50</v>
      </c>
      <c r="EK8">
        <f>Sheet1!EK9</f>
        <v>50</v>
      </c>
      <c r="EL8">
        <f>Sheet1!EL9</f>
        <v>50</v>
      </c>
      <c r="EM8">
        <f>Sheet1!EM9</f>
        <v>50</v>
      </c>
      <c r="EN8">
        <f>Sheet1!EN9</f>
        <v>50</v>
      </c>
      <c r="EO8">
        <f>Sheet1!EO9</f>
        <v>50</v>
      </c>
      <c r="EP8">
        <f>Sheet1!EP9</f>
        <v>50</v>
      </c>
      <c r="EQ8">
        <f>Sheet1!EQ9</f>
        <v>50</v>
      </c>
      <c r="ER8">
        <f>Sheet1!ER9</f>
        <v>50</v>
      </c>
      <c r="ES8">
        <f>Sheet1!ES9</f>
        <v>50</v>
      </c>
      <c r="ET8">
        <f>Sheet1!ET9</f>
        <v>50</v>
      </c>
      <c r="EU8">
        <f>Sheet1!EU9</f>
        <v>50</v>
      </c>
      <c r="EV8">
        <f>Sheet1!EV9</f>
        <v>50</v>
      </c>
      <c r="EW8">
        <f>Sheet1!EW9</f>
        <v>50</v>
      </c>
      <c r="EX8">
        <f>Sheet1!EX9</f>
        <v>50</v>
      </c>
      <c r="EY8">
        <f>Sheet1!EY9</f>
        <v>50</v>
      </c>
      <c r="EZ8">
        <f>Sheet1!EZ9</f>
        <v>50</v>
      </c>
      <c r="FA8">
        <f>Sheet1!FA9</f>
        <v>50</v>
      </c>
      <c r="FB8">
        <f>Sheet1!FB9</f>
        <v>50</v>
      </c>
      <c r="FC8">
        <f>Sheet1!FC9</f>
        <v>50</v>
      </c>
      <c r="FD8">
        <f>Sheet1!FD9</f>
        <v>46</v>
      </c>
      <c r="FE8">
        <f>Sheet1!FE9</f>
        <v>46</v>
      </c>
      <c r="FF8">
        <f>Sheet1!FF9</f>
        <v>42.5</v>
      </c>
      <c r="FG8">
        <f>Sheet1!FG9</f>
        <v>42.5</v>
      </c>
      <c r="FH8">
        <f>Sheet1!FH9</f>
        <v>38</v>
      </c>
      <c r="FI8">
        <f>Sheet1!FI9</f>
        <v>35</v>
      </c>
      <c r="FJ8">
        <f>Sheet1!FJ9</f>
        <v>35</v>
      </c>
      <c r="FK8">
        <f>Sheet1!FK9</f>
        <v>35</v>
      </c>
      <c r="FL8">
        <f>Sheet1!FL9</f>
        <v>35</v>
      </c>
      <c r="FM8">
        <f>Sheet1!FM9</f>
        <v>35</v>
      </c>
      <c r="FN8">
        <f>Sheet1!FN9</f>
        <v>35</v>
      </c>
      <c r="FO8">
        <f>Sheet1!FO9</f>
        <v>35</v>
      </c>
      <c r="FP8">
        <f>Sheet1!FP9</f>
        <v>33.5</v>
      </c>
      <c r="FQ8">
        <f>Sheet1!FQ9</f>
        <v>33.5</v>
      </c>
      <c r="FR8">
        <f>Sheet1!FR9</f>
        <v>33.5</v>
      </c>
      <c r="FS8">
        <f>Sheet1!FS9</f>
        <v>33.5</v>
      </c>
      <c r="FT8">
        <f>Sheet1!FT9</f>
        <v>33</v>
      </c>
      <c r="FU8">
        <f>Sheet1!FU9</f>
        <v>33</v>
      </c>
      <c r="FV8">
        <f>Sheet1!FV9</f>
        <v>33</v>
      </c>
      <c r="FW8">
        <f>Sheet1!FW9</f>
        <v>33</v>
      </c>
      <c r="FX8">
        <f>Sheet1!FX9</f>
        <v>33</v>
      </c>
      <c r="FY8">
        <f>Sheet1!FY9</f>
        <v>31.5</v>
      </c>
      <c r="FZ8">
        <f>Sheet1!FZ9</f>
        <v>31.5</v>
      </c>
      <c r="GA8">
        <f>Sheet1!GA9</f>
        <v>31.5</v>
      </c>
      <c r="GB8">
        <f>Sheet1!GB9</f>
        <v>31.5</v>
      </c>
      <c r="GC8">
        <f>Sheet1!GC9</f>
        <v>31.5</v>
      </c>
      <c r="GD8">
        <f>Sheet1!GD9</f>
        <v>31.5</v>
      </c>
      <c r="GE8">
        <f>Sheet1!GE9</f>
        <v>41</v>
      </c>
      <c r="GF8">
        <f>Sheet1!GF9</f>
        <v>41</v>
      </c>
    </row>
  </sheetData>
  <mergeCells count="3">
    <mergeCell ref="B2:AZ2"/>
    <mergeCell ref="BA2:CW2"/>
    <mergeCell ref="CX2:EV2"/>
  </mergeCells>
  <pageMargins left="0.7" right="0.7" top="0.75" bottom="0.75" header="0.3" footer="0.3"/>
  <pageSetup paperSize="9" orientation="portrait"/>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2:GF9"/>
  <sheetViews>
    <sheetView zoomScale="70" zoomScaleNormal="70" workbookViewId="0">
      <pane xSplit="1" ySplit="2" topLeftCell="EJ3" activePane="bottomRight" state="frozen"/>
      <selection pane="bottomRight" activeCell="FA13" sqref="FA13"/>
      <selection pane="bottomLeft"/>
      <selection pane="topRight"/>
    </sheetView>
  </sheetViews>
  <sheetFormatPr defaultColWidth="11" defaultRowHeight="15.75"/>
  <cols>
    <col min="1" max="1" width="30.75" customWidth="1"/>
    <col min="2" max="101" width="11" hidden="1" customWidth="1"/>
  </cols>
  <sheetData>
    <row r="2" spans="1:188">
      <c r="B2" s="99">
        <v>2023</v>
      </c>
      <c r="C2" s="99"/>
      <c r="D2" s="99"/>
      <c r="E2" s="99"/>
      <c r="F2" s="99"/>
      <c r="G2" s="99"/>
      <c r="H2" s="99"/>
      <c r="I2" s="99"/>
      <c r="J2" s="99"/>
      <c r="K2" s="99"/>
      <c r="L2" s="99"/>
      <c r="M2" s="99"/>
      <c r="N2" s="99"/>
      <c r="O2" s="99"/>
      <c r="P2" s="99"/>
      <c r="Q2" s="99"/>
      <c r="R2" s="99"/>
      <c r="S2" s="99"/>
      <c r="T2" s="99"/>
      <c r="U2" s="99"/>
      <c r="V2" s="99"/>
      <c r="W2" s="99"/>
      <c r="X2" s="99"/>
      <c r="Y2" s="99"/>
      <c r="Z2" s="99"/>
      <c r="AA2" s="99"/>
      <c r="AB2" s="99"/>
      <c r="AC2" s="99"/>
      <c r="AD2" s="99"/>
      <c r="AE2" s="99"/>
      <c r="AF2" s="99"/>
      <c r="AG2" s="99"/>
      <c r="AH2" s="99"/>
      <c r="AI2" s="99"/>
      <c r="AJ2" s="99"/>
      <c r="AK2" s="99"/>
      <c r="AL2" s="99"/>
      <c r="AM2" s="99"/>
      <c r="AN2" s="99"/>
      <c r="AO2" s="99"/>
      <c r="AP2" s="99"/>
      <c r="AQ2" s="99"/>
      <c r="AR2" s="99"/>
      <c r="AS2" s="99"/>
      <c r="AT2" s="99"/>
      <c r="AU2" s="99"/>
      <c r="AV2" s="99"/>
      <c r="AW2" s="99"/>
      <c r="AX2" s="99"/>
      <c r="AY2" s="99"/>
      <c r="AZ2" s="99"/>
      <c r="BA2" s="99">
        <v>2024</v>
      </c>
      <c r="BB2" s="99"/>
      <c r="BC2" s="99"/>
      <c r="BD2" s="99"/>
      <c r="BE2" s="99"/>
      <c r="BF2" s="99"/>
      <c r="BG2" s="99"/>
      <c r="BH2" s="99"/>
      <c r="BI2" s="99"/>
      <c r="BJ2" s="99"/>
      <c r="BK2" s="99"/>
      <c r="BL2" s="99"/>
      <c r="BM2" s="99"/>
      <c r="BN2" s="99"/>
      <c r="BO2" s="99"/>
      <c r="BP2" s="99"/>
      <c r="BQ2" s="99"/>
      <c r="BR2" s="99"/>
      <c r="BS2" s="99"/>
      <c r="BT2" s="99"/>
      <c r="BU2" s="99"/>
      <c r="BV2" s="99"/>
      <c r="BW2" s="99"/>
      <c r="BX2" s="99"/>
      <c r="BY2" s="99"/>
      <c r="BZ2" s="99"/>
      <c r="CA2" s="99"/>
      <c r="CB2" s="99"/>
      <c r="CC2" s="99"/>
      <c r="CD2" s="99"/>
      <c r="CE2" s="99"/>
      <c r="CF2" s="99"/>
      <c r="CG2" s="99"/>
      <c r="CH2" s="99"/>
      <c r="CI2" s="99"/>
      <c r="CJ2" s="99"/>
      <c r="CK2" s="99"/>
      <c r="CL2" s="99"/>
      <c r="CM2" s="99"/>
      <c r="CN2" s="99"/>
      <c r="CO2" s="99"/>
      <c r="CP2" s="99"/>
      <c r="CQ2" s="99"/>
      <c r="CR2" s="99"/>
      <c r="CS2" s="99"/>
      <c r="CT2" s="99"/>
      <c r="CU2" s="99"/>
      <c r="CV2" s="99"/>
      <c r="CW2" s="99"/>
      <c r="CX2" s="99">
        <v>2025</v>
      </c>
      <c r="CY2" s="99"/>
      <c r="CZ2" s="99"/>
      <c r="DA2" s="99"/>
      <c r="DB2" s="99"/>
      <c r="DC2" s="99"/>
      <c r="DD2" s="99"/>
      <c r="DE2" s="99"/>
      <c r="DF2" s="99"/>
      <c r="DG2" s="99"/>
      <c r="DH2" s="99"/>
      <c r="DI2" s="99"/>
      <c r="DJ2" s="99"/>
      <c r="DK2" s="99"/>
      <c r="DL2" s="99"/>
      <c r="DM2" s="99"/>
      <c r="DN2" s="99"/>
      <c r="DO2" s="99"/>
      <c r="DP2" s="99"/>
      <c r="DQ2" s="99"/>
      <c r="DR2" s="99"/>
      <c r="DS2" s="99"/>
      <c r="DT2" s="99"/>
      <c r="DU2" s="99"/>
      <c r="DV2" s="99"/>
      <c r="DW2" s="99"/>
      <c r="DX2" s="99"/>
      <c r="DY2" s="99"/>
      <c r="DZ2" s="99"/>
      <c r="EA2" s="99"/>
      <c r="EB2" s="99"/>
      <c r="EC2" s="99"/>
      <c r="ED2" s="99"/>
      <c r="EE2" s="99"/>
      <c r="EF2" s="99"/>
      <c r="EG2" s="99"/>
      <c r="EH2" s="99"/>
      <c r="EI2" s="99"/>
      <c r="EJ2" s="99"/>
      <c r="EK2" s="99"/>
      <c r="EL2" s="99"/>
      <c r="EM2" s="99"/>
      <c r="EN2" s="99"/>
      <c r="EO2" s="99"/>
      <c r="EP2" s="99"/>
      <c r="EQ2" s="99"/>
      <c r="ER2" s="99"/>
      <c r="ES2" s="99"/>
      <c r="ET2" s="99"/>
      <c r="EU2" s="99"/>
      <c r="EV2" s="99"/>
      <c r="EW2">
        <v>2026</v>
      </c>
    </row>
    <row r="3" spans="1:188">
      <c r="B3" s="1">
        <v>1</v>
      </c>
      <c r="C3" s="1">
        <v>2</v>
      </c>
      <c r="D3" s="1">
        <v>3</v>
      </c>
      <c r="E3" s="1">
        <v>5</v>
      </c>
      <c r="F3" s="1">
        <v>6</v>
      </c>
      <c r="G3" s="1">
        <v>7</v>
      </c>
      <c r="H3" s="1">
        <v>8</v>
      </c>
      <c r="I3" s="1">
        <v>9</v>
      </c>
      <c r="J3" s="1">
        <v>10</v>
      </c>
      <c r="K3" s="1">
        <v>11</v>
      </c>
      <c r="L3" s="1">
        <v>12</v>
      </c>
      <c r="M3" s="1">
        <v>13</v>
      </c>
      <c r="N3" s="1">
        <v>14</v>
      </c>
      <c r="O3" s="1">
        <v>15</v>
      </c>
      <c r="P3" s="1">
        <v>16</v>
      </c>
      <c r="Q3" s="1">
        <v>17</v>
      </c>
      <c r="R3" s="1">
        <v>18</v>
      </c>
      <c r="S3" s="1">
        <v>19</v>
      </c>
      <c r="T3" s="1">
        <v>20</v>
      </c>
      <c r="U3" s="1">
        <v>21</v>
      </c>
      <c r="V3" s="1">
        <v>22</v>
      </c>
      <c r="W3" s="1">
        <v>23</v>
      </c>
      <c r="X3" s="1">
        <v>24</v>
      </c>
      <c r="Y3" s="1">
        <v>25</v>
      </c>
      <c r="Z3" s="1">
        <v>26</v>
      </c>
      <c r="AA3" s="1">
        <v>27</v>
      </c>
      <c r="AB3" s="1">
        <v>28</v>
      </c>
      <c r="AC3" s="1">
        <v>29</v>
      </c>
      <c r="AD3" s="1">
        <v>30</v>
      </c>
      <c r="AE3" s="1">
        <v>31</v>
      </c>
      <c r="AF3" s="1">
        <v>32</v>
      </c>
      <c r="AG3" s="1">
        <v>33</v>
      </c>
      <c r="AH3" s="1">
        <v>34</v>
      </c>
      <c r="AI3" s="1">
        <v>35</v>
      </c>
      <c r="AJ3" s="1">
        <v>36</v>
      </c>
      <c r="AK3" s="1">
        <v>37</v>
      </c>
      <c r="AL3" s="1">
        <v>38</v>
      </c>
      <c r="AM3" s="1">
        <v>39</v>
      </c>
      <c r="AN3" s="1">
        <v>40</v>
      </c>
      <c r="AO3" s="1">
        <v>41</v>
      </c>
      <c r="AP3" s="1">
        <v>42</v>
      </c>
      <c r="AQ3" s="1">
        <v>43</v>
      </c>
      <c r="AR3" s="1">
        <v>44</v>
      </c>
      <c r="AS3" s="1">
        <v>45</v>
      </c>
      <c r="AT3" s="1">
        <v>46</v>
      </c>
      <c r="AU3" s="1">
        <v>47</v>
      </c>
      <c r="AV3" s="1">
        <v>48</v>
      </c>
      <c r="AW3" s="1">
        <v>49</v>
      </c>
      <c r="AX3" s="1">
        <v>50</v>
      </c>
      <c r="AY3" s="1">
        <v>51</v>
      </c>
      <c r="AZ3" s="1">
        <v>52</v>
      </c>
      <c r="BA3" s="1">
        <v>1</v>
      </c>
      <c r="BB3">
        <v>2</v>
      </c>
      <c r="BC3">
        <v>3</v>
      </c>
      <c r="BD3">
        <v>4</v>
      </c>
      <c r="BE3">
        <v>5</v>
      </c>
      <c r="BF3">
        <v>6</v>
      </c>
      <c r="BG3">
        <v>8</v>
      </c>
      <c r="BH3">
        <v>9</v>
      </c>
      <c r="BI3">
        <v>10</v>
      </c>
      <c r="BJ3">
        <v>11</v>
      </c>
      <c r="BK3">
        <v>12</v>
      </c>
      <c r="BL3">
        <v>13</v>
      </c>
      <c r="BM3">
        <v>14</v>
      </c>
      <c r="BN3">
        <v>15</v>
      </c>
      <c r="BO3">
        <v>16</v>
      </c>
      <c r="BP3">
        <v>17</v>
      </c>
      <c r="BQ3">
        <v>19</v>
      </c>
      <c r="BR3">
        <v>20</v>
      </c>
      <c r="BS3">
        <v>21</v>
      </c>
      <c r="BT3">
        <v>22</v>
      </c>
      <c r="BU3">
        <v>23</v>
      </c>
      <c r="BV3">
        <v>24</v>
      </c>
      <c r="BW3">
        <v>25</v>
      </c>
      <c r="BX3">
        <v>26</v>
      </c>
      <c r="BY3">
        <v>27</v>
      </c>
      <c r="BZ3">
        <v>28</v>
      </c>
      <c r="CA3">
        <v>29</v>
      </c>
      <c r="CB3">
        <v>30</v>
      </c>
      <c r="CC3">
        <v>31</v>
      </c>
      <c r="CD3">
        <v>32</v>
      </c>
      <c r="CE3">
        <v>33</v>
      </c>
      <c r="CF3">
        <v>34</v>
      </c>
      <c r="CG3">
        <v>35</v>
      </c>
      <c r="CH3">
        <v>36</v>
      </c>
      <c r="CI3">
        <v>37</v>
      </c>
      <c r="CJ3">
        <v>38</v>
      </c>
      <c r="CK3">
        <v>39</v>
      </c>
      <c r="CL3">
        <v>41</v>
      </c>
      <c r="CM3">
        <v>42</v>
      </c>
      <c r="CN3">
        <v>43</v>
      </c>
      <c r="CO3">
        <v>44</v>
      </c>
      <c r="CP3">
        <v>45</v>
      </c>
      <c r="CQ3">
        <v>46</v>
      </c>
      <c r="CR3">
        <v>47</v>
      </c>
      <c r="CS3">
        <v>48</v>
      </c>
      <c r="CT3">
        <v>49</v>
      </c>
      <c r="CU3">
        <v>50</v>
      </c>
      <c r="CV3">
        <v>51</v>
      </c>
      <c r="CW3">
        <v>52</v>
      </c>
      <c r="CX3">
        <v>1</v>
      </c>
      <c r="CY3">
        <v>2</v>
      </c>
      <c r="CZ3">
        <v>3</v>
      </c>
      <c r="DA3">
        <v>4</v>
      </c>
      <c r="DB3">
        <v>6</v>
      </c>
      <c r="DC3">
        <v>7</v>
      </c>
      <c r="DD3">
        <v>8</v>
      </c>
      <c r="DE3">
        <v>9</v>
      </c>
      <c r="DF3">
        <v>10</v>
      </c>
      <c r="DG3">
        <v>11</v>
      </c>
      <c r="DH3">
        <v>12</v>
      </c>
      <c r="DI3">
        <v>13</v>
      </c>
      <c r="DJ3">
        <v>14</v>
      </c>
      <c r="DK3">
        <v>15</v>
      </c>
      <c r="DL3">
        <v>16</v>
      </c>
      <c r="DM3">
        <v>17</v>
      </c>
      <c r="DN3">
        <v>18</v>
      </c>
      <c r="DO3">
        <v>19</v>
      </c>
      <c r="DP3">
        <v>20</v>
      </c>
      <c r="DQ3">
        <v>21</v>
      </c>
      <c r="DR3">
        <v>22</v>
      </c>
      <c r="DS3">
        <v>23</v>
      </c>
      <c r="DT3">
        <v>24</v>
      </c>
      <c r="DU3">
        <v>25</v>
      </c>
      <c r="DV3">
        <v>26</v>
      </c>
      <c r="DW3">
        <v>27</v>
      </c>
      <c r="DX3">
        <v>28</v>
      </c>
      <c r="DY3">
        <v>29</v>
      </c>
      <c r="DZ3">
        <v>30</v>
      </c>
      <c r="EA3">
        <v>31</v>
      </c>
      <c r="EB3">
        <v>32</v>
      </c>
      <c r="EC3">
        <v>33</v>
      </c>
      <c r="ED3">
        <v>34</v>
      </c>
      <c r="EE3">
        <v>35</v>
      </c>
      <c r="EF3">
        <v>36</v>
      </c>
      <c r="EG3">
        <v>37</v>
      </c>
      <c r="EH3">
        <v>38</v>
      </c>
      <c r="EI3">
        <v>39</v>
      </c>
      <c r="EJ3">
        <v>41</v>
      </c>
      <c r="EK3">
        <v>42</v>
      </c>
      <c r="EL3">
        <v>43</v>
      </c>
      <c r="EM3">
        <v>44</v>
      </c>
      <c r="EN3">
        <v>45</v>
      </c>
      <c r="EO3">
        <v>46</v>
      </c>
      <c r="EP3">
        <v>47</v>
      </c>
      <c r="EQ3">
        <v>48</v>
      </c>
      <c r="ER3">
        <v>49</v>
      </c>
      <c r="ES3">
        <v>50</v>
      </c>
      <c r="ET3">
        <v>51</v>
      </c>
      <c r="EU3">
        <v>52</v>
      </c>
      <c r="EV3" t="s">
        <v>192</v>
      </c>
      <c r="EW3">
        <v>1</v>
      </c>
      <c r="EX3">
        <v>2</v>
      </c>
      <c r="EY3">
        <v>3</v>
      </c>
      <c r="EZ3">
        <v>4</v>
      </c>
      <c r="FA3">
        <v>5</v>
      </c>
      <c r="FB3">
        <v>6</v>
      </c>
      <c r="FC3">
        <v>8</v>
      </c>
      <c r="FD3">
        <v>9</v>
      </c>
      <c r="FE3">
        <v>10</v>
      </c>
      <c r="FF3">
        <v>11</v>
      </c>
      <c r="FG3">
        <v>12</v>
      </c>
      <c r="FH3">
        <v>13</v>
      </c>
      <c r="FI3">
        <v>14</v>
      </c>
      <c r="FJ3">
        <v>15</v>
      </c>
      <c r="FK3">
        <v>16</v>
      </c>
      <c r="FL3">
        <v>17</v>
      </c>
      <c r="FM3">
        <v>18</v>
      </c>
      <c r="FN3">
        <v>19</v>
      </c>
      <c r="FO3">
        <v>20</v>
      </c>
      <c r="FP3">
        <v>21</v>
      </c>
      <c r="FQ3">
        <v>22</v>
      </c>
      <c r="FR3">
        <v>23</v>
      </c>
      <c r="FS3">
        <v>24</v>
      </c>
      <c r="FT3">
        <v>25</v>
      </c>
      <c r="FU3">
        <v>26</v>
      </c>
      <c r="FV3">
        <v>27</v>
      </c>
      <c r="FW3">
        <v>28</v>
      </c>
      <c r="FX3">
        <v>29</v>
      </c>
      <c r="FY3">
        <v>30</v>
      </c>
      <c r="FZ3">
        <v>31</v>
      </c>
      <c r="GA3">
        <v>32</v>
      </c>
      <c r="GB3">
        <v>33</v>
      </c>
      <c r="GC3">
        <v>34</v>
      </c>
      <c r="GD3">
        <v>35</v>
      </c>
      <c r="GE3">
        <v>36</v>
      </c>
      <c r="GF3">
        <v>37</v>
      </c>
    </row>
    <row r="4" spans="1:188">
      <c r="A4" t="s">
        <v>243</v>
      </c>
      <c r="B4">
        <v>3.5</v>
      </c>
      <c r="C4">
        <v>3.6</v>
      </c>
      <c r="D4">
        <v>4.5</v>
      </c>
      <c r="E4">
        <v>4.8</v>
      </c>
      <c r="F4">
        <v>6.22</v>
      </c>
      <c r="G4">
        <v>6.22</v>
      </c>
      <c r="H4">
        <v>6.22</v>
      </c>
      <c r="I4">
        <v>6.22</v>
      </c>
      <c r="J4">
        <v>6.4</v>
      </c>
      <c r="K4">
        <v>6.5</v>
      </c>
      <c r="L4">
        <v>6.4</v>
      </c>
      <c r="M4">
        <v>6.4</v>
      </c>
      <c r="N4">
        <v>6.4</v>
      </c>
      <c r="O4">
        <v>6.4</v>
      </c>
      <c r="P4">
        <v>6.38</v>
      </c>
      <c r="Q4">
        <v>6.3</v>
      </c>
      <c r="R4">
        <v>5.84</v>
      </c>
      <c r="S4">
        <v>5.4</v>
      </c>
      <c r="T4">
        <v>4.5999999999999996</v>
      </c>
      <c r="U4">
        <v>4.4000000000000004</v>
      </c>
      <c r="V4">
        <v>4</v>
      </c>
      <c r="W4">
        <v>3.6</v>
      </c>
      <c r="X4">
        <v>2.8</v>
      </c>
      <c r="Y4">
        <v>2.8</v>
      </c>
      <c r="Z4">
        <v>2.8</v>
      </c>
      <c r="AA4">
        <v>2.75</v>
      </c>
      <c r="AB4">
        <v>2.78</v>
      </c>
      <c r="AC4">
        <v>2.78</v>
      </c>
      <c r="AD4">
        <v>2.9</v>
      </c>
      <c r="AE4">
        <v>2.95</v>
      </c>
      <c r="AF4">
        <v>2.95</v>
      </c>
      <c r="AG4">
        <v>3.15</v>
      </c>
      <c r="AH4">
        <v>3.35</v>
      </c>
      <c r="AI4">
        <v>3.35</v>
      </c>
      <c r="AJ4">
        <v>3.35</v>
      </c>
      <c r="AK4">
        <v>3.35</v>
      </c>
      <c r="AL4">
        <v>3.35</v>
      </c>
      <c r="AM4">
        <v>3.08</v>
      </c>
      <c r="AN4">
        <v>3.08</v>
      </c>
      <c r="AO4">
        <v>2.8</v>
      </c>
      <c r="AP4">
        <v>2.75</v>
      </c>
      <c r="AQ4">
        <v>2.5499999999999998</v>
      </c>
      <c r="AR4">
        <v>2.4</v>
      </c>
      <c r="AS4">
        <v>2.4</v>
      </c>
      <c r="AT4">
        <v>2.4</v>
      </c>
      <c r="AU4">
        <v>2.35</v>
      </c>
      <c r="AV4">
        <v>2.2999999999999998</v>
      </c>
      <c r="AW4">
        <v>2.12</v>
      </c>
      <c r="AX4">
        <v>2.12</v>
      </c>
      <c r="AY4">
        <v>2.0499999999999998</v>
      </c>
      <c r="AZ4">
        <f>Sheet1!AY12</f>
        <v>2</v>
      </c>
      <c r="BA4">
        <f>Sheet1!AZ12</f>
        <v>2</v>
      </c>
      <c r="BB4">
        <f>Sheet1!BA12</f>
        <v>2</v>
      </c>
      <c r="BC4">
        <f>Sheet1!BB12</f>
        <v>2</v>
      </c>
      <c r="BD4">
        <f>Sheet1!BC12</f>
        <v>2.02</v>
      </c>
      <c r="BE4">
        <f>Sheet1!BD12</f>
        <v>2.02</v>
      </c>
      <c r="BF4">
        <f>Sheet1!BE12</f>
        <v>2.02</v>
      </c>
      <c r="BG4">
        <f>Sheet1!BF12</f>
        <v>2.02</v>
      </c>
      <c r="BH4">
        <f>Sheet1!BG12</f>
        <v>2.02</v>
      </c>
      <c r="BI4">
        <f>Sheet1!BH12</f>
        <v>2.02</v>
      </c>
      <c r="BJ4">
        <f>Sheet1!BI12</f>
        <v>2</v>
      </c>
      <c r="BK4">
        <f>Sheet1!BJ12</f>
        <v>1.95</v>
      </c>
      <c r="BL4">
        <f>Sheet1!BK12</f>
        <v>1.8</v>
      </c>
      <c r="BM4">
        <f>Sheet1!BL12</f>
        <v>1.8</v>
      </c>
      <c r="BN4">
        <f>Sheet1!BM12</f>
        <v>1.7</v>
      </c>
      <c r="BO4">
        <f>Sheet1!BN12</f>
        <v>1.7</v>
      </c>
      <c r="BP4">
        <f>Sheet1!BO12</f>
        <v>1.67</v>
      </c>
      <c r="BQ4">
        <f>Sheet1!BP12</f>
        <v>1.55</v>
      </c>
      <c r="BR4">
        <f>Sheet1!BQ12</f>
        <v>1.45</v>
      </c>
      <c r="BS4">
        <f>Sheet1!BR12</f>
        <v>1.25</v>
      </c>
      <c r="BT4">
        <f>Sheet1!BS12</f>
        <v>1.25</v>
      </c>
      <c r="BU4">
        <f>Sheet1!BT12</f>
        <v>1.25</v>
      </c>
      <c r="BV4">
        <f>Sheet1!BU12</f>
        <v>1.25</v>
      </c>
      <c r="BW4">
        <f>Sheet1!BV12</f>
        <v>1.25</v>
      </c>
      <c r="BX4">
        <f>Sheet1!BW12</f>
        <v>1.25</v>
      </c>
      <c r="BY4">
        <f>Sheet1!BX12</f>
        <v>1.25</v>
      </c>
      <c r="BZ4">
        <f>Sheet1!BY12</f>
        <v>1.25</v>
      </c>
      <c r="CA4">
        <f>Sheet1!BZ12</f>
        <v>1.25</v>
      </c>
      <c r="CB4">
        <f>Sheet1!CA12</f>
        <v>1.25</v>
      </c>
      <c r="CC4">
        <f>Sheet1!CB12</f>
        <v>1.25</v>
      </c>
      <c r="CD4">
        <f>Sheet1!CC12</f>
        <v>1.25</v>
      </c>
      <c r="CE4">
        <f>Sheet1!CD12</f>
        <v>1.25</v>
      </c>
      <c r="CF4">
        <f>Sheet1!CE12</f>
        <v>1.25</v>
      </c>
      <c r="CG4">
        <f>Sheet1!CF12</f>
        <v>1.25</v>
      </c>
      <c r="CH4">
        <f>Sheet1!CG12</f>
        <v>1.25</v>
      </c>
      <c r="CI4">
        <f>Sheet1!CH12</f>
        <v>1.25</v>
      </c>
      <c r="CJ4">
        <f>Sheet1!CJ12</f>
        <v>1.1499999999999999</v>
      </c>
      <c r="CK4">
        <f>Sheet1!CK12</f>
        <v>1.1499999999999999</v>
      </c>
      <c r="CL4">
        <f>Sheet1!CL12</f>
        <v>1.1499999999999999</v>
      </c>
      <c r="CM4">
        <f>Sheet1!CM12</f>
        <v>1.1499999999999999</v>
      </c>
      <c r="CN4">
        <f>Sheet1!CN12</f>
        <v>1.1499999999999999</v>
      </c>
      <c r="CO4">
        <f>Sheet1!CO12</f>
        <v>1.1499999999999999</v>
      </c>
      <c r="CP4">
        <f>Sheet1!CP12</f>
        <v>1.1000000000000001</v>
      </c>
      <c r="CQ4">
        <f>Sheet1!CQ12</f>
        <v>1.08</v>
      </c>
      <c r="CR4">
        <f>Sheet1!CR12</f>
        <v>1.08</v>
      </c>
      <c r="CS4">
        <f>Sheet1!CS12</f>
        <v>1.08</v>
      </c>
      <c r="CT4">
        <f>Sheet1!CT12</f>
        <v>1.08</v>
      </c>
      <c r="CU4">
        <f>Sheet1!CU12</f>
        <v>1.08</v>
      </c>
      <c r="CV4">
        <f>Sheet1!CV12</f>
        <v>1.08</v>
      </c>
      <c r="CW4">
        <f>Sheet1!CW12</f>
        <v>1.08</v>
      </c>
      <c r="CX4">
        <f>Sheet1!CX12</f>
        <v>1.08</v>
      </c>
      <c r="CY4">
        <f>Sheet1!CY12</f>
        <v>1.08</v>
      </c>
      <c r="CZ4">
        <f>Sheet1!CZ12</f>
        <v>1.08</v>
      </c>
      <c r="DA4">
        <f>Sheet1!DA12</f>
        <v>1.08</v>
      </c>
      <c r="DB4">
        <f>Sheet1!DB12</f>
        <v>1.08</v>
      </c>
      <c r="DC4">
        <f>Sheet1!DC12</f>
        <v>1.08</v>
      </c>
      <c r="DD4">
        <f>Sheet1!DD12</f>
        <v>1.08</v>
      </c>
      <c r="DE4">
        <f>Sheet1!DE12</f>
        <v>1.08</v>
      </c>
      <c r="DF4">
        <f>Sheet1!DF12</f>
        <v>1.08</v>
      </c>
      <c r="DG4">
        <f>Sheet1!DG12</f>
        <v>1.08</v>
      </c>
      <c r="DH4">
        <f>Sheet1!DH12</f>
        <v>1.08</v>
      </c>
      <c r="DI4">
        <f>Sheet1!DI12</f>
        <v>1.08</v>
      </c>
    </row>
    <row r="5" spans="1:188">
      <c r="A5" t="s">
        <v>244</v>
      </c>
      <c r="B5">
        <v>4.8</v>
      </c>
      <c r="C5">
        <v>4.8</v>
      </c>
      <c r="D5">
        <v>6.2</v>
      </c>
      <c r="E5">
        <v>6.2</v>
      </c>
      <c r="F5">
        <v>8.1999999999999993</v>
      </c>
      <c r="G5">
        <v>8.1999999999999993</v>
      </c>
      <c r="H5">
        <v>8.1999999999999993</v>
      </c>
      <c r="I5">
        <v>8.1999999999999993</v>
      </c>
      <c r="J5">
        <v>8.1999999999999993</v>
      </c>
      <c r="K5">
        <v>8.1999999999999993</v>
      </c>
      <c r="L5">
        <v>8.1999999999999993</v>
      </c>
      <c r="M5">
        <v>8.1999999999999993</v>
      </c>
      <c r="N5">
        <v>8.0500000000000007</v>
      </c>
      <c r="O5">
        <v>8.0500000000000007</v>
      </c>
      <c r="P5">
        <v>8.0500000000000007</v>
      </c>
      <c r="Q5">
        <v>8.0500000000000007</v>
      </c>
      <c r="R5">
        <v>7.6</v>
      </c>
      <c r="S5">
        <v>7.4</v>
      </c>
      <c r="T5">
        <v>6</v>
      </c>
      <c r="U5">
        <v>5.8</v>
      </c>
      <c r="V5">
        <v>5.0999999999999996</v>
      </c>
      <c r="W5">
        <v>5</v>
      </c>
      <c r="X5">
        <v>4</v>
      </c>
      <c r="Y5">
        <v>4</v>
      </c>
      <c r="Z5">
        <v>4</v>
      </c>
      <c r="AA5">
        <v>4</v>
      </c>
      <c r="AB5">
        <v>3.77</v>
      </c>
      <c r="AC5">
        <v>3.77</v>
      </c>
      <c r="AD5">
        <v>3.77</v>
      </c>
      <c r="AE5">
        <v>3.92</v>
      </c>
      <c r="AF5">
        <v>3.92</v>
      </c>
      <c r="AG5">
        <v>4.0999999999999996</v>
      </c>
      <c r="AH5">
        <v>4.3499999999999996</v>
      </c>
      <c r="AI5">
        <v>4.3499999999999996</v>
      </c>
      <c r="AJ5">
        <v>4.3499999999999996</v>
      </c>
      <c r="AK5">
        <v>4.25</v>
      </c>
      <c r="AL5">
        <v>4.2</v>
      </c>
      <c r="AM5">
        <v>4.0199999999999996</v>
      </c>
      <c r="AN5">
        <v>4.0199999999999996</v>
      </c>
      <c r="AO5">
        <v>3.9</v>
      </c>
      <c r="AP5">
        <v>3.66</v>
      </c>
      <c r="AQ5">
        <v>3.45</v>
      </c>
      <c r="AR5">
        <v>3.3</v>
      </c>
      <c r="AS5">
        <v>3.3</v>
      </c>
      <c r="AT5">
        <v>3.3</v>
      </c>
      <c r="AU5">
        <v>3.3</v>
      </c>
      <c r="AV5">
        <v>3.3</v>
      </c>
      <c r="AW5">
        <v>3.3</v>
      </c>
      <c r="AX5">
        <v>3.05</v>
      </c>
      <c r="AY5">
        <v>3</v>
      </c>
      <c r="AZ5">
        <f>Sheet1!AY13</f>
        <v>3</v>
      </c>
      <c r="BA5">
        <f>Sheet1!AZ13</f>
        <v>3</v>
      </c>
      <c r="BB5">
        <f>Sheet1!BA13</f>
        <v>3</v>
      </c>
      <c r="BC5">
        <f>Sheet1!BB13</f>
        <v>2.95</v>
      </c>
      <c r="BD5">
        <f>Sheet1!BC13</f>
        <v>2.95</v>
      </c>
      <c r="BE5">
        <f>Sheet1!BD13</f>
        <v>2.85</v>
      </c>
      <c r="BF5">
        <f>Sheet1!BE13</f>
        <v>2.8</v>
      </c>
      <c r="BG5">
        <f>Sheet1!BF13</f>
        <v>2.8</v>
      </c>
      <c r="BH5">
        <f>Sheet1!BG13</f>
        <v>2.8</v>
      </c>
      <c r="BI5">
        <f>Sheet1!BH13</f>
        <v>2.8</v>
      </c>
      <c r="BJ5">
        <f>Sheet1!BI13</f>
        <v>2.75</v>
      </c>
      <c r="BK5">
        <f>Sheet1!BJ13</f>
        <v>2.75</v>
      </c>
      <c r="BL5">
        <f>Sheet1!BK13</f>
        <v>2.4</v>
      </c>
      <c r="BM5">
        <f>Sheet1!BL13</f>
        <v>2.4</v>
      </c>
      <c r="BN5">
        <f>Sheet1!BM13</f>
        <v>2.35</v>
      </c>
      <c r="BO5">
        <f>Sheet1!BN13</f>
        <v>2.35</v>
      </c>
      <c r="BP5">
        <f>Sheet1!BO13</f>
        <v>2.15</v>
      </c>
      <c r="BQ5">
        <f>Sheet1!BP13</f>
        <v>2.13</v>
      </c>
      <c r="BR5">
        <f>Sheet1!BQ13</f>
        <v>1.95</v>
      </c>
      <c r="BS5">
        <f>Sheet1!BR13</f>
        <v>1.85</v>
      </c>
      <c r="BT5">
        <f>Sheet1!BS13</f>
        <v>1.85</v>
      </c>
      <c r="BU5">
        <f>Sheet1!BT13</f>
        <v>1.85</v>
      </c>
      <c r="BV5">
        <f>Sheet1!BU13</f>
        <v>1.85</v>
      </c>
      <c r="BW5">
        <f>Sheet1!BV13</f>
        <v>1.85</v>
      </c>
      <c r="BX5">
        <f>Sheet1!BW13</f>
        <v>1.85</v>
      </c>
      <c r="BY5">
        <f>Sheet1!BX13</f>
        <v>1.85</v>
      </c>
      <c r="BZ5">
        <f>Sheet1!BY13</f>
        <v>1.85</v>
      </c>
      <c r="CA5">
        <f>Sheet1!BZ13</f>
        <v>1.85</v>
      </c>
      <c r="CB5">
        <f>Sheet1!CA13</f>
        <v>1.85</v>
      </c>
      <c r="CC5">
        <f>Sheet1!CB13</f>
        <v>1.85</v>
      </c>
      <c r="CD5">
        <f>Sheet1!CC13</f>
        <v>1.85</v>
      </c>
      <c r="CE5">
        <f>Sheet1!CD13</f>
        <v>1.85</v>
      </c>
      <c r="CF5">
        <f>Sheet1!CE13</f>
        <v>1.85</v>
      </c>
      <c r="CG5">
        <f>Sheet1!CF13</f>
        <v>1.85</v>
      </c>
      <c r="CH5">
        <f>Sheet1!CG13</f>
        <v>1.85</v>
      </c>
      <c r="CI5">
        <f>Sheet1!CH13</f>
        <v>1.85</v>
      </c>
      <c r="CJ5">
        <f>Sheet1!CJ13</f>
        <v>1.7</v>
      </c>
      <c r="CK5">
        <f>Sheet1!CK13</f>
        <v>1.72</v>
      </c>
      <c r="CL5">
        <f>Sheet1!CL13</f>
        <v>1.72</v>
      </c>
      <c r="CM5">
        <f>Sheet1!CM13</f>
        <v>1.72</v>
      </c>
      <c r="CN5">
        <f>Sheet1!CN13</f>
        <v>1.72</v>
      </c>
      <c r="CO5">
        <f>Sheet1!CO13</f>
        <v>1.72</v>
      </c>
      <c r="CP5">
        <f>Sheet1!CP13</f>
        <v>1.65</v>
      </c>
      <c r="CQ5">
        <f>Sheet1!CQ13</f>
        <v>1.65</v>
      </c>
      <c r="CR5">
        <f>Sheet1!CR13</f>
        <v>1.65</v>
      </c>
      <c r="CS5">
        <f>Sheet1!CS13</f>
        <v>1.65</v>
      </c>
      <c r="CT5">
        <f>Sheet1!CT13</f>
        <v>1.65</v>
      </c>
      <c r="CU5">
        <f>Sheet1!CU13</f>
        <v>1.65</v>
      </c>
      <c r="CV5">
        <f>Sheet1!CV13</f>
        <v>1.65</v>
      </c>
      <c r="CW5">
        <f>Sheet1!CW13</f>
        <v>1.65</v>
      </c>
      <c r="CX5">
        <f>Sheet1!CX13</f>
        <v>1.65</v>
      </c>
      <c r="CY5">
        <f>Sheet1!CY13</f>
        <v>1.65</v>
      </c>
      <c r="CZ5">
        <f>Sheet1!CZ13</f>
        <v>1.65</v>
      </c>
      <c r="DA5">
        <f>Sheet1!DA13</f>
        <v>1.65</v>
      </c>
      <c r="DB5">
        <f>Sheet1!DB13</f>
        <v>1.65</v>
      </c>
      <c r="DC5">
        <f>Sheet1!DC13</f>
        <v>1.65</v>
      </c>
      <c r="DD5">
        <f>Sheet1!DD13</f>
        <v>1.65</v>
      </c>
      <c r="DE5">
        <f>Sheet1!DE13</f>
        <v>1.65</v>
      </c>
      <c r="DF5">
        <f>Sheet1!DF13</f>
        <v>1.65</v>
      </c>
      <c r="DG5">
        <f>Sheet1!DG13</f>
        <v>1.65</v>
      </c>
      <c r="DH5">
        <f>Sheet1!DH13</f>
        <v>1.65</v>
      </c>
      <c r="DI5">
        <f>Sheet1!DI13</f>
        <v>1.58</v>
      </c>
    </row>
    <row r="6" spans="1:188">
      <c r="A6" t="s">
        <v>206</v>
      </c>
      <c r="B6">
        <v>6.3</v>
      </c>
      <c r="C6">
        <v>5.0999999999999996</v>
      </c>
      <c r="D6">
        <v>5.3</v>
      </c>
      <c r="E6">
        <v>5.3</v>
      </c>
    </row>
    <row r="7" spans="1:188">
      <c r="A7" t="s">
        <v>207</v>
      </c>
      <c r="F7">
        <v>8.52</v>
      </c>
      <c r="G7">
        <v>8.52</v>
      </c>
      <c r="H7">
        <v>8.52</v>
      </c>
      <c r="I7">
        <v>8.52</v>
      </c>
      <c r="J7">
        <v>8.52</v>
      </c>
      <c r="K7">
        <v>8.52</v>
      </c>
      <c r="L7">
        <v>8.52</v>
      </c>
      <c r="M7">
        <v>8.52</v>
      </c>
      <c r="N7">
        <v>8.1999999999999993</v>
      </c>
      <c r="O7">
        <v>8.1999999999999993</v>
      </c>
      <c r="P7">
        <v>8.1999999999999993</v>
      </c>
      <c r="Q7">
        <v>8.1999999999999993</v>
      </c>
      <c r="R7">
        <v>7.74</v>
      </c>
      <c r="S7">
        <v>7.6</v>
      </c>
      <c r="T7">
        <v>6.8</v>
      </c>
      <c r="U7">
        <v>6.7</v>
      </c>
      <c r="V7">
        <v>6.2</v>
      </c>
      <c r="W7">
        <v>6.1</v>
      </c>
      <c r="X7">
        <v>5</v>
      </c>
      <c r="Y7">
        <v>5</v>
      </c>
      <c r="Z7">
        <v>5</v>
      </c>
      <c r="AA7">
        <v>5</v>
      </c>
      <c r="AB7">
        <v>3.84</v>
      </c>
      <c r="AC7">
        <v>3.84</v>
      </c>
      <c r="AD7">
        <v>3.84</v>
      </c>
      <c r="AE7">
        <v>3.98</v>
      </c>
      <c r="AF7">
        <v>3.98</v>
      </c>
      <c r="AG7">
        <v>4.25</v>
      </c>
      <c r="AH7">
        <v>4.32</v>
      </c>
      <c r="AI7">
        <v>4.32</v>
      </c>
      <c r="AJ7">
        <v>4.32</v>
      </c>
      <c r="AK7">
        <v>4.32</v>
      </c>
      <c r="AL7">
        <v>4.32</v>
      </c>
      <c r="AM7">
        <v>4.2</v>
      </c>
      <c r="AN7">
        <v>4.2</v>
      </c>
      <c r="AO7">
        <v>3.95</v>
      </c>
      <c r="AP7">
        <v>3.85</v>
      </c>
      <c r="AQ7">
        <v>3.5</v>
      </c>
      <c r="AR7">
        <v>3.35</v>
      </c>
      <c r="AS7">
        <v>3.35</v>
      </c>
      <c r="AT7">
        <v>3.35</v>
      </c>
      <c r="AU7">
        <v>3.35</v>
      </c>
      <c r="AV7">
        <v>3.35</v>
      </c>
      <c r="AW7">
        <v>3.35</v>
      </c>
      <c r="AX7">
        <v>3.35</v>
      </c>
      <c r="AY7">
        <v>3.25</v>
      </c>
      <c r="AZ7">
        <f>Sheet1!AY15</f>
        <v>3.23</v>
      </c>
      <c r="BA7">
        <f>Sheet1!AZ15</f>
        <v>3.23</v>
      </c>
      <c r="BB7">
        <f>Sheet1!BA15</f>
        <v>3.23</v>
      </c>
      <c r="BC7">
        <f>Sheet1!BB15</f>
        <v>3.1</v>
      </c>
      <c r="BD7">
        <f>Sheet1!BC15</f>
        <v>3.1</v>
      </c>
      <c r="BE7">
        <f>Sheet1!BD15</f>
        <v>3.08</v>
      </c>
      <c r="BF7">
        <f>Sheet1!BE15</f>
        <v>3.08</v>
      </c>
      <c r="BG7">
        <f>Sheet1!BF15</f>
        <v>3.08</v>
      </c>
      <c r="BH7">
        <f>Sheet1!BG15</f>
        <v>3.08</v>
      </c>
      <c r="BI7">
        <f>Sheet1!BH15</f>
        <v>3.08</v>
      </c>
      <c r="BJ7">
        <f>Sheet1!BI15</f>
        <v>2.95</v>
      </c>
      <c r="BK7">
        <f>Sheet1!BJ15</f>
        <v>2.85</v>
      </c>
      <c r="BL7">
        <f>Sheet1!BK15</f>
        <v>2.75</v>
      </c>
      <c r="BM7">
        <f>Sheet1!BL15</f>
        <v>2.65</v>
      </c>
      <c r="BN7">
        <f>Sheet1!BM15</f>
        <v>2.6</v>
      </c>
      <c r="BO7">
        <f>Sheet1!BN15</f>
        <v>2.6</v>
      </c>
      <c r="BP7">
        <f>Sheet1!BO15</f>
        <v>2.2999999999999998</v>
      </c>
      <c r="BQ7">
        <f>Sheet1!BP15</f>
        <v>2.23</v>
      </c>
      <c r="BR7">
        <f>Sheet1!BQ15</f>
        <v>2.1</v>
      </c>
      <c r="BS7">
        <f>Sheet1!BR15</f>
        <v>1.85</v>
      </c>
      <c r="BT7">
        <f>Sheet1!BS15</f>
        <v>1.85</v>
      </c>
      <c r="BU7">
        <f>Sheet1!BT15</f>
        <v>1.85</v>
      </c>
      <c r="BV7">
        <f>Sheet1!BU15</f>
        <v>1.85</v>
      </c>
      <c r="BW7">
        <f>Sheet1!BV15</f>
        <v>1.85</v>
      </c>
      <c r="BX7">
        <f>Sheet1!BW15</f>
        <v>1.85</v>
      </c>
      <c r="BY7">
        <f>Sheet1!BX15</f>
        <v>1.85</v>
      </c>
      <c r="BZ7">
        <f>Sheet1!BY15</f>
        <v>1.85</v>
      </c>
      <c r="CA7">
        <f>Sheet1!BZ15</f>
        <v>1.85</v>
      </c>
      <c r="CB7">
        <f>Sheet1!CA15</f>
        <v>1.85</v>
      </c>
      <c r="CC7">
        <f>Sheet1!CB15</f>
        <v>1.85</v>
      </c>
      <c r="CD7">
        <f>Sheet1!CC15</f>
        <v>1.75</v>
      </c>
      <c r="CE7">
        <f>Sheet1!CD15</f>
        <v>1.7</v>
      </c>
      <c r="CF7">
        <f>Sheet1!CE15</f>
        <v>1.7</v>
      </c>
      <c r="CG7">
        <f>Sheet1!CF15</f>
        <v>1.6</v>
      </c>
      <c r="CH7">
        <f>Sheet1!CG15</f>
        <v>1.55</v>
      </c>
      <c r="CI7">
        <f>Sheet1!CH15</f>
        <v>1.5</v>
      </c>
      <c r="CJ7">
        <f>Sheet1!CJ15</f>
        <v>1.5</v>
      </c>
      <c r="CK7">
        <f>Sheet1!CK15</f>
        <v>1.5</v>
      </c>
      <c r="CL7">
        <f>Sheet1!CL15</f>
        <v>1.5</v>
      </c>
      <c r="CM7">
        <f>Sheet1!CM15</f>
        <v>1.45</v>
      </c>
      <c r="CN7">
        <f>Sheet1!CN15</f>
        <v>1.45</v>
      </c>
      <c r="CO7">
        <f>Sheet1!CO15</f>
        <v>1.45</v>
      </c>
      <c r="CP7">
        <f>Sheet1!CP15</f>
        <v>1.45</v>
      </c>
      <c r="CQ7">
        <f>Sheet1!CQ15</f>
        <v>1.45</v>
      </c>
      <c r="CR7">
        <f>Sheet1!CR15</f>
        <v>1.45</v>
      </c>
      <c r="CS7">
        <f>Sheet1!CS15</f>
        <v>1.45</v>
      </c>
      <c r="CT7">
        <f>Sheet1!CT15</f>
        <v>1.45</v>
      </c>
      <c r="CU7">
        <f>Sheet1!CU15</f>
        <v>1.45</v>
      </c>
      <c r="CV7">
        <f>Sheet1!CV15</f>
        <v>1.45</v>
      </c>
      <c r="CW7">
        <f>Sheet1!CW15</f>
        <v>1.45</v>
      </c>
      <c r="CX7">
        <f>Sheet1!CX15</f>
        <v>1.45</v>
      </c>
      <c r="CY7">
        <f>Sheet1!CY15</f>
        <v>1.55</v>
      </c>
      <c r="CZ7">
        <f>Sheet1!CZ15</f>
        <v>1.55</v>
      </c>
      <c r="DA7">
        <f>Sheet1!DA15</f>
        <v>1.55</v>
      </c>
      <c r="DB7">
        <f>Sheet1!DB15</f>
        <v>1.55</v>
      </c>
      <c r="DC7">
        <f>Sheet1!DC15</f>
        <v>1.55</v>
      </c>
      <c r="DD7">
        <f>Sheet1!DD15</f>
        <v>1.55</v>
      </c>
      <c r="DE7">
        <f>Sheet1!DE15</f>
        <v>1.55</v>
      </c>
      <c r="DF7">
        <f>Sheet1!DF15</f>
        <v>1.55</v>
      </c>
      <c r="DG7">
        <f>Sheet1!DG15</f>
        <v>1.55</v>
      </c>
      <c r="DH7">
        <f>Sheet1!DH15</f>
        <v>1.55</v>
      </c>
      <c r="DI7">
        <f>Sheet1!DI15</f>
        <v>1.55</v>
      </c>
      <c r="DJ7">
        <f>Sheet1!DJ15</f>
        <v>1.58</v>
      </c>
      <c r="DK7">
        <f>Sheet1!DK15</f>
        <v>1.58</v>
      </c>
      <c r="DL7">
        <f>Sheet1!DL15</f>
        <v>1.55</v>
      </c>
      <c r="DM7">
        <f>Sheet1!DM15</f>
        <v>1.45</v>
      </c>
      <c r="DN7">
        <f>Sheet1!DN15</f>
        <v>1.45</v>
      </c>
      <c r="DO7">
        <f>Sheet1!DO15</f>
        <v>1.35</v>
      </c>
      <c r="DP7">
        <f>Sheet1!DP15</f>
        <v>1.3</v>
      </c>
      <c r="DQ7">
        <f>Sheet1!DQ15</f>
        <v>1.3</v>
      </c>
      <c r="DR7">
        <f>Sheet1!DR15</f>
        <v>1.3</v>
      </c>
      <c r="DS7">
        <f>Sheet1!DS15</f>
        <v>1.3</v>
      </c>
      <c r="DT7">
        <f>Sheet1!DT15</f>
        <v>1.3</v>
      </c>
      <c r="DU7">
        <f>Sheet1!DU15</f>
        <v>1.25</v>
      </c>
      <c r="DV7">
        <f>Sheet1!DV15</f>
        <v>1.23</v>
      </c>
      <c r="DW7">
        <f>Sheet1!DW15</f>
        <v>1.23</v>
      </c>
      <c r="DX7">
        <f>Sheet1!DX15</f>
        <v>1.3</v>
      </c>
      <c r="DY7">
        <f>Sheet1!DY15</f>
        <v>1.4</v>
      </c>
      <c r="DZ7">
        <f>Sheet1!DZ15</f>
        <v>1.45</v>
      </c>
      <c r="EA7">
        <f>Sheet1!EA15</f>
        <v>1.55</v>
      </c>
      <c r="EB7">
        <f>Sheet1!EB15</f>
        <v>1.55</v>
      </c>
      <c r="EC7">
        <f>Sheet1!EC15</f>
        <v>1.55</v>
      </c>
      <c r="ED7">
        <f>Sheet1!ED15</f>
        <v>1.55</v>
      </c>
      <c r="EE7">
        <f>Sheet1!EE15</f>
        <v>1.6</v>
      </c>
      <c r="EF7">
        <f>Sheet1!EF15</f>
        <v>1.6</v>
      </c>
      <c r="EG7">
        <f>Sheet1!EG15</f>
        <v>1.65</v>
      </c>
      <c r="EH7">
        <f>Sheet1!EH15</f>
        <v>1.7</v>
      </c>
      <c r="EI7">
        <f>Sheet1!EI15</f>
        <v>1.7</v>
      </c>
      <c r="EJ7">
        <f>Sheet1!EJ15</f>
        <v>1.7</v>
      </c>
      <c r="EK7">
        <f>Sheet1!EK15</f>
        <v>1.7</v>
      </c>
      <c r="EL7">
        <f>Sheet1!EL15</f>
        <v>1.7</v>
      </c>
      <c r="EM7">
        <f>Sheet1!EM15</f>
        <v>1.7</v>
      </c>
      <c r="EN7">
        <f>Sheet1!EN15</f>
        <v>1.65</v>
      </c>
      <c r="EO7">
        <f>Sheet1!EO15</f>
        <v>1.65</v>
      </c>
      <c r="EP7">
        <f>Sheet1!EP15</f>
        <v>1.65</v>
      </c>
      <c r="EQ7">
        <f>Sheet1!EQ15</f>
        <v>1.55</v>
      </c>
      <c r="ER7">
        <f>Sheet1!ER15</f>
        <v>1.53</v>
      </c>
      <c r="ES7">
        <f>Sheet1!ES15</f>
        <v>1.5</v>
      </c>
      <c r="ET7">
        <f>Sheet1!ET15</f>
        <v>1.5</v>
      </c>
      <c r="EU7">
        <f>Sheet1!EU15</f>
        <v>1.55</v>
      </c>
      <c r="EV7">
        <f>Sheet1!EV15</f>
        <v>1.55</v>
      </c>
      <c r="EW7">
        <f>Sheet1!EW15</f>
        <v>1.55</v>
      </c>
      <c r="EX7">
        <f>Sheet1!EX15</f>
        <v>1.55</v>
      </c>
      <c r="EY7">
        <f>Sheet1!EY15</f>
        <v>1.55</v>
      </c>
      <c r="EZ7">
        <f>Sheet1!EZ15</f>
        <v>1.5</v>
      </c>
      <c r="FA7">
        <f>Sheet1!FA15</f>
        <v>1.48</v>
      </c>
      <c r="FB7">
        <f>Sheet1!FB15</f>
        <v>1.4</v>
      </c>
      <c r="FC7">
        <f>Sheet1!FC15</f>
        <v>1.4</v>
      </c>
      <c r="FD7">
        <f>Sheet1!FD15</f>
        <v>1.35</v>
      </c>
      <c r="FE7">
        <f>Sheet1!FE15</f>
        <v>1.35</v>
      </c>
      <c r="FF7">
        <f>Sheet1!FF15</f>
        <v>1.3</v>
      </c>
      <c r="FG7">
        <f>Sheet1!FG15</f>
        <v>1.3</v>
      </c>
      <c r="FH7">
        <f>Sheet1!FH15</f>
        <v>1.28</v>
      </c>
      <c r="FI7">
        <f>Sheet1!FI15</f>
        <v>1.23</v>
      </c>
      <c r="FJ7">
        <f>Sheet1!FJ15</f>
        <v>1.1850000000000001</v>
      </c>
      <c r="FK7">
        <f>Sheet1!FK15</f>
        <v>1.1850000000000001</v>
      </c>
      <c r="FL7">
        <f>Sheet1!FL15</f>
        <v>1.1850000000000001</v>
      </c>
      <c r="FM7">
        <f>Sheet1!FM15</f>
        <v>1.19</v>
      </c>
      <c r="FN7">
        <f>Sheet1!FN15</f>
        <v>1.19</v>
      </c>
      <c r="FO7">
        <f>Sheet1!FO15</f>
        <v>1.19</v>
      </c>
      <c r="FP7">
        <f>Sheet1!FP15</f>
        <v>1.19</v>
      </c>
      <c r="FQ7">
        <f>Sheet1!FQ15</f>
        <v>1.19</v>
      </c>
      <c r="FR7">
        <f>Sheet1!FR15</f>
        <v>1.19</v>
      </c>
      <c r="FS7">
        <f>Sheet1!FS15</f>
        <v>1.19</v>
      </c>
      <c r="FT7">
        <f>Sheet1!FT15</f>
        <v>1.19</v>
      </c>
      <c r="FU7">
        <f>Sheet1!FU15</f>
        <v>1.18</v>
      </c>
      <c r="FV7">
        <f>Sheet1!FV15</f>
        <v>1.18</v>
      </c>
      <c r="FW7">
        <f>Sheet1!FW15</f>
        <v>1.1599999999999999</v>
      </c>
      <c r="FX7">
        <f>Sheet1!FX15</f>
        <v>1.1599999999999999</v>
      </c>
      <c r="FY7">
        <f>Sheet1!FY15</f>
        <v>1.1000000000000001</v>
      </c>
      <c r="FZ7">
        <f>Sheet1!FZ15</f>
        <v>1.1000000000000001</v>
      </c>
      <c r="GA7">
        <f>Sheet1!GA15</f>
        <v>1.1000000000000001</v>
      </c>
      <c r="GB7">
        <f>Sheet1!GB15</f>
        <v>1.2</v>
      </c>
      <c r="GC7">
        <f>Sheet1!GC15</f>
        <v>1.25</v>
      </c>
      <c r="GD7">
        <f>Sheet1!GD15</f>
        <v>1.2</v>
      </c>
      <c r="GE7">
        <f>Sheet1!GE15</f>
        <v>1.2</v>
      </c>
      <c r="GF7">
        <f>Sheet1!GF15</f>
        <v>1.1499999999999999</v>
      </c>
    </row>
    <row r="8" spans="1:188">
      <c r="A8" t="s">
        <v>208</v>
      </c>
      <c r="F8">
        <v>6.52</v>
      </c>
      <c r="G8">
        <v>6.52</v>
      </c>
      <c r="H8">
        <v>6.52</v>
      </c>
      <c r="I8">
        <v>6.52</v>
      </c>
      <c r="J8">
        <v>6.52</v>
      </c>
      <c r="K8">
        <v>6.52</v>
      </c>
      <c r="L8">
        <v>6.52</v>
      </c>
      <c r="M8">
        <v>6.52</v>
      </c>
      <c r="N8">
        <v>6.52</v>
      </c>
      <c r="O8">
        <v>6.52</v>
      </c>
      <c r="P8">
        <v>6.52</v>
      </c>
      <c r="Q8">
        <v>6.52</v>
      </c>
      <c r="R8">
        <v>5.95</v>
      </c>
      <c r="S8">
        <v>5.8</v>
      </c>
      <c r="T8">
        <v>5</v>
      </c>
      <c r="U8">
        <v>4.9000000000000004</v>
      </c>
      <c r="V8">
        <v>4.5</v>
      </c>
      <c r="W8">
        <v>4.1500000000000004</v>
      </c>
      <c r="X8">
        <v>3.5</v>
      </c>
      <c r="Y8">
        <v>3.5</v>
      </c>
      <c r="Z8">
        <v>3.5</v>
      </c>
      <c r="AA8">
        <v>3.5</v>
      </c>
      <c r="AB8">
        <v>2.9</v>
      </c>
      <c r="AC8">
        <v>2.9</v>
      </c>
      <c r="AD8">
        <v>2.9</v>
      </c>
      <c r="AE8">
        <v>3.01</v>
      </c>
      <c r="AF8">
        <v>3.01</v>
      </c>
      <c r="AG8">
        <v>3.2</v>
      </c>
      <c r="AH8">
        <v>3.26</v>
      </c>
      <c r="AI8">
        <v>3.26</v>
      </c>
      <c r="AJ8">
        <v>3.26</v>
      </c>
      <c r="AK8">
        <v>3.26</v>
      </c>
      <c r="AL8">
        <v>3.26</v>
      </c>
      <c r="AM8">
        <v>3.2</v>
      </c>
      <c r="AN8">
        <v>3.2</v>
      </c>
      <c r="AO8">
        <v>3.05</v>
      </c>
      <c r="AP8">
        <v>2.9</v>
      </c>
      <c r="AQ8">
        <v>2.7</v>
      </c>
      <c r="AR8">
        <v>2.5499999999999998</v>
      </c>
      <c r="AS8">
        <v>2.5499999999999998</v>
      </c>
      <c r="AT8">
        <v>2.5499999999999998</v>
      </c>
      <c r="AU8">
        <v>2.5499999999999998</v>
      </c>
      <c r="AV8">
        <v>2.5499999999999998</v>
      </c>
      <c r="AW8">
        <v>2.5499999999999998</v>
      </c>
      <c r="AX8">
        <v>2.5499999999999998</v>
      </c>
      <c r="AY8">
        <v>2.4</v>
      </c>
      <c r="AZ8">
        <f>Sheet1!AY16</f>
        <v>2.2999999999999998</v>
      </c>
      <c r="BA8">
        <f>Sheet1!AZ16</f>
        <v>2.2999999999999998</v>
      </c>
      <c r="BB8">
        <f>Sheet1!BA16</f>
        <v>2.2999999999999998</v>
      </c>
      <c r="BC8">
        <f>Sheet1!BB16</f>
        <v>2.2999999999999998</v>
      </c>
      <c r="BD8">
        <f>Sheet1!BC16</f>
        <v>2.2000000000000002</v>
      </c>
      <c r="BE8">
        <f>Sheet1!BD16</f>
        <v>2.15</v>
      </c>
      <c r="BF8">
        <f>Sheet1!BE16</f>
        <v>2.15</v>
      </c>
      <c r="BG8">
        <f>Sheet1!BF16</f>
        <v>2.15</v>
      </c>
      <c r="BH8">
        <f>Sheet1!BG16</f>
        <v>2.15</v>
      </c>
      <c r="BI8">
        <f>Sheet1!BH16</f>
        <v>2.08</v>
      </c>
      <c r="BJ8">
        <f>Sheet1!BI16</f>
        <v>1.98</v>
      </c>
      <c r="BK8">
        <f>Sheet1!BJ16</f>
        <v>1.85</v>
      </c>
      <c r="BL8">
        <f>Sheet1!BK16</f>
        <v>1.7</v>
      </c>
      <c r="BM8">
        <f>Sheet1!BL16</f>
        <v>1.6</v>
      </c>
      <c r="BN8">
        <f>Sheet1!BM16</f>
        <v>1.55</v>
      </c>
      <c r="BO8">
        <f>Sheet1!BN16</f>
        <v>1.55</v>
      </c>
      <c r="BP8">
        <f>Sheet1!BO16</f>
        <v>1.53</v>
      </c>
      <c r="BQ8">
        <f>Sheet1!BP16</f>
        <v>1.48</v>
      </c>
      <c r="BR8">
        <f>Sheet1!BQ16</f>
        <v>1.25</v>
      </c>
      <c r="BS8">
        <f>Sheet1!BR16</f>
        <v>1.1499999999999999</v>
      </c>
      <c r="BT8">
        <f>Sheet1!BS16</f>
        <v>1.1499999999999999</v>
      </c>
      <c r="BU8">
        <f>Sheet1!BT16</f>
        <v>1.1499999999999999</v>
      </c>
      <c r="BV8">
        <f>Sheet1!BU16</f>
        <v>1.1499999999999999</v>
      </c>
      <c r="BW8">
        <f>Sheet1!BV16</f>
        <v>1.1499999999999999</v>
      </c>
      <c r="BX8">
        <f>Sheet1!BW16</f>
        <v>1.1499999999999999</v>
      </c>
      <c r="BY8">
        <f>Sheet1!BX16</f>
        <v>1.1499999999999999</v>
      </c>
      <c r="BZ8">
        <f>Sheet1!BY16</f>
        <v>1.1499999999999999</v>
      </c>
      <c r="CA8">
        <f>Sheet1!BZ16</f>
        <v>1.1499999999999999</v>
      </c>
      <c r="CB8">
        <f>Sheet1!CA16</f>
        <v>1.1499999999999999</v>
      </c>
      <c r="CC8">
        <f>Sheet1!CB16</f>
        <v>1.1499999999999999</v>
      </c>
      <c r="CD8">
        <f>Sheet1!CC16</f>
        <v>1.1499999999999999</v>
      </c>
      <c r="CE8">
        <f>Sheet1!CD16</f>
        <v>1.1499999999999999</v>
      </c>
      <c r="CF8">
        <f>Sheet1!CE16</f>
        <v>1.1499999999999999</v>
      </c>
      <c r="CG8">
        <f>Sheet1!CF16</f>
        <v>1.1499999999999999</v>
      </c>
      <c r="CH8">
        <f>Sheet1!CG16</f>
        <v>1.1499999999999999</v>
      </c>
      <c r="CI8">
        <f>Sheet1!CH16</f>
        <v>1.08</v>
      </c>
      <c r="CJ8">
        <f>Sheet1!CJ16</f>
        <v>1.08</v>
      </c>
      <c r="CK8">
        <f>Sheet1!CK16</f>
        <v>1.1200000000000001</v>
      </c>
      <c r="CL8">
        <f>Sheet1!CL16</f>
        <v>1.1200000000000001</v>
      </c>
      <c r="CM8">
        <f>Sheet1!CM16</f>
        <v>1.06</v>
      </c>
      <c r="CN8">
        <f>Sheet1!CN16</f>
        <v>1.06</v>
      </c>
      <c r="CO8">
        <f>Sheet1!CO16</f>
        <v>1.06</v>
      </c>
      <c r="CP8">
        <f>Sheet1!CP16</f>
        <v>1.03</v>
      </c>
      <c r="CQ8">
        <f>Sheet1!CQ16</f>
        <v>1.02</v>
      </c>
      <c r="CR8">
        <f>Sheet1!CR16</f>
        <v>1.02</v>
      </c>
      <c r="CS8">
        <f>Sheet1!CS16</f>
        <v>1.02</v>
      </c>
      <c r="CT8">
        <f>Sheet1!CT16</f>
        <v>1.02</v>
      </c>
      <c r="CU8">
        <f>Sheet1!CU16</f>
        <v>1.02</v>
      </c>
      <c r="CV8">
        <f>Sheet1!CV16</f>
        <v>1.05</v>
      </c>
      <c r="CW8">
        <f>Sheet1!CW16</f>
        <v>1.08</v>
      </c>
      <c r="CX8">
        <f>Sheet1!CX16</f>
        <v>1.08</v>
      </c>
      <c r="CY8">
        <f>Sheet1!CY16</f>
        <v>1.18</v>
      </c>
      <c r="CZ8">
        <f>Sheet1!CZ16</f>
        <v>1.18</v>
      </c>
      <c r="DA8">
        <f>Sheet1!DA16</f>
        <v>1.18</v>
      </c>
      <c r="DB8">
        <f>Sheet1!DB16</f>
        <v>1.18</v>
      </c>
      <c r="DC8">
        <f>Sheet1!DC16</f>
        <v>1.18</v>
      </c>
      <c r="DD8">
        <f>Sheet1!DD16</f>
        <v>1.18</v>
      </c>
      <c r="DE8">
        <f>Sheet1!DE16</f>
        <v>1.18</v>
      </c>
      <c r="DF8">
        <f>Sheet1!DF16</f>
        <v>1.18</v>
      </c>
      <c r="DG8">
        <f>Sheet1!DG16</f>
        <v>1.2</v>
      </c>
      <c r="DH8">
        <f>Sheet1!DH16</f>
        <v>1.2</v>
      </c>
      <c r="DI8">
        <f>Sheet1!DI16</f>
        <v>1.23</v>
      </c>
      <c r="DJ8">
        <f>Sheet1!DJ16</f>
        <v>1.28</v>
      </c>
      <c r="DK8">
        <f>Sheet1!DK16</f>
        <v>1.28</v>
      </c>
      <c r="DL8">
        <f>Sheet1!DL16</f>
        <v>1.28</v>
      </c>
      <c r="DM8">
        <f>Sheet1!DM16</f>
        <v>1.1499999999999999</v>
      </c>
      <c r="DN8">
        <f>Sheet1!DN16</f>
        <v>1.1499999999999999</v>
      </c>
      <c r="DO8">
        <f>Sheet1!DO16</f>
        <v>1.02</v>
      </c>
      <c r="DP8">
        <f>Sheet1!DP16</f>
        <v>0.98</v>
      </c>
      <c r="DQ8">
        <f>Sheet1!DQ16</f>
        <v>0.98</v>
      </c>
      <c r="DR8">
        <f>Sheet1!DR16</f>
        <v>0.98</v>
      </c>
      <c r="DS8">
        <f>Sheet1!DS16</f>
        <v>0.98</v>
      </c>
      <c r="DT8">
        <f>Sheet1!DT16</f>
        <v>0.98</v>
      </c>
      <c r="DU8">
        <f>Sheet1!DU16</f>
        <v>0.9</v>
      </c>
      <c r="DV8">
        <f>Sheet1!DV16</f>
        <v>0.86</v>
      </c>
      <c r="DW8">
        <f>Sheet1!DW16</f>
        <v>0.86</v>
      </c>
      <c r="DX8">
        <f>Sheet1!DX16</f>
        <v>0.95</v>
      </c>
      <c r="DY8">
        <f>Sheet1!DY16</f>
        <v>1.05</v>
      </c>
      <c r="DZ8">
        <f>Sheet1!DZ16</f>
        <v>1.1000000000000001</v>
      </c>
      <c r="EA8">
        <f>Sheet1!EA16</f>
        <v>1.2</v>
      </c>
      <c r="EB8">
        <f>Sheet1!EB16</f>
        <v>1.2</v>
      </c>
      <c r="EC8">
        <f>Sheet1!EC16</f>
        <v>1.2</v>
      </c>
      <c r="ED8">
        <f>Sheet1!ED16</f>
        <v>1.2</v>
      </c>
      <c r="EE8">
        <f>Sheet1!EE16</f>
        <v>1.25</v>
      </c>
      <c r="EF8">
        <f>Sheet1!EF16</f>
        <v>1.25</v>
      </c>
      <c r="EG8">
        <f>Sheet1!EG16</f>
        <v>1.3</v>
      </c>
      <c r="EH8">
        <f>Sheet1!EH16</f>
        <v>1.35</v>
      </c>
      <c r="EI8">
        <f>Sheet1!EI16</f>
        <v>1.35</v>
      </c>
      <c r="EJ8">
        <f>Sheet1!EJ16</f>
        <v>1.35</v>
      </c>
      <c r="EK8">
        <f>Sheet1!EK16</f>
        <v>1.35</v>
      </c>
      <c r="EL8">
        <f>Sheet1!EL16</f>
        <v>1.35</v>
      </c>
      <c r="EM8">
        <f>Sheet1!EM16</f>
        <v>1.35</v>
      </c>
      <c r="EN8">
        <f>Sheet1!EN16</f>
        <v>1.3</v>
      </c>
      <c r="EO8">
        <f>Sheet1!EO16</f>
        <v>1.3</v>
      </c>
      <c r="EP8">
        <f>Sheet1!EP16</f>
        <v>1.3</v>
      </c>
      <c r="EQ8">
        <f>Sheet1!EQ16</f>
        <v>1.2</v>
      </c>
      <c r="ER8">
        <f>Sheet1!ER16</f>
        <v>1.18</v>
      </c>
      <c r="ES8">
        <f>Sheet1!ES16</f>
        <v>1.18</v>
      </c>
      <c r="ET8">
        <f>Sheet1!ET16</f>
        <v>1.18</v>
      </c>
      <c r="EU8">
        <f>Sheet1!EU16</f>
        <v>1.24</v>
      </c>
      <c r="EV8">
        <f>Sheet1!EV16</f>
        <v>1.24</v>
      </c>
      <c r="EW8">
        <f>Sheet1!EW16</f>
        <v>1.25</v>
      </c>
      <c r="EX8">
        <f>Sheet1!EX16</f>
        <v>1.25</v>
      </c>
      <c r="EY8">
        <f>Sheet1!EY16</f>
        <v>1.25</v>
      </c>
      <c r="EZ8">
        <f>Sheet1!EZ16</f>
        <v>1.25</v>
      </c>
      <c r="FA8">
        <f>Sheet1!FA16</f>
        <v>1.2</v>
      </c>
      <c r="FB8">
        <f>Sheet1!FB16</f>
        <v>1.1200000000000001</v>
      </c>
      <c r="FC8">
        <f>Sheet1!FC16</f>
        <v>1.1200000000000001</v>
      </c>
      <c r="FD8">
        <f>Sheet1!FD16</f>
        <v>1.05</v>
      </c>
      <c r="FE8">
        <f>Sheet1!FE16</f>
        <v>1.05</v>
      </c>
      <c r="FF8">
        <f>Sheet1!FF16</f>
        <v>1</v>
      </c>
      <c r="FG8">
        <f>Sheet1!FG16</f>
        <v>0.98</v>
      </c>
      <c r="FH8">
        <f>Sheet1!FH16</f>
        <v>0.96</v>
      </c>
      <c r="FI8">
        <f>Sheet1!FI16</f>
        <v>0.92</v>
      </c>
      <c r="FJ8">
        <f>Sheet1!FJ16</f>
        <v>0.9</v>
      </c>
      <c r="FK8">
        <f>Sheet1!FK16</f>
        <v>0.9</v>
      </c>
      <c r="FL8">
        <f>Sheet1!FL16</f>
        <v>0.9</v>
      </c>
      <c r="FM8">
        <f>Sheet1!FM16</f>
        <v>0.9</v>
      </c>
      <c r="FN8">
        <f>Sheet1!FN16</f>
        <v>0.9</v>
      </c>
      <c r="FO8">
        <f>Sheet1!FO16</f>
        <v>0.9</v>
      </c>
      <c r="FP8">
        <f>Sheet1!FP16</f>
        <v>0.9</v>
      </c>
      <c r="FQ8">
        <f>Sheet1!FQ16</f>
        <v>0.9</v>
      </c>
      <c r="FR8">
        <f>Sheet1!FR16</f>
        <v>0.9</v>
      </c>
      <c r="FS8">
        <f>Sheet1!FS16</f>
        <v>0.9</v>
      </c>
      <c r="FT8">
        <f>Sheet1!FT16</f>
        <v>0.9</v>
      </c>
      <c r="FU8">
        <f>Sheet1!FU16</f>
        <v>0.9</v>
      </c>
      <c r="FV8">
        <f>Sheet1!FV16</f>
        <v>0.9</v>
      </c>
      <c r="FW8">
        <f>Sheet1!FW16</f>
        <v>0.87</v>
      </c>
      <c r="FX8">
        <f>Sheet1!FX16</f>
        <v>0.87</v>
      </c>
      <c r="FY8">
        <f>Sheet1!FY16</f>
        <v>0.8</v>
      </c>
      <c r="FZ8">
        <f>Sheet1!FZ16</f>
        <v>0.8</v>
      </c>
      <c r="GA8">
        <f>Sheet1!GA16</f>
        <v>0.8</v>
      </c>
      <c r="GB8">
        <f>Sheet1!GB16</f>
        <v>0.9</v>
      </c>
      <c r="GC8">
        <f>Sheet1!GC16</f>
        <v>1.1200000000000001</v>
      </c>
      <c r="GD8">
        <f>Sheet1!GD16</f>
        <v>1.1000000000000001</v>
      </c>
      <c r="GE8">
        <f>Sheet1!GE16</f>
        <v>1.08</v>
      </c>
      <c r="GF8">
        <f>Sheet1!GF16</f>
        <v>1.02</v>
      </c>
    </row>
    <row r="9" spans="1:188">
      <c r="A9" t="s">
        <v>245</v>
      </c>
      <c r="CJ9">
        <f>Sheet1!CJ17</f>
        <v>1.25</v>
      </c>
      <c r="CK9">
        <f>Sheet1!CK17</f>
        <v>1.3</v>
      </c>
      <c r="CL9">
        <f>Sheet1!CL17</f>
        <v>1.3</v>
      </c>
      <c r="CM9">
        <f>Sheet1!CM17</f>
        <v>1.25</v>
      </c>
      <c r="CN9">
        <f>Sheet1!CN17</f>
        <v>1.25</v>
      </c>
      <c r="CO9">
        <f>Sheet1!CO17</f>
        <v>1.25</v>
      </c>
      <c r="CP9">
        <f>Sheet1!CP17</f>
        <v>1.2</v>
      </c>
      <c r="CQ9">
        <f>Sheet1!CQ17</f>
        <v>1.2</v>
      </c>
      <c r="CR9">
        <f>Sheet1!CR17</f>
        <v>1.2</v>
      </c>
      <c r="CS9">
        <f>Sheet1!CS17</f>
        <v>1.2</v>
      </c>
      <c r="CT9">
        <f>Sheet1!CT17</f>
        <v>1.2</v>
      </c>
      <c r="CU9">
        <f>Sheet1!CU17</f>
        <v>1.2</v>
      </c>
      <c r="CV9">
        <f>Sheet1!CV17</f>
        <v>1.1499999999999999</v>
      </c>
      <c r="CW9">
        <f>Sheet1!CW17</f>
        <v>1.2</v>
      </c>
      <c r="CX9">
        <f>Sheet1!CX17</f>
        <v>1.25</v>
      </c>
      <c r="CY9">
        <f>Sheet1!CY17</f>
        <v>1.33</v>
      </c>
      <c r="CZ9">
        <f>Sheet1!CZ17</f>
        <v>1.33</v>
      </c>
      <c r="DA9">
        <f>Sheet1!DA17</f>
        <v>1.33</v>
      </c>
      <c r="DB9">
        <f>Sheet1!DB17</f>
        <v>1.33</v>
      </c>
      <c r="DC9">
        <f>Sheet1!DC17</f>
        <v>1.33</v>
      </c>
      <c r="DD9">
        <f>Sheet1!DD17</f>
        <v>1.3</v>
      </c>
      <c r="DE9">
        <f>Sheet1!DE17</f>
        <v>1.3</v>
      </c>
      <c r="DF9">
        <f>Sheet1!DF17</f>
        <v>1.35</v>
      </c>
      <c r="DG9">
        <f>Sheet1!DG17</f>
        <v>1.4</v>
      </c>
      <c r="DH9">
        <f>Sheet1!DH17</f>
        <v>1.4</v>
      </c>
      <c r="DI9">
        <f>Sheet1!DI17</f>
        <v>1.45</v>
      </c>
      <c r="DJ9">
        <f>Sheet1!DJ17</f>
        <v>1.55</v>
      </c>
      <c r="DK9">
        <f>Sheet1!DK17</f>
        <v>1.53</v>
      </c>
      <c r="DL9">
        <f>Sheet1!DL17</f>
        <v>1.5</v>
      </c>
      <c r="DM9">
        <f>Sheet1!DM17</f>
        <v>1.3</v>
      </c>
      <c r="DN9">
        <f>Sheet1!DN17</f>
        <v>1.3</v>
      </c>
      <c r="DO9">
        <f>Sheet1!DO17</f>
        <v>1.1499999999999999</v>
      </c>
      <c r="DP9">
        <f>Sheet1!DP17</f>
        <v>1.1000000000000001</v>
      </c>
      <c r="DQ9">
        <f>Sheet1!DQ17</f>
        <v>1.0900000000000001</v>
      </c>
      <c r="DR9">
        <f>Sheet1!DR17</f>
        <v>1.08</v>
      </c>
      <c r="DS9">
        <f>Sheet1!DS17</f>
        <v>1.08</v>
      </c>
      <c r="DT9">
        <f>Sheet1!DT17</f>
        <v>1.08</v>
      </c>
      <c r="DU9">
        <f>Sheet1!DU17</f>
        <v>1.03</v>
      </c>
      <c r="DV9">
        <f>Sheet1!DV17</f>
        <v>1.0249999999999999</v>
      </c>
      <c r="DW9">
        <f>Sheet1!DW17</f>
        <v>1.0249999999999999</v>
      </c>
      <c r="DX9">
        <f>Sheet1!DX17</f>
        <v>1.1000000000000001</v>
      </c>
      <c r="DY9">
        <f>Sheet1!DY17</f>
        <v>1.2</v>
      </c>
      <c r="DZ9">
        <f>Sheet1!DZ17</f>
        <v>1.25</v>
      </c>
      <c r="EA9">
        <f>Sheet1!EA17</f>
        <v>1.35</v>
      </c>
      <c r="EB9">
        <f>Sheet1!EB17</f>
        <v>1.35</v>
      </c>
      <c r="EC9">
        <f>Sheet1!EC17</f>
        <v>1.35</v>
      </c>
      <c r="ED9">
        <f>Sheet1!ED17</f>
        <v>1.35</v>
      </c>
      <c r="EE9">
        <f>Sheet1!EE17</f>
        <v>1.4</v>
      </c>
      <c r="EF9">
        <f>Sheet1!EF17</f>
        <v>1.4</v>
      </c>
      <c r="EG9">
        <f>Sheet1!EG17</f>
        <v>1.4</v>
      </c>
      <c r="EH9">
        <f>Sheet1!EH17</f>
        <v>1.4</v>
      </c>
      <c r="EI9">
        <f>Sheet1!EI17</f>
        <v>1.4</v>
      </c>
      <c r="EJ9">
        <f>Sheet1!EJ17</f>
        <v>1.4</v>
      </c>
      <c r="EK9">
        <f>Sheet1!EK17</f>
        <v>1.4</v>
      </c>
      <c r="EL9">
        <f>Sheet1!EL17</f>
        <v>1.4</v>
      </c>
      <c r="EM9">
        <f>Sheet1!EM17</f>
        <v>1.4</v>
      </c>
      <c r="EN9">
        <f>Sheet1!EN17</f>
        <v>1.33</v>
      </c>
      <c r="EO9">
        <f>Sheet1!EO17</f>
        <v>1.3</v>
      </c>
      <c r="EP9">
        <f>Sheet1!EP17</f>
        <v>1.3</v>
      </c>
      <c r="EQ9">
        <f>Sheet1!EQ17</f>
        <v>1.25</v>
      </c>
      <c r="ER9">
        <f>Sheet1!ER17</f>
        <v>1.23</v>
      </c>
      <c r="ES9">
        <f>Sheet1!ES17</f>
        <v>1.2</v>
      </c>
      <c r="ET9">
        <f>Sheet1!ET17</f>
        <v>1.2</v>
      </c>
      <c r="EU9">
        <f>Sheet1!EU17</f>
        <v>1.3</v>
      </c>
      <c r="EV9">
        <f>Sheet1!EV17</f>
        <v>1.3</v>
      </c>
      <c r="EW9">
        <f>Sheet1!EW17</f>
        <v>1.35</v>
      </c>
      <c r="EX9">
        <f>Sheet1!EX17</f>
        <v>1.35</v>
      </c>
      <c r="EY9">
        <f>Sheet1!EY17</f>
        <v>1.35</v>
      </c>
      <c r="EZ9">
        <f>Sheet1!EZ17</f>
        <v>1.3</v>
      </c>
      <c r="FA9">
        <f>Sheet1!FA17</f>
        <v>1.28</v>
      </c>
      <c r="FB9">
        <f>Sheet1!FB17</f>
        <v>1.2</v>
      </c>
      <c r="FC9">
        <f>Sheet1!FC17</f>
        <v>1.2</v>
      </c>
      <c r="FD9">
        <f>Sheet1!FD17</f>
        <v>1.17</v>
      </c>
      <c r="FE9">
        <f>Sheet1!FE17</f>
        <v>1.1499999999999999</v>
      </c>
      <c r="FF9">
        <f>Sheet1!FF17</f>
        <v>1.1000000000000001</v>
      </c>
      <c r="FG9">
        <f>Sheet1!FG17</f>
        <v>1.1000000000000001</v>
      </c>
      <c r="FH9">
        <f>Sheet1!FH17</f>
        <v>1.05</v>
      </c>
      <c r="FI9">
        <f>Sheet1!FI17</f>
        <v>1.02</v>
      </c>
      <c r="FJ9">
        <f>Sheet1!FJ17</f>
        <v>0.99</v>
      </c>
      <c r="FK9">
        <f>Sheet1!FK17</f>
        <v>0.99</v>
      </c>
      <c r="FL9">
        <f>Sheet1!FL17</f>
        <v>0.99</v>
      </c>
      <c r="FM9">
        <f>Sheet1!FM17</f>
        <v>0.99</v>
      </c>
      <c r="FN9">
        <f>Sheet1!FN17</f>
        <v>0.99</v>
      </c>
      <c r="FO9">
        <f>Sheet1!FO17</f>
        <v>0.99</v>
      </c>
      <c r="FP9">
        <f>Sheet1!FP17</f>
        <v>0.99</v>
      </c>
      <c r="FQ9">
        <f>Sheet1!FQ17</f>
        <v>0.99</v>
      </c>
      <c r="FR9">
        <f>Sheet1!FR17</f>
        <v>0.98</v>
      </c>
      <c r="FS9">
        <f>Sheet1!FS17</f>
        <v>0.98</v>
      </c>
      <c r="FT9">
        <f>Sheet1!FT17</f>
        <v>0.98</v>
      </c>
      <c r="FU9">
        <f>Sheet1!FU17</f>
        <v>0.98</v>
      </c>
      <c r="FV9">
        <f>Sheet1!FV17</f>
        <v>0.98</v>
      </c>
      <c r="FW9">
        <f>Sheet1!FW17</f>
        <v>0.95</v>
      </c>
      <c r="FX9">
        <f>Sheet1!FX17</f>
        <v>0.95</v>
      </c>
      <c r="FY9">
        <f>Sheet1!FY17</f>
        <v>0.9</v>
      </c>
      <c r="FZ9">
        <f>Sheet1!FZ17</f>
        <v>0.9</v>
      </c>
      <c r="GA9">
        <f>Sheet1!GA17</f>
        <v>0.9</v>
      </c>
      <c r="GB9">
        <f>Sheet1!GB17</f>
        <v>1</v>
      </c>
      <c r="GC9">
        <f>Sheet1!GC17</f>
        <v>1.1499999999999999</v>
      </c>
      <c r="GD9">
        <f>Sheet1!GD17</f>
        <v>1.1000000000000001</v>
      </c>
      <c r="GE9">
        <f>Sheet1!GE17</f>
        <v>1.08</v>
      </c>
      <c r="GF9">
        <f>Sheet1!GF17</f>
        <v>1.05</v>
      </c>
    </row>
  </sheetData>
  <mergeCells count="3">
    <mergeCell ref="B2:AZ2"/>
    <mergeCell ref="BA2:CW2"/>
    <mergeCell ref="CX2:EV2"/>
  </mergeCells>
  <pageMargins left="0.7" right="0.7" top="0.75" bottom="0.75" header="0.3" footer="0.3"/>
  <pageSetup paperSize="9" orientation="portrait"/>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2:GF8"/>
  <sheetViews>
    <sheetView topLeftCell="EG7" zoomScale="70" zoomScaleNormal="70" workbookViewId="0">
      <selection activeCell="GF13" sqref="GF13"/>
    </sheetView>
  </sheetViews>
  <sheetFormatPr defaultColWidth="11" defaultRowHeight="15.75"/>
  <cols>
    <col min="1" max="1" width="26.375" customWidth="1"/>
    <col min="2" max="101" width="11" hidden="1" customWidth="1"/>
  </cols>
  <sheetData>
    <row r="2" spans="1:188">
      <c r="B2" s="99">
        <v>2023</v>
      </c>
      <c r="C2" s="99"/>
      <c r="D2" s="99"/>
      <c r="E2" s="99"/>
      <c r="F2" s="99"/>
      <c r="G2" s="99"/>
      <c r="H2" s="99"/>
      <c r="I2" s="99"/>
      <c r="J2" s="99"/>
      <c r="K2" s="99"/>
      <c r="L2" s="99"/>
      <c r="M2" s="99"/>
      <c r="N2" s="99"/>
      <c r="O2" s="99"/>
      <c r="P2" s="99"/>
      <c r="Q2" s="99"/>
      <c r="R2" s="99"/>
      <c r="S2" s="99"/>
      <c r="T2" s="99"/>
      <c r="U2" s="99"/>
      <c r="V2" s="99"/>
      <c r="W2" s="99"/>
      <c r="X2" s="99"/>
      <c r="Y2" s="99"/>
      <c r="Z2" s="99"/>
      <c r="AA2" s="99"/>
      <c r="AB2" s="99"/>
      <c r="AC2" s="99"/>
      <c r="AD2" s="99"/>
      <c r="AE2" s="99"/>
      <c r="AF2" s="99"/>
      <c r="AG2" s="99"/>
      <c r="AH2" s="99"/>
      <c r="AI2" s="99"/>
      <c r="AJ2" s="99"/>
      <c r="AK2" s="99"/>
      <c r="AL2" s="99"/>
      <c r="AM2" s="99"/>
      <c r="AN2" s="99"/>
      <c r="AO2" s="99"/>
      <c r="AP2" s="99"/>
      <c r="AQ2" s="99"/>
      <c r="AR2" s="99"/>
      <c r="AS2" s="99"/>
      <c r="AT2" s="99"/>
      <c r="AU2" s="99"/>
      <c r="AV2" s="99"/>
      <c r="AW2" s="99"/>
      <c r="AX2" s="99"/>
      <c r="AY2" s="99"/>
      <c r="AZ2" s="99"/>
      <c r="BA2" s="99">
        <v>2024</v>
      </c>
      <c r="BB2" s="99"/>
      <c r="BC2" s="99"/>
      <c r="BD2" s="99"/>
      <c r="BE2" s="99"/>
      <c r="BF2" s="99"/>
      <c r="BG2" s="99"/>
      <c r="BH2" s="99"/>
      <c r="BI2" s="99"/>
      <c r="BJ2" s="99"/>
      <c r="BK2" s="99"/>
      <c r="BL2" s="99"/>
      <c r="BM2" s="99"/>
      <c r="BN2" s="99"/>
      <c r="BO2" s="99"/>
      <c r="BP2" s="99"/>
      <c r="BQ2" s="99"/>
      <c r="BR2" s="99"/>
      <c r="BS2" s="99"/>
      <c r="BT2" s="99"/>
      <c r="BU2" s="99"/>
      <c r="BV2" s="99"/>
      <c r="BW2" s="99"/>
      <c r="BX2" s="99"/>
      <c r="BY2" s="99"/>
      <c r="BZ2" s="99"/>
      <c r="CA2" s="99"/>
      <c r="CB2" s="99"/>
      <c r="CC2" s="99"/>
      <c r="CD2" s="99"/>
      <c r="CE2" s="99"/>
      <c r="CF2" s="99"/>
      <c r="CG2" s="99"/>
      <c r="CH2" s="99"/>
      <c r="CI2" s="99"/>
      <c r="CJ2" s="99"/>
      <c r="CK2" s="99"/>
      <c r="CL2" s="99"/>
      <c r="CM2" s="99"/>
      <c r="CN2" s="99"/>
      <c r="CO2" s="99"/>
      <c r="CP2" s="99"/>
      <c r="CQ2" s="99"/>
      <c r="CR2" s="99"/>
      <c r="CS2" s="99"/>
      <c r="CT2" s="99"/>
      <c r="CU2" s="99"/>
      <c r="CV2" s="99"/>
      <c r="CW2" s="99"/>
      <c r="CX2" s="99">
        <v>2025</v>
      </c>
      <c r="CY2" s="99"/>
      <c r="CZ2" s="99"/>
      <c r="DA2" s="99"/>
      <c r="DB2" s="99"/>
      <c r="DC2" s="99"/>
      <c r="DD2" s="99"/>
      <c r="DE2" s="99"/>
      <c r="DF2" s="99"/>
      <c r="DG2" s="99"/>
      <c r="DH2" s="99"/>
      <c r="DI2" s="99"/>
      <c r="DJ2" s="99"/>
      <c r="DK2" s="99"/>
      <c r="DL2" s="99"/>
      <c r="DM2" s="99"/>
      <c r="DN2" s="99"/>
      <c r="DO2" s="99"/>
      <c r="DP2" s="99"/>
      <c r="DQ2" s="99"/>
      <c r="DR2" s="99"/>
      <c r="DS2" s="99"/>
      <c r="DT2" s="99"/>
      <c r="DU2" s="99"/>
      <c r="DV2" s="99"/>
      <c r="DW2" s="99"/>
      <c r="DX2" s="99"/>
      <c r="DY2" s="99"/>
      <c r="DZ2" s="99"/>
      <c r="EA2" s="99"/>
      <c r="EB2" s="99"/>
      <c r="EC2" s="99"/>
      <c r="ED2" s="99"/>
      <c r="EE2" s="99"/>
      <c r="EF2" s="99"/>
      <c r="EG2" s="99"/>
      <c r="EH2" s="99"/>
      <c r="EI2" s="99"/>
      <c r="EJ2" s="99"/>
      <c r="EK2" s="99"/>
      <c r="EL2" s="99"/>
      <c r="EM2" s="99"/>
      <c r="EN2" s="99"/>
      <c r="EO2" s="99"/>
      <c r="EP2" s="99"/>
      <c r="EQ2" s="99"/>
      <c r="ER2" s="99"/>
      <c r="ES2" s="99"/>
      <c r="ET2" s="99"/>
      <c r="EU2" s="99"/>
      <c r="EV2" s="99"/>
      <c r="EW2">
        <v>2026</v>
      </c>
    </row>
    <row r="3" spans="1:188">
      <c r="B3" s="1">
        <v>1</v>
      </c>
      <c r="C3" s="1">
        <v>2</v>
      </c>
      <c r="D3" s="1">
        <v>3</v>
      </c>
      <c r="E3" s="1">
        <v>5</v>
      </c>
      <c r="F3" s="1">
        <v>6</v>
      </c>
      <c r="G3" s="1">
        <v>7</v>
      </c>
      <c r="H3" s="1">
        <v>8</v>
      </c>
      <c r="I3" s="1">
        <v>9</v>
      </c>
      <c r="J3" s="1">
        <v>10</v>
      </c>
      <c r="K3" s="1">
        <v>11</v>
      </c>
      <c r="L3" s="1">
        <v>12</v>
      </c>
      <c r="M3" s="1">
        <v>13</v>
      </c>
      <c r="N3" s="1">
        <v>14</v>
      </c>
      <c r="O3" s="1">
        <v>15</v>
      </c>
      <c r="P3" s="1">
        <v>16</v>
      </c>
      <c r="Q3" s="1">
        <v>17</v>
      </c>
      <c r="R3" s="1">
        <v>18</v>
      </c>
      <c r="S3" s="1">
        <v>19</v>
      </c>
      <c r="T3" s="1">
        <v>20</v>
      </c>
      <c r="U3" s="1">
        <v>21</v>
      </c>
      <c r="V3" s="1">
        <v>22</v>
      </c>
      <c r="W3" s="1">
        <v>23</v>
      </c>
      <c r="X3" s="1">
        <v>24</v>
      </c>
      <c r="Y3" s="1">
        <v>25</v>
      </c>
      <c r="Z3" s="1">
        <v>26</v>
      </c>
      <c r="AA3" s="1">
        <v>27</v>
      </c>
      <c r="AB3" s="1">
        <v>28</v>
      </c>
      <c r="AC3" s="1">
        <v>29</v>
      </c>
      <c r="AD3" s="1">
        <v>30</v>
      </c>
      <c r="AE3" s="1">
        <v>31</v>
      </c>
      <c r="AF3" s="1">
        <v>32</v>
      </c>
      <c r="AG3" s="1">
        <v>33</v>
      </c>
      <c r="AH3" s="1">
        <v>34</v>
      </c>
      <c r="AI3" s="1">
        <v>35</v>
      </c>
      <c r="AJ3" s="1">
        <v>36</v>
      </c>
      <c r="AK3" s="1">
        <v>37</v>
      </c>
      <c r="AL3" s="1">
        <v>38</v>
      </c>
      <c r="AM3" s="1">
        <v>39</v>
      </c>
      <c r="AN3" s="1">
        <v>40</v>
      </c>
      <c r="AO3" s="1">
        <v>41</v>
      </c>
      <c r="AP3" s="1">
        <v>42</v>
      </c>
      <c r="AQ3" s="1">
        <v>43</v>
      </c>
      <c r="AR3" s="1">
        <v>44</v>
      </c>
      <c r="AS3" s="1">
        <v>45</v>
      </c>
      <c r="AT3" s="1">
        <v>46</v>
      </c>
      <c r="AU3" s="1">
        <v>47</v>
      </c>
      <c r="AV3" s="1">
        <v>48</v>
      </c>
      <c r="AW3" s="1">
        <v>49</v>
      </c>
      <c r="AX3" s="1">
        <v>50</v>
      </c>
      <c r="AY3" s="1">
        <v>51</v>
      </c>
      <c r="AZ3" s="1">
        <v>52</v>
      </c>
      <c r="BA3" s="1">
        <v>1</v>
      </c>
      <c r="BB3">
        <v>2</v>
      </c>
      <c r="BC3">
        <v>3</v>
      </c>
      <c r="BD3">
        <v>4</v>
      </c>
      <c r="BE3">
        <v>5</v>
      </c>
      <c r="BF3">
        <v>6</v>
      </c>
      <c r="BG3">
        <v>8</v>
      </c>
      <c r="BH3">
        <v>9</v>
      </c>
      <c r="BI3">
        <v>10</v>
      </c>
      <c r="BJ3">
        <v>11</v>
      </c>
      <c r="BK3">
        <v>12</v>
      </c>
      <c r="BL3">
        <v>13</v>
      </c>
      <c r="BM3">
        <v>14</v>
      </c>
      <c r="BN3">
        <v>15</v>
      </c>
      <c r="BO3">
        <v>16</v>
      </c>
      <c r="BP3">
        <v>17</v>
      </c>
      <c r="BQ3">
        <v>19</v>
      </c>
      <c r="BR3">
        <v>20</v>
      </c>
      <c r="BS3">
        <v>21</v>
      </c>
      <c r="BT3">
        <v>22</v>
      </c>
      <c r="BU3">
        <v>23</v>
      </c>
      <c r="BV3">
        <v>24</v>
      </c>
      <c r="BW3">
        <v>25</v>
      </c>
      <c r="BX3">
        <v>26</v>
      </c>
      <c r="BY3">
        <v>27</v>
      </c>
      <c r="BZ3">
        <v>28</v>
      </c>
      <c r="CA3">
        <v>29</v>
      </c>
      <c r="CB3">
        <v>30</v>
      </c>
      <c r="CC3">
        <v>31</v>
      </c>
      <c r="CD3">
        <v>32</v>
      </c>
      <c r="CE3">
        <v>33</v>
      </c>
      <c r="CF3">
        <v>34</v>
      </c>
      <c r="CG3">
        <v>35</v>
      </c>
      <c r="CH3">
        <v>36</v>
      </c>
      <c r="CI3">
        <v>37</v>
      </c>
      <c r="CJ3">
        <v>38</v>
      </c>
      <c r="CK3">
        <v>39</v>
      </c>
      <c r="CL3">
        <v>41</v>
      </c>
      <c r="CM3">
        <v>42</v>
      </c>
      <c r="CN3">
        <v>43</v>
      </c>
      <c r="CO3">
        <v>44</v>
      </c>
      <c r="CP3">
        <v>45</v>
      </c>
      <c r="CQ3">
        <v>46</v>
      </c>
      <c r="CR3">
        <v>47</v>
      </c>
      <c r="CS3">
        <v>48</v>
      </c>
      <c r="CT3">
        <v>49</v>
      </c>
      <c r="CU3">
        <v>50</v>
      </c>
      <c r="CV3">
        <v>51</v>
      </c>
      <c r="CW3">
        <v>52</v>
      </c>
      <c r="CX3">
        <v>1</v>
      </c>
      <c r="CY3">
        <v>2</v>
      </c>
      <c r="CZ3">
        <v>3</v>
      </c>
      <c r="DA3">
        <v>4</v>
      </c>
      <c r="DB3">
        <v>6</v>
      </c>
      <c r="DC3">
        <v>7</v>
      </c>
      <c r="DD3">
        <v>8</v>
      </c>
      <c r="DE3">
        <v>9</v>
      </c>
      <c r="DF3">
        <v>10</v>
      </c>
      <c r="DG3">
        <v>11</v>
      </c>
      <c r="DH3">
        <v>12</v>
      </c>
      <c r="DI3">
        <v>13</v>
      </c>
      <c r="DJ3">
        <v>14</v>
      </c>
      <c r="DK3">
        <v>15</v>
      </c>
      <c r="DL3">
        <v>16</v>
      </c>
      <c r="DM3">
        <v>17</v>
      </c>
      <c r="DN3">
        <v>18</v>
      </c>
      <c r="DO3">
        <v>19</v>
      </c>
      <c r="DP3">
        <v>20</v>
      </c>
      <c r="DQ3">
        <v>21</v>
      </c>
      <c r="DR3">
        <v>22</v>
      </c>
      <c r="DS3">
        <v>23</v>
      </c>
      <c r="DT3">
        <v>24</v>
      </c>
      <c r="DU3">
        <v>25</v>
      </c>
      <c r="DV3">
        <v>26</v>
      </c>
      <c r="DW3">
        <v>27</v>
      </c>
      <c r="DX3">
        <v>28</v>
      </c>
      <c r="DY3">
        <v>29</v>
      </c>
      <c r="DZ3">
        <v>30</v>
      </c>
      <c r="EA3">
        <v>31</v>
      </c>
      <c r="EB3">
        <v>32</v>
      </c>
      <c r="EC3">
        <v>33</v>
      </c>
      <c r="ED3">
        <v>34</v>
      </c>
      <c r="EE3">
        <v>35</v>
      </c>
      <c r="EF3">
        <v>36</v>
      </c>
      <c r="EG3">
        <v>37</v>
      </c>
      <c r="EH3">
        <v>38</v>
      </c>
      <c r="EI3">
        <v>39</v>
      </c>
      <c r="EJ3">
        <v>41</v>
      </c>
      <c r="EK3">
        <v>42</v>
      </c>
      <c r="EL3">
        <v>43</v>
      </c>
      <c r="EM3">
        <v>44</v>
      </c>
      <c r="EN3">
        <v>45</v>
      </c>
      <c r="EO3">
        <v>46</v>
      </c>
      <c r="EP3">
        <v>47</v>
      </c>
      <c r="EQ3">
        <v>48</v>
      </c>
      <c r="ER3">
        <v>49</v>
      </c>
      <c r="ES3">
        <v>50</v>
      </c>
      <c r="ET3">
        <v>51</v>
      </c>
      <c r="EU3">
        <v>52</v>
      </c>
      <c r="EV3" t="s">
        <v>192</v>
      </c>
      <c r="EW3">
        <v>1</v>
      </c>
      <c r="EX3">
        <v>2</v>
      </c>
      <c r="EY3">
        <v>3</v>
      </c>
      <c r="EZ3">
        <v>4</v>
      </c>
      <c r="FA3">
        <v>5</v>
      </c>
      <c r="FB3">
        <v>6</v>
      </c>
      <c r="FC3">
        <v>8</v>
      </c>
      <c r="FD3">
        <v>9</v>
      </c>
      <c r="FE3">
        <v>10</v>
      </c>
      <c r="FF3">
        <v>11</v>
      </c>
      <c r="FG3">
        <v>12</v>
      </c>
      <c r="FH3">
        <v>13</v>
      </c>
      <c r="FI3">
        <v>14</v>
      </c>
      <c r="FJ3">
        <v>15</v>
      </c>
      <c r="FK3">
        <v>16</v>
      </c>
      <c r="FL3">
        <v>17</v>
      </c>
      <c r="FM3">
        <v>18</v>
      </c>
      <c r="FN3">
        <v>19</v>
      </c>
      <c r="FO3">
        <v>20</v>
      </c>
      <c r="FP3">
        <v>21</v>
      </c>
      <c r="FQ3">
        <v>22</v>
      </c>
      <c r="FR3">
        <v>23</v>
      </c>
      <c r="FS3">
        <v>24</v>
      </c>
      <c r="FT3">
        <v>25</v>
      </c>
      <c r="FU3">
        <v>26</v>
      </c>
      <c r="FV3">
        <v>27</v>
      </c>
      <c r="FW3">
        <v>28</v>
      </c>
      <c r="FX3">
        <v>29</v>
      </c>
      <c r="FY3">
        <v>30</v>
      </c>
      <c r="FZ3">
        <v>31</v>
      </c>
      <c r="GA3">
        <v>32</v>
      </c>
      <c r="GB3">
        <v>33</v>
      </c>
      <c r="GC3">
        <v>34</v>
      </c>
      <c r="GD3">
        <v>35</v>
      </c>
      <c r="GE3">
        <v>36</v>
      </c>
      <c r="GF3">
        <v>37</v>
      </c>
    </row>
    <row r="4" spans="1:188">
      <c r="A4" t="s">
        <v>246</v>
      </c>
      <c r="B4">
        <v>0.8</v>
      </c>
      <c r="C4">
        <v>0.83</v>
      </c>
      <c r="D4">
        <v>0.92</v>
      </c>
      <c r="E4">
        <v>0.97</v>
      </c>
      <c r="F4">
        <v>1.1399999999999999</v>
      </c>
      <c r="G4">
        <v>1.1399999999999999</v>
      </c>
      <c r="H4">
        <v>1.1299999999999999</v>
      </c>
      <c r="I4">
        <v>1.0900000000000001</v>
      </c>
      <c r="J4">
        <v>1.0900000000000001</v>
      </c>
      <c r="K4">
        <v>1.1000000000000001</v>
      </c>
      <c r="L4">
        <v>1.0900000000000001</v>
      </c>
      <c r="M4">
        <v>1.1000000000000001</v>
      </c>
      <c r="N4">
        <v>1.1000000000000001</v>
      </c>
      <c r="O4">
        <v>1.1000000000000001</v>
      </c>
      <c r="P4">
        <v>1.1000000000000001</v>
      </c>
      <c r="Q4">
        <v>1.1000000000000001</v>
      </c>
      <c r="R4">
        <v>1.0900000000000001</v>
      </c>
      <c r="S4">
        <v>1.04</v>
      </c>
      <c r="T4">
        <v>1</v>
      </c>
      <c r="U4">
        <v>0.96</v>
      </c>
      <c r="V4">
        <v>0.88</v>
      </c>
      <c r="W4">
        <v>0.86</v>
      </c>
      <c r="X4">
        <v>0.79</v>
      </c>
      <c r="Y4">
        <v>0.72</v>
      </c>
      <c r="Z4">
        <v>0.71</v>
      </c>
      <c r="AA4">
        <v>0.71499999999999997</v>
      </c>
      <c r="AB4">
        <v>0.73</v>
      </c>
      <c r="AC4">
        <v>0.73499999999999999</v>
      </c>
      <c r="AD4">
        <v>0.745</v>
      </c>
      <c r="AE4">
        <v>0.75</v>
      </c>
      <c r="AF4">
        <v>0.755</v>
      </c>
      <c r="AG4">
        <v>0.76</v>
      </c>
      <c r="AH4">
        <v>0.76</v>
      </c>
      <c r="AI4">
        <v>0.76</v>
      </c>
      <c r="AJ4">
        <v>0.76</v>
      </c>
      <c r="AK4">
        <v>0.75</v>
      </c>
      <c r="AL4">
        <v>0.71</v>
      </c>
      <c r="AM4">
        <v>0.65</v>
      </c>
      <c r="AN4">
        <v>0.65</v>
      </c>
      <c r="AO4">
        <v>0.61</v>
      </c>
      <c r="AP4">
        <v>0.55000000000000004</v>
      </c>
      <c r="AQ4">
        <v>0.51</v>
      </c>
      <c r="AR4">
        <v>0.48</v>
      </c>
      <c r="AS4">
        <v>0.46</v>
      </c>
      <c r="AT4">
        <v>0.46</v>
      </c>
      <c r="AU4">
        <v>0.46</v>
      </c>
      <c r="AV4">
        <v>0.45</v>
      </c>
      <c r="AW4">
        <v>0.43</v>
      </c>
      <c r="AX4">
        <v>0.42499999999999999</v>
      </c>
      <c r="AY4">
        <v>0.39</v>
      </c>
      <c r="AZ4">
        <f>Sheet1!AY19</f>
        <v>0.36</v>
      </c>
      <c r="BA4">
        <f>Sheet1!AZ19</f>
        <v>0.36</v>
      </c>
      <c r="BB4">
        <f>Sheet1!BA19</f>
        <v>0.39</v>
      </c>
      <c r="BC4">
        <f>Sheet1!BB19</f>
        <v>0.39</v>
      </c>
      <c r="BD4">
        <f>Sheet1!BC19</f>
        <v>0.39</v>
      </c>
      <c r="BE4">
        <f>Sheet1!BD19</f>
        <v>0.39</v>
      </c>
      <c r="BF4">
        <f>Sheet1!BE19</f>
        <v>0.39</v>
      </c>
      <c r="BG4">
        <f>Sheet1!BF19</f>
        <v>0.39</v>
      </c>
      <c r="BH4">
        <f>Sheet1!BG19</f>
        <v>0.39</v>
      </c>
      <c r="BI4">
        <f>Sheet1!BH19</f>
        <v>0.38</v>
      </c>
      <c r="BJ4">
        <f>Sheet1!BI19</f>
        <v>0.38</v>
      </c>
      <c r="BK4">
        <f>Sheet1!BJ19</f>
        <v>0.38</v>
      </c>
      <c r="BL4">
        <f>Sheet1!BK19</f>
        <v>0.375</v>
      </c>
      <c r="BM4">
        <f>Sheet1!BL19</f>
        <v>0.375</v>
      </c>
      <c r="BN4">
        <f>Sheet1!BM19</f>
        <v>0.35</v>
      </c>
      <c r="BO4">
        <f>Sheet1!BN19</f>
        <v>0.35</v>
      </c>
      <c r="BP4">
        <f>Sheet1!BO19</f>
        <v>0.34</v>
      </c>
      <c r="BQ4">
        <f>Sheet1!BP19</f>
        <v>0.34</v>
      </c>
      <c r="BR4">
        <f>Sheet1!BQ19</f>
        <v>0.34</v>
      </c>
      <c r="BS4">
        <f>Sheet1!BR19</f>
        <v>0.31</v>
      </c>
      <c r="BT4">
        <f>Sheet1!BS19</f>
        <v>0.31</v>
      </c>
      <c r="BU4">
        <f>Sheet1!BT19</f>
        <v>0.31</v>
      </c>
      <c r="BV4">
        <f>Sheet1!BU19</f>
        <v>0.31</v>
      </c>
      <c r="BW4">
        <f>Sheet1!BV19</f>
        <v>0.31</v>
      </c>
      <c r="BX4">
        <f>Sheet1!BW19</f>
        <v>0.31</v>
      </c>
      <c r="BY4">
        <f>Sheet1!BX19</f>
        <v>0.31</v>
      </c>
      <c r="BZ4">
        <f>Sheet1!BY19</f>
        <v>0.31</v>
      </c>
      <c r="CA4">
        <f>Sheet1!BZ19</f>
        <v>0.31</v>
      </c>
      <c r="CB4">
        <f>Sheet1!CA19</f>
        <v>0.31</v>
      </c>
      <c r="CC4">
        <f>Sheet1!CB19</f>
        <v>0.31</v>
      </c>
      <c r="CD4">
        <f>Sheet1!CC19</f>
        <v>0.31</v>
      </c>
      <c r="CE4">
        <f>Sheet1!CD19</f>
        <v>0.31</v>
      </c>
      <c r="CF4">
        <f>Sheet1!CE19</f>
        <v>0.31</v>
      </c>
      <c r="CG4">
        <f>Sheet1!CF19</f>
        <v>0.31</v>
      </c>
      <c r="CH4">
        <f>Sheet1!CG19</f>
        <v>0.31</v>
      </c>
      <c r="CI4">
        <f>Sheet1!CH19</f>
        <v>0.31</v>
      </c>
      <c r="CJ4">
        <f>Sheet1!CJ19</f>
        <v>0.3</v>
      </c>
      <c r="CK4">
        <f>Sheet1!CK19</f>
        <v>0.28000000000000003</v>
      </c>
      <c r="CL4">
        <f>Sheet1!CL19</f>
        <v>0.28000000000000003</v>
      </c>
      <c r="CM4">
        <f>Sheet1!CM19</f>
        <v>0.28000000000000003</v>
      </c>
      <c r="CN4">
        <f>Sheet1!CN19</f>
        <v>0.28000000000000003</v>
      </c>
      <c r="CO4">
        <f>Sheet1!CO19</f>
        <v>0.28000000000000003</v>
      </c>
      <c r="CP4">
        <f>Sheet1!CP19</f>
        <v>0.28000000000000003</v>
      </c>
      <c r="CQ4">
        <f>Sheet1!CQ19</f>
        <v>0.27500000000000002</v>
      </c>
      <c r="CR4">
        <f>Sheet1!CR19</f>
        <v>0.27500000000000002</v>
      </c>
      <c r="CS4">
        <f>Sheet1!CS19</f>
        <v>0.27500000000000002</v>
      </c>
      <c r="CT4">
        <f>Sheet1!CT19</f>
        <v>0.27500000000000002</v>
      </c>
      <c r="CU4">
        <f>Sheet1!CU19</f>
        <v>0.27500000000000002</v>
      </c>
      <c r="CV4">
        <f>Sheet1!CV19</f>
        <v>0.27500000000000002</v>
      </c>
      <c r="CW4">
        <f>Sheet1!CW19</f>
        <v>0.27500000000000002</v>
      </c>
      <c r="CX4">
        <f>Sheet1!CX19</f>
        <v>0.27500000000000002</v>
      </c>
      <c r="CY4">
        <f>Sheet1!CY19</f>
        <v>0.27500000000000002</v>
      </c>
      <c r="CZ4">
        <f>Sheet1!CZ19</f>
        <v>0.27500000000000002</v>
      </c>
      <c r="DA4">
        <f>Sheet1!DA19</f>
        <v>0.27500000000000002</v>
      </c>
      <c r="DB4">
        <f>Sheet1!DB19</f>
        <v>0.27500000000000002</v>
      </c>
      <c r="DC4">
        <f>Sheet1!DC19</f>
        <v>0.27500000000000002</v>
      </c>
      <c r="DD4">
        <f>Sheet1!DD19</f>
        <v>0.27500000000000002</v>
      </c>
      <c r="DE4">
        <f>Sheet1!DE19</f>
        <v>0.27500000000000002</v>
      </c>
      <c r="DF4">
        <f>Sheet1!DF19</f>
        <v>0.27500000000000002</v>
      </c>
      <c r="DG4">
        <f>Sheet1!DG19</f>
        <v>0.27500000000000002</v>
      </c>
      <c r="DH4">
        <f>Sheet1!DH19</f>
        <v>0.27500000000000002</v>
      </c>
      <c r="DI4">
        <f>Sheet1!DI19</f>
        <v>0.27500000000000002</v>
      </c>
      <c r="DJ4">
        <f>Sheet1!DJ19</f>
        <v>0.27500000000000002</v>
      </c>
      <c r="DK4">
        <f>Sheet1!DK19</f>
        <v>0.27500000000000002</v>
      </c>
      <c r="DL4">
        <f>Sheet1!DL19</f>
        <v>0.27500000000000002</v>
      </c>
      <c r="DM4">
        <f>Sheet1!DM19</f>
        <v>0.27500000000000002</v>
      </c>
      <c r="DN4">
        <f>Sheet1!DN19</f>
        <v>0.27500000000000002</v>
      </c>
      <c r="DO4">
        <f>Sheet1!DO19</f>
        <v>0.27500000000000002</v>
      </c>
      <c r="DP4">
        <f>Sheet1!DP19</f>
        <v>0.27</v>
      </c>
      <c r="DQ4">
        <f>Sheet1!DQ19</f>
        <v>0.27</v>
      </c>
      <c r="DR4">
        <f>Sheet1!DR19</f>
        <v>0.27</v>
      </c>
      <c r="DS4">
        <f>Sheet1!DS19</f>
        <v>0.27</v>
      </c>
      <c r="DT4">
        <f>Sheet1!DT19</f>
        <v>0.27</v>
      </c>
      <c r="DU4">
        <f>Sheet1!DU19</f>
        <v>0.27</v>
      </c>
      <c r="DV4">
        <f>Sheet1!DV19</f>
        <v>0.27</v>
      </c>
    </row>
    <row r="5" spans="1:188">
      <c r="A5" t="s">
        <v>247</v>
      </c>
      <c r="B5">
        <v>0.8</v>
      </c>
      <c r="C5">
        <v>0.83</v>
      </c>
      <c r="D5">
        <v>0.92</v>
      </c>
      <c r="E5">
        <v>0.97</v>
      </c>
      <c r="F5">
        <v>1.1399999999999999</v>
      </c>
      <c r="G5">
        <v>1.1399999999999999</v>
      </c>
      <c r="H5">
        <v>1.1299999999999999</v>
      </c>
      <c r="I5">
        <v>1.1000000000000001</v>
      </c>
      <c r="J5">
        <v>1.1000000000000001</v>
      </c>
      <c r="K5">
        <v>1.1000000000000001</v>
      </c>
      <c r="L5">
        <v>1.1000000000000001</v>
      </c>
      <c r="M5">
        <v>1.1299999999999999</v>
      </c>
      <c r="N5">
        <v>1.1299999999999999</v>
      </c>
      <c r="O5">
        <v>1.1299999999999999</v>
      </c>
      <c r="P5">
        <v>1.1299999999999999</v>
      </c>
      <c r="Q5">
        <v>1.1299999999999999</v>
      </c>
      <c r="R5">
        <v>1.1299999999999999</v>
      </c>
      <c r="S5">
        <v>1.1000000000000001</v>
      </c>
      <c r="T5">
        <v>1.06</v>
      </c>
      <c r="U5">
        <v>1.02</v>
      </c>
      <c r="V5">
        <v>0.9</v>
      </c>
      <c r="W5">
        <v>0.9</v>
      </c>
      <c r="X5">
        <v>0.83</v>
      </c>
      <c r="Y5">
        <v>0.75</v>
      </c>
      <c r="Z5">
        <v>0.74</v>
      </c>
      <c r="AA5">
        <v>0.74</v>
      </c>
      <c r="AB5">
        <v>0.73</v>
      </c>
      <c r="AC5">
        <v>0.73</v>
      </c>
      <c r="AD5">
        <v>0.73</v>
      </c>
      <c r="AE5">
        <v>0.74</v>
      </c>
      <c r="AF5">
        <v>0.74</v>
      </c>
      <c r="AG5">
        <v>0.74</v>
      </c>
      <c r="AH5">
        <v>0.74</v>
      </c>
      <c r="AI5">
        <v>0.74</v>
      </c>
      <c r="AJ5">
        <v>0.74</v>
      </c>
      <c r="AK5">
        <v>0.74</v>
      </c>
      <c r="AL5">
        <v>0.72</v>
      </c>
      <c r="AM5">
        <v>0.68</v>
      </c>
      <c r="AN5">
        <v>0.68</v>
      </c>
      <c r="AO5">
        <v>0.62</v>
      </c>
      <c r="AP5">
        <v>0.6</v>
      </c>
      <c r="AQ5">
        <v>0.53</v>
      </c>
      <c r="AR5">
        <v>0.53</v>
      </c>
      <c r="AS5">
        <v>0.54</v>
      </c>
      <c r="AT5">
        <v>0.6</v>
      </c>
      <c r="AU5">
        <v>0.6</v>
      </c>
      <c r="AV5">
        <v>0.49</v>
      </c>
      <c r="AW5">
        <v>0.48</v>
      </c>
      <c r="AX5">
        <v>0.44</v>
      </c>
      <c r="AY5">
        <v>0.43</v>
      </c>
      <c r="AZ5">
        <f>Sheet1!AY20</f>
        <v>0.42</v>
      </c>
      <c r="BA5">
        <f>Sheet1!AZ20</f>
        <v>0.42</v>
      </c>
      <c r="BB5">
        <f>Sheet1!BA20</f>
        <v>0.42</v>
      </c>
      <c r="BC5">
        <f>Sheet1!BB20</f>
        <v>0.4</v>
      </c>
      <c r="BD5">
        <f>Sheet1!BC20</f>
        <v>0.39</v>
      </c>
      <c r="BE5">
        <f>Sheet1!BD20</f>
        <v>0.39</v>
      </c>
      <c r="BF5">
        <f>Sheet1!BE20</f>
        <v>0.39</v>
      </c>
      <c r="BG5">
        <f>Sheet1!BF20</f>
        <v>0.39</v>
      </c>
      <c r="BH5">
        <f>Sheet1!BG20</f>
        <v>0.39</v>
      </c>
      <c r="BI5">
        <f>Sheet1!BH20</f>
        <v>0.39</v>
      </c>
      <c r="BJ5">
        <f>Sheet1!BI20</f>
        <v>0.39</v>
      </c>
      <c r="BK5">
        <f>Sheet1!BJ20</f>
        <v>0.39</v>
      </c>
      <c r="BL5">
        <f>Sheet1!BK20</f>
        <v>0.37</v>
      </c>
      <c r="BM5">
        <f>Sheet1!BL20</f>
        <v>0.37</v>
      </c>
      <c r="BN5">
        <f>Sheet1!BM20</f>
        <v>0.36</v>
      </c>
      <c r="BO5">
        <f>Sheet1!BN20</f>
        <v>0.36</v>
      </c>
      <c r="BP5">
        <f>Sheet1!BO20</f>
        <v>0.35</v>
      </c>
      <c r="BQ5">
        <f>Sheet1!BP20</f>
        <v>0.35</v>
      </c>
      <c r="BR5">
        <f>Sheet1!BQ20</f>
        <v>0.35</v>
      </c>
      <c r="BS5">
        <f>Sheet1!BR20</f>
        <v>0.32</v>
      </c>
      <c r="BT5">
        <f>Sheet1!BS20</f>
        <v>0.32</v>
      </c>
      <c r="BU5">
        <f>Sheet1!BT20</f>
        <v>0.32</v>
      </c>
      <c r="BV5">
        <f>Sheet1!BU20</f>
        <v>0.32</v>
      </c>
      <c r="BW5">
        <f>Sheet1!BV20</f>
        <v>0.32</v>
      </c>
      <c r="BX5">
        <f>Sheet1!BW20</f>
        <v>0.32</v>
      </c>
      <c r="BY5">
        <f>Sheet1!BX20</f>
        <v>0.32</v>
      </c>
      <c r="BZ5">
        <f>Sheet1!BY20</f>
        <v>0.32</v>
      </c>
      <c r="CA5">
        <f>Sheet1!BZ20</f>
        <v>0.32</v>
      </c>
      <c r="CB5">
        <f>Sheet1!CA20</f>
        <v>0.32</v>
      </c>
      <c r="CC5">
        <f>Sheet1!CB20</f>
        <v>0.32</v>
      </c>
      <c r="CD5">
        <f>Sheet1!CC20</f>
        <v>0.32</v>
      </c>
      <c r="CE5">
        <f>Sheet1!CD20</f>
        <v>0.32</v>
      </c>
      <c r="CF5">
        <f>Sheet1!CE20</f>
        <v>0.32</v>
      </c>
      <c r="CG5">
        <f>Sheet1!CF20</f>
        <v>0.32</v>
      </c>
      <c r="CH5">
        <f>Sheet1!CG20</f>
        <v>0.32</v>
      </c>
      <c r="CI5">
        <f>Sheet1!CH20</f>
        <v>0.32</v>
      </c>
      <c r="CJ5">
        <f>Sheet1!CJ20</f>
        <v>0.31</v>
      </c>
      <c r="CK5">
        <f>Sheet1!CK20</f>
        <v>0.28999999999999998</v>
      </c>
      <c r="CL5">
        <f>Sheet1!CL20</f>
        <v>0.28999999999999998</v>
      </c>
      <c r="CM5">
        <f>Sheet1!CM20</f>
        <v>0.28999999999999998</v>
      </c>
      <c r="CN5">
        <f>Sheet1!CN20</f>
        <v>0.28999999999999998</v>
      </c>
      <c r="CO5">
        <f>Sheet1!CO20</f>
        <v>0.28999999999999998</v>
      </c>
      <c r="CP5">
        <f>Sheet1!CP20</f>
        <v>0.28999999999999998</v>
      </c>
      <c r="CQ5">
        <f>Sheet1!CQ20</f>
        <v>0.28000000000000003</v>
      </c>
      <c r="CR5">
        <f>Sheet1!CR20</f>
        <v>0.28000000000000003</v>
      </c>
      <c r="CS5">
        <f>Sheet1!CS20</f>
        <v>0.28000000000000003</v>
      </c>
      <c r="CT5">
        <f>Sheet1!CT20</f>
        <v>0.28000000000000003</v>
      </c>
      <c r="CU5">
        <f>Sheet1!CU20</f>
        <v>0.28000000000000003</v>
      </c>
      <c r="CV5">
        <f>Sheet1!CV20</f>
        <v>0.28000000000000003</v>
      </c>
      <c r="CW5">
        <f>Sheet1!CW20</f>
        <v>0.28000000000000003</v>
      </c>
      <c r="CX5">
        <f>Sheet1!CX20</f>
        <v>0.28000000000000003</v>
      </c>
      <c r="CY5">
        <f>Sheet1!CY20</f>
        <v>0.28000000000000003</v>
      </c>
      <c r="CZ5">
        <f>Sheet1!CZ20</f>
        <v>0.28000000000000003</v>
      </c>
      <c r="DA5">
        <f>Sheet1!DA20</f>
        <v>0.28000000000000003</v>
      </c>
      <c r="DB5">
        <f>Sheet1!DB20</f>
        <v>0.28000000000000003</v>
      </c>
      <c r="DC5">
        <f>Sheet1!DC20</f>
        <v>0.28000000000000003</v>
      </c>
      <c r="DD5">
        <f>Sheet1!DD20</f>
        <v>0.28000000000000003</v>
      </c>
      <c r="DE5">
        <f>Sheet1!DE20</f>
        <v>0.28000000000000003</v>
      </c>
      <c r="DF5">
        <f>Sheet1!DF20</f>
        <v>0.28000000000000003</v>
      </c>
      <c r="DG5">
        <f>Sheet1!DG20</f>
        <v>0.28000000000000003</v>
      </c>
      <c r="DH5">
        <f>Sheet1!DH20</f>
        <v>0.28000000000000003</v>
      </c>
      <c r="DI5">
        <f>Sheet1!DI20</f>
        <v>0.28000000000000003</v>
      </c>
      <c r="DJ5">
        <f>Sheet1!DJ20</f>
        <v>0.28000000000000003</v>
      </c>
      <c r="DK5">
        <f>Sheet1!DK20</f>
        <v>0.28000000000000003</v>
      </c>
      <c r="DL5">
        <f>Sheet1!DL20</f>
        <v>0.28000000000000003</v>
      </c>
      <c r="DM5">
        <f>Sheet1!DM20</f>
        <v>0.28000000000000003</v>
      </c>
      <c r="DN5">
        <f>Sheet1!DN20</f>
        <v>0.28000000000000003</v>
      </c>
      <c r="DO5">
        <f>Sheet1!DO20</f>
        <v>0.28000000000000003</v>
      </c>
      <c r="DP5">
        <f>Sheet1!DP20</f>
        <v>0.28000000000000003</v>
      </c>
      <c r="DQ5">
        <f>Sheet1!DQ20</f>
        <v>0.28000000000000003</v>
      </c>
      <c r="DR5">
        <f>Sheet1!DR20</f>
        <v>0.28000000000000003</v>
      </c>
      <c r="DS5">
        <f>Sheet1!DS20</f>
        <v>0.28000000000000003</v>
      </c>
      <c r="DT5">
        <f>Sheet1!DT20</f>
        <v>0.28000000000000003</v>
      </c>
      <c r="DU5">
        <f>Sheet1!DU20</f>
        <v>0.28000000000000003</v>
      </c>
      <c r="DV5">
        <f>Sheet1!DV20</f>
        <v>0.28000000000000003</v>
      </c>
    </row>
    <row r="6" spans="1:188">
      <c r="A6" t="s">
        <v>213</v>
      </c>
      <c r="B6">
        <v>0.89</v>
      </c>
      <c r="C6">
        <v>0.92</v>
      </c>
      <c r="D6">
        <v>0.98</v>
      </c>
      <c r="E6">
        <v>1.03</v>
      </c>
      <c r="F6">
        <v>1.2</v>
      </c>
      <c r="G6">
        <v>1.2</v>
      </c>
      <c r="H6">
        <v>1.18</v>
      </c>
      <c r="I6">
        <v>1.1499999999999999</v>
      </c>
      <c r="J6">
        <v>1.1499999999999999</v>
      </c>
      <c r="K6">
        <v>1.21</v>
      </c>
      <c r="L6">
        <v>1.22</v>
      </c>
      <c r="M6">
        <v>1.22</v>
      </c>
      <c r="N6">
        <v>1.22</v>
      </c>
      <c r="O6">
        <v>1.22</v>
      </c>
      <c r="P6">
        <v>1.22</v>
      </c>
      <c r="Q6">
        <v>1.22</v>
      </c>
      <c r="R6">
        <v>1.22</v>
      </c>
      <c r="S6">
        <v>1.18</v>
      </c>
      <c r="T6">
        <v>1.1200000000000001</v>
      </c>
      <c r="U6">
        <v>1.1000000000000001</v>
      </c>
      <c r="V6">
        <v>0.99</v>
      </c>
      <c r="W6">
        <v>0.96</v>
      </c>
      <c r="X6">
        <v>0.88</v>
      </c>
      <c r="Y6">
        <v>0.83</v>
      </c>
      <c r="Z6">
        <v>0.8</v>
      </c>
      <c r="AA6">
        <v>0.81</v>
      </c>
      <c r="AB6">
        <v>0.79</v>
      </c>
      <c r="AC6">
        <v>0.79</v>
      </c>
      <c r="AD6">
        <v>0.79</v>
      </c>
      <c r="AE6">
        <v>0.8</v>
      </c>
      <c r="AF6">
        <v>0.8</v>
      </c>
      <c r="AG6">
        <v>0.81</v>
      </c>
      <c r="AH6">
        <v>0.81</v>
      </c>
      <c r="AI6">
        <v>0.81</v>
      </c>
      <c r="AJ6">
        <v>0.81</v>
      </c>
      <c r="AK6">
        <v>0.81</v>
      </c>
      <c r="AL6">
        <v>0.74</v>
      </c>
      <c r="AM6">
        <v>0.68</v>
      </c>
      <c r="AN6">
        <v>0.68</v>
      </c>
      <c r="AO6">
        <v>0.68</v>
      </c>
      <c r="AP6">
        <v>0.6</v>
      </c>
      <c r="AQ6">
        <v>0.57999999999999996</v>
      </c>
      <c r="AR6">
        <v>0.53</v>
      </c>
      <c r="AS6">
        <v>0.5</v>
      </c>
      <c r="AT6">
        <v>0.5</v>
      </c>
      <c r="AU6">
        <v>0.5</v>
      </c>
      <c r="AV6">
        <v>0.49</v>
      </c>
      <c r="AW6">
        <v>0.49</v>
      </c>
      <c r="AX6">
        <v>0.49</v>
      </c>
      <c r="AY6">
        <v>0.48</v>
      </c>
      <c r="AZ6">
        <f>Sheet1!AY21</f>
        <v>0.48</v>
      </c>
      <c r="BA6">
        <f>Sheet1!AZ21</f>
        <v>0.48</v>
      </c>
      <c r="BB6">
        <f>Sheet1!BA21</f>
        <v>0.48</v>
      </c>
      <c r="BC6">
        <f>Sheet1!BB21</f>
        <v>0.48</v>
      </c>
      <c r="BD6">
        <f>Sheet1!BC21</f>
        <v>0.48</v>
      </c>
      <c r="BE6">
        <f>Sheet1!BD21</f>
        <v>0.48</v>
      </c>
      <c r="BF6">
        <f>Sheet1!BE21</f>
        <v>0.48</v>
      </c>
      <c r="BG6">
        <f>Sheet1!BF21</f>
        <v>0.48</v>
      </c>
      <c r="BH6">
        <f>Sheet1!BG21</f>
        <v>0.48499999999999999</v>
      </c>
      <c r="BI6">
        <f>Sheet1!BH21</f>
        <v>0.48</v>
      </c>
      <c r="BJ6">
        <f>Sheet1!BI21</f>
        <v>0.48</v>
      </c>
      <c r="BK6">
        <f>Sheet1!BJ21</f>
        <v>0.48</v>
      </c>
      <c r="BL6">
        <f>Sheet1!BK21</f>
        <v>0.47</v>
      </c>
      <c r="BM6">
        <f>Sheet1!BL21</f>
        <v>0.46</v>
      </c>
      <c r="BN6">
        <f>Sheet1!BM21</f>
        <v>0.42</v>
      </c>
      <c r="BO6">
        <f>Sheet1!BN21</f>
        <v>0.42</v>
      </c>
      <c r="BP6">
        <f>Sheet1!BO21</f>
        <v>0.39500000000000002</v>
      </c>
      <c r="BQ6">
        <f>Sheet1!BP21</f>
        <v>0.375</v>
      </c>
      <c r="BR6">
        <f>Sheet1!BQ21</f>
        <v>0.34</v>
      </c>
      <c r="BS6">
        <f>Sheet1!BR21</f>
        <v>0.31</v>
      </c>
      <c r="BT6">
        <f>Sheet1!BS21</f>
        <v>0.3</v>
      </c>
      <c r="BU6">
        <f>Sheet1!BT21</f>
        <v>0.3</v>
      </c>
      <c r="BV6">
        <f>Sheet1!BU21</f>
        <v>0.3</v>
      </c>
      <c r="BW6">
        <f>Sheet1!BV21</f>
        <v>0.3</v>
      </c>
      <c r="BX6">
        <f>Sheet1!BW21</f>
        <v>0.3</v>
      </c>
      <c r="BY6">
        <f>Sheet1!BX21</f>
        <v>0.3</v>
      </c>
      <c r="BZ6">
        <f>Sheet1!BY21</f>
        <v>0.3</v>
      </c>
      <c r="CA6">
        <f>Sheet1!BZ21</f>
        <v>0.28999999999999998</v>
      </c>
      <c r="CB6">
        <f>Sheet1!CA21</f>
        <v>0.28999999999999998</v>
      </c>
      <c r="CC6">
        <f>Sheet1!CB21</f>
        <v>0.28999999999999998</v>
      </c>
      <c r="CD6">
        <f>Sheet1!CC21</f>
        <v>0.28999999999999998</v>
      </c>
      <c r="CE6">
        <f>Sheet1!CD21</f>
        <v>0.28999999999999998</v>
      </c>
      <c r="CF6">
        <f>Sheet1!CE21</f>
        <v>0.28999999999999998</v>
      </c>
      <c r="CG6">
        <f>Sheet1!CF21</f>
        <v>0.28999999999999998</v>
      </c>
      <c r="CH6">
        <f>Sheet1!CG21</f>
        <v>0.28499999999999998</v>
      </c>
      <c r="CI6">
        <f>Sheet1!CH21</f>
        <v>0.28000000000000003</v>
      </c>
      <c r="CJ6">
        <f>Sheet1!CJ21</f>
        <v>0.27</v>
      </c>
      <c r="CK6">
        <f>Sheet1!CK21</f>
        <v>0.27</v>
      </c>
      <c r="CL6">
        <f>Sheet1!CL21</f>
        <v>0.27</v>
      </c>
      <c r="CM6">
        <f>Sheet1!CM21</f>
        <v>0.27</v>
      </c>
      <c r="CN6">
        <f>Sheet1!CN21</f>
        <v>0.27</v>
      </c>
      <c r="CO6">
        <f>Sheet1!CO21</f>
        <v>0.27</v>
      </c>
      <c r="CP6">
        <f>Sheet1!CP21</f>
        <v>0.27</v>
      </c>
      <c r="CQ6">
        <f>Sheet1!CQ21</f>
        <v>0.27</v>
      </c>
      <c r="CR6">
        <f>Sheet1!CR21</f>
        <v>0.27500000000000002</v>
      </c>
      <c r="CS6">
        <f>Sheet1!CS21</f>
        <v>0.28000000000000003</v>
      </c>
      <c r="CT6">
        <f>Sheet1!CT21</f>
        <v>0.28000000000000003</v>
      </c>
      <c r="CU6">
        <f>Sheet1!CU21</f>
        <v>0.28000000000000003</v>
      </c>
      <c r="CV6">
        <f>Sheet1!CV21</f>
        <v>0.28000000000000003</v>
      </c>
      <c r="CW6">
        <f>Sheet1!CW21</f>
        <v>0.28499999999999998</v>
      </c>
      <c r="CX6">
        <f>Sheet1!CX21</f>
        <v>0.28499999999999998</v>
      </c>
      <c r="CY6">
        <f>Sheet1!CY21</f>
        <v>0.28999999999999998</v>
      </c>
      <c r="CZ6">
        <f>Sheet1!CZ21</f>
        <v>0.28999999999999998</v>
      </c>
      <c r="DA6">
        <f>Sheet1!DA21</f>
        <v>0.28999999999999998</v>
      </c>
      <c r="DB6">
        <f>Sheet1!DB21</f>
        <v>0.28999999999999998</v>
      </c>
      <c r="DC6">
        <f>Sheet1!DC21</f>
        <v>0.29499999999999998</v>
      </c>
      <c r="DD6">
        <f>Sheet1!DD21</f>
        <v>0.29499999999999998</v>
      </c>
      <c r="DE6">
        <f>Sheet1!DE21</f>
        <v>0.29499999999999998</v>
      </c>
      <c r="DF6">
        <f>Sheet1!DF21</f>
        <v>0.29799999999999999</v>
      </c>
      <c r="DG6">
        <f>Sheet1!DG21</f>
        <v>0.29799999999999999</v>
      </c>
      <c r="DH6">
        <f>Sheet1!DH21</f>
        <v>0.3</v>
      </c>
      <c r="DI6">
        <f>Sheet1!DI21</f>
        <v>0.3</v>
      </c>
      <c r="DJ6">
        <f>Sheet1!DJ21</f>
        <v>0.3</v>
      </c>
      <c r="DK6">
        <f>Sheet1!DK21</f>
        <v>0.3</v>
      </c>
      <c r="DL6">
        <f>Sheet1!DL21</f>
        <v>0.29499999999999998</v>
      </c>
      <c r="DM6">
        <f>Sheet1!DM21</f>
        <v>0.28000000000000003</v>
      </c>
      <c r="DN6">
        <f>Sheet1!DN21</f>
        <v>0.28000000000000003</v>
      </c>
      <c r="DO6">
        <f>Sheet1!DO21</f>
        <v>0.26800000000000002</v>
      </c>
      <c r="DP6">
        <f>Sheet1!DP21</f>
        <v>0.26500000000000001</v>
      </c>
      <c r="DQ6">
        <f>Sheet1!DQ21</f>
        <v>0.26</v>
      </c>
      <c r="DR6">
        <f>Sheet1!DR21</f>
        <v>0.255</v>
      </c>
      <c r="DS6">
        <f>Sheet1!DS21</f>
        <v>0.255</v>
      </c>
      <c r="DT6">
        <f>Sheet1!DT21</f>
        <v>0.255</v>
      </c>
      <c r="DU6">
        <f>Sheet1!DU21</f>
        <v>0.24</v>
      </c>
      <c r="DV6">
        <f>Sheet1!DV21</f>
        <v>0.23499999999999999</v>
      </c>
      <c r="DW6">
        <f>Sheet1!DW21</f>
        <v>0.22500000000000001</v>
      </c>
      <c r="DX6">
        <f>Sheet1!DX21</f>
        <v>0.23</v>
      </c>
      <c r="DY6">
        <f>Sheet1!DY21</f>
        <v>0.25</v>
      </c>
      <c r="DZ6">
        <f>Sheet1!DZ21</f>
        <v>0.28000000000000003</v>
      </c>
      <c r="EA6">
        <f>Sheet1!EA21</f>
        <v>0.30499999999999999</v>
      </c>
      <c r="EB6">
        <f>Sheet1!EB21</f>
        <v>0.315</v>
      </c>
      <c r="EC6">
        <f>Sheet1!EC21</f>
        <v>0.29499999999999998</v>
      </c>
      <c r="ED6">
        <f>Sheet1!ED21</f>
        <v>0.29499999999999998</v>
      </c>
      <c r="EE6">
        <f>Sheet1!EE21</f>
        <v>0.29799999999999999</v>
      </c>
      <c r="EF6">
        <f>Sheet1!EF21</f>
        <v>0.29799999999999999</v>
      </c>
      <c r="EG6">
        <f>Sheet1!EG21</f>
        <v>0.30499999999999999</v>
      </c>
      <c r="EH6">
        <f>Sheet1!EH21</f>
        <v>0.315</v>
      </c>
      <c r="EI6">
        <f>Sheet1!EI21</f>
        <v>0.32500000000000001</v>
      </c>
      <c r="EJ6">
        <f>Sheet1!EJ21</f>
        <v>0.32500000000000001</v>
      </c>
      <c r="EK6">
        <f>Sheet1!EK21</f>
        <v>0.32500000000000001</v>
      </c>
      <c r="EL6">
        <f>Sheet1!EL21</f>
        <v>0.32500000000000001</v>
      </c>
      <c r="EM6">
        <f>Sheet1!EM21</f>
        <v>0.32500000000000001</v>
      </c>
      <c r="EN6">
        <f>Sheet1!EN21</f>
        <v>0.31</v>
      </c>
      <c r="EO6">
        <f>Sheet1!EO21</f>
        <v>0.31</v>
      </c>
      <c r="EP6">
        <f>Sheet1!EP21</f>
        <v>0.308</v>
      </c>
      <c r="EQ6">
        <f>Sheet1!EQ21</f>
        <v>0.29499999999999998</v>
      </c>
      <c r="ER6">
        <f>Sheet1!ER21</f>
        <v>0.29199999999999998</v>
      </c>
      <c r="ES6">
        <f>Sheet1!ES21</f>
        <v>0.28499999999999998</v>
      </c>
      <c r="ET6">
        <f>Sheet1!ET21</f>
        <v>0.29499999999999998</v>
      </c>
      <c r="EU6">
        <f>Sheet1!EU21</f>
        <v>0.32</v>
      </c>
      <c r="EV6">
        <f>Sheet1!EV21</f>
        <v>0.32</v>
      </c>
      <c r="EW6">
        <f>Sheet1!EW21</f>
        <v>0.37</v>
      </c>
      <c r="EX6">
        <f>Sheet1!EX21</f>
        <v>0.38</v>
      </c>
      <c r="EY6">
        <f>Sheet1!EY21</f>
        <v>0.41</v>
      </c>
      <c r="EZ6">
        <f>Sheet1!EZ21</f>
        <v>0.435</v>
      </c>
      <c r="FA6">
        <f>Sheet1!FA21</f>
        <v>0.435</v>
      </c>
      <c r="FB6">
        <f>Sheet1!FB21</f>
        <v>0.435</v>
      </c>
      <c r="FC6">
        <f>Sheet1!FC21</f>
        <v>0.435</v>
      </c>
      <c r="FD6">
        <f>Sheet1!FD21</f>
        <v>0.42</v>
      </c>
      <c r="FE6">
        <f>Sheet1!FE21</f>
        <v>0.42</v>
      </c>
      <c r="FF6">
        <f>Sheet1!FF21</f>
        <v>0.4</v>
      </c>
      <c r="FG6">
        <f>Sheet1!FG21</f>
        <v>0.38</v>
      </c>
      <c r="FH6">
        <f>Sheet1!FH21</f>
        <v>0.37</v>
      </c>
      <c r="FI6">
        <f>Sheet1!FI21</f>
        <v>0.35</v>
      </c>
      <c r="FJ6">
        <f>Sheet1!FJ21</f>
        <v>0.34499999999999997</v>
      </c>
      <c r="FK6">
        <f>Sheet1!FK21</f>
        <v>0.32500000000000001</v>
      </c>
      <c r="FL6">
        <f>Sheet1!FL21</f>
        <v>0.32500000000000001</v>
      </c>
      <c r="FM6">
        <f>Sheet1!FM21</f>
        <v>0.32500000000000001</v>
      </c>
      <c r="FN6">
        <f>Sheet1!FN21</f>
        <v>0.32500000000000001</v>
      </c>
      <c r="FO6">
        <f>Sheet1!FO21</f>
        <v>0.32500000000000001</v>
      </c>
      <c r="FP6">
        <f>Sheet1!FP21</f>
        <v>0.32500000000000001</v>
      </c>
      <c r="FQ6">
        <f>Sheet1!FQ21</f>
        <v>0.32500000000000001</v>
      </c>
      <c r="FR6">
        <f>Sheet1!FR21</f>
        <v>0.31</v>
      </c>
      <c r="FS6">
        <f>Sheet1!FS21</f>
        <v>0.31</v>
      </c>
      <c r="FT6">
        <f>Sheet1!FT21</f>
        <v>0.28499999999999998</v>
      </c>
      <c r="FU6">
        <f>Sheet1!FU21</f>
        <v>0.27</v>
      </c>
      <c r="FV6">
        <f>Sheet1!FV21</f>
        <v>0.26800000000000002</v>
      </c>
      <c r="FW6">
        <f>Sheet1!FW21</f>
        <v>0.26500000000000001</v>
      </c>
      <c r="FX6">
        <f>Sheet1!FX21</f>
        <v>0.26500000000000001</v>
      </c>
      <c r="FY6">
        <f>Sheet1!FY21</f>
        <v>0.26500000000000001</v>
      </c>
      <c r="FZ6">
        <f>Sheet1!FZ21</f>
        <v>0.27500000000000002</v>
      </c>
      <c r="GA6">
        <f>Sheet1!GA21</f>
        <v>0.3</v>
      </c>
      <c r="GB6">
        <f>Sheet1!GB21</f>
        <v>0.38</v>
      </c>
      <c r="GC6">
        <f>Sheet1!GC21</f>
        <v>0.33500000000000002</v>
      </c>
      <c r="GD6">
        <f>Sheet1!GD21</f>
        <v>0.31</v>
      </c>
      <c r="GE6">
        <f>Sheet1!GE21</f>
        <v>0.31</v>
      </c>
      <c r="GF6">
        <f>Sheet1!GF21</f>
        <v>0.3</v>
      </c>
    </row>
    <row r="7" spans="1:188">
      <c r="A7" t="s">
        <v>214</v>
      </c>
      <c r="BV7">
        <f>Sheet1!BU22</f>
        <v>0.36</v>
      </c>
      <c r="BW7">
        <f>Sheet1!BV22</f>
        <v>0.35</v>
      </c>
      <c r="BX7">
        <f>Sheet1!BW22</f>
        <v>0.35</v>
      </c>
      <c r="BY7">
        <f>Sheet1!BX22</f>
        <v>0.35</v>
      </c>
      <c r="BZ7">
        <f>Sheet1!BY22</f>
        <v>0.35</v>
      </c>
      <c r="CA7">
        <f>Sheet1!BZ22</f>
        <v>0.33</v>
      </c>
      <c r="CB7">
        <f>Sheet1!CA22</f>
        <v>0.33</v>
      </c>
      <c r="CC7">
        <f>Sheet1!CB22</f>
        <v>0.32</v>
      </c>
      <c r="CD7">
        <f>Sheet1!CC22</f>
        <v>0.32</v>
      </c>
      <c r="CE7">
        <f>Sheet1!CD22</f>
        <v>0.32</v>
      </c>
      <c r="CF7">
        <f>Sheet1!CE22</f>
        <v>0.32</v>
      </c>
      <c r="CG7">
        <f>Sheet1!CF22</f>
        <v>0.32</v>
      </c>
      <c r="CH7">
        <f>Sheet1!CG22</f>
        <v>0.3</v>
      </c>
      <c r="CI7">
        <f>Sheet1!CH22</f>
        <v>0.28999999999999998</v>
      </c>
      <c r="CJ7">
        <f>Sheet1!CJ22</f>
        <v>0.28499999999999998</v>
      </c>
      <c r="CK7">
        <f>Sheet1!CK22</f>
        <v>0.28999999999999998</v>
      </c>
      <c r="CL7">
        <f>Sheet1!CL22</f>
        <v>0.28999999999999998</v>
      </c>
      <c r="CM7">
        <f>Sheet1!CM22</f>
        <v>0.28999999999999998</v>
      </c>
      <c r="CN7">
        <f>Sheet1!CN22</f>
        <v>0.28999999999999998</v>
      </c>
      <c r="CO7">
        <f>Sheet1!CO22</f>
        <v>0.28999999999999998</v>
      </c>
      <c r="CP7">
        <f>Sheet1!CP22</f>
        <v>0.28999999999999998</v>
      </c>
      <c r="CQ7">
        <f>Sheet1!CQ22</f>
        <v>0.28499999999999998</v>
      </c>
      <c r="CR7">
        <f>Sheet1!CR22</f>
        <v>0.28499999999999998</v>
      </c>
      <c r="CS7">
        <f>Sheet1!CS22</f>
        <v>0.28499999999999998</v>
      </c>
      <c r="CT7">
        <f>Sheet1!CT22</f>
        <v>0.28499999999999998</v>
      </c>
      <c r="CU7">
        <f>Sheet1!CU22</f>
        <v>0.28499999999999998</v>
      </c>
      <c r="CV7">
        <f>Sheet1!CV22</f>
        <v>0.28499999999999998</v>
      </c>
      <c r="CW7">
        <f>Sheet1!CW22</f>
        <v>0.28499999999999998</v>
      </c>
      <c r="CX7">
        <f>Sheet1!CX22</f>
        <v>0.28999999999999998</v>
      </c>
      <c r="CY7">
        <f>Sheet1!CY22</f>
        <v>0.28999999999999998</v>
      </c>
      <c r="CZ7">
        <f>Sheet1!CZ22</f>
        <v>0.28999999999999998</v>
      </c>
      <c r="DA7">
        <f>Sheet1!DA22</f>
        <v>0.28999999999999998</v>
      </c>
      <c r="DB7">
        <f>Sheet1!DB22</f>
        <v>0.28999999999999998</v>
      </c>
      <c r="DC7">
        <f>Sheet1!DC22</f>
        <v>0.29499999999999998</v>
      </c>
      <c r="DD7">
        <f>Sheet1!DD22</f>
        <v>0.29499999999999998</v>
      </c>
      <c r="DE7">
        <f>Sheet1!DE22</f>
        <v>0.29499999999999998</v>
      </c>
      <c r="DF7">
        <f>Sheet1!DF22</f>
        <v>0.29499999999999998</v>
      </c>
      <c r="DG7">
        <f>Sheet1!DG22</f>
        <v>0.29499999999999998</v>
      </c>
      <c r="DH7">
        <f>Sheet1!DH22</f>
        <v>0.30499999999999999</v>
      </c>
      <c r="DI7">
        <f>Sheet1!DI22</f>
        <v>0.30499999999999999</v>
      </c>
      <c r="DJ7">
        <f>Sheet1!DJ22</f>
        <v>0.30499999999999999</v>
      </c>
      <c r="DK7">
        <f>Sheet1!DK22</f>
        <v>0.30499999999999999</v>
      </c>
      <c r="DL7">
        <f>Sheet1!DL22</f>
        <v>0.3</v>
      </c>
      <c r="DM7">
        <f>Sheet1!DM22</f>
        <v>0.28999999999999998</v>
      </c>
      <c r="DN7">
        <f>Sheet1!DN22</f>
        <v>0.28999999999999998</v>
      </c>
      <c r="DO7">
        <f>Sheet1!DO22</f>
        <v>0.28000000000000003</v>
      </c>
      <c r="DP7">
        <f>Sheet1!DP22</f>
        <v>0.28000000000000003</v>
      </c>
      <c r="DQ7">
        <f>Sheet1!DQ22</f>
        <v>0.28000000000000003</v>
      </c>
      <c r="DR7">
        <f>Sheet1!DR22</f>
        <v>0.27</v>
      </c>
      <c r="DS7">
        <f>Sheet1!DS22</f>
        <v>0.27</v>
      </c>
      <c r="DT7">
        <f>Sheet1!DT22</f>
        <v>0.27</v>
      </c>
      <c r="DU7">
        <f>Sheet1!DU22</f>
        <v>0.26</v>
      </c>
      <c r="DV7">
        <f>Sheet1!DV22</f>
        <v>0.255</v>
      </c>
      <c r="DW7">
        <f>Sheet1!DW22</f>
        <v>0.245</v>
      </c>
      <c r="DX7">
        <f>Sheet1!DX22</f>
        <v>0.245</v>
      </c>
      <c r="DY7">
        <f>Sheet1!DY22</f>
        <v>0.255</v>
      </c>
      <c r="DZ7">
        <f>Sheet1!DZ22</f>
        <v>0.27500000000000002</v>
      </c>
      <c r="EA7">
        <f>Sheet1!EA22</f>
        <v>0.28999999999999998</v>
      </c>
      <c r="EB7">
        <f>Sheet1!EB22</f>
        <v>0.28999999999999998</v>
      </c>
      <c r="EC7">
        <f>Sheet1!EC22</f>
        <v>0.28499999999999998</v>
      </c>
      <c r="ED7">
        <f>Sheet1!ED22</f>
        <v>0.28499999999999998</v>
      </c>
      <c r="EE7">
        <f>Sheet1!EE22</f>
        <v>0.28799999999999998</v>
      </c>
      <c r="EF7">
        <f>Sheet1!EF22</f>
        <v>0.28799999999999998</v>
      </c>
      <c r="EG7">
        <f>Sheet1!EG22</f>
        <v>0.28999999999999998</v>
      </c>
      <c r="EH7">
        <f>Sheet1!EH22</f>
        <v>0.3</v>
      </c>
      <c r="EI7">
        <f>Sheet1!EI22</f>
        <v>0.3</v>
      </c>
      <c r="EJ7">
        <f>Sheet1!EJ22</f>
        <v>0.3</v>
      </c>
      <c r="EK7">
        <f>Sheet1!EK22</f>
        <v>0.3</v>
      </c>
      <c r="EL7">
        <f>Sheet1!EL22</f>
        <v>0.31</v>
      </c>
      <c r="EM7">
        <f>Sheet1!EM22</f>
        <v>0.31</v>
      </c>
      <c r="EN7">
        <f>Sheet1!EN22</f>
        <v>0.3</v>
      </c>
      <c r="EO7">
        <f>Sheet1!EO22</f>
        <v>0.3</v>
      </c>
      <c r="EP7">
        <f>Sheet1!EP22</f>
        <v>0.29799999999999999</v>
      </c>
      <c r="EQ7">
        <f>Sheet1!EQ22</f>
        <v>0.28799999999999998</v>
      </c>
      <c r="ER7">
        <f>Sheet1!ER22</f>
        <v>0.28499999999999998</v>
      </c>
      <c r="ES7">
        <f>Sheet1!ES22</f>
        <v>0.28299999999999997</v>
      </c>
      <c r="ET7">
        <f>Sheet1!ET22</f>
        <v>0.29499999999999998</v>
      </c>
      <c r="EU7">
        <f>Sheet1!EU22</f>
        <v>0.32</v>
      </c>
      <c r="EV7">
        <f>Sheet1!EV22</f>
        <v>0.32</v>
      </c>
      <c r="EW7">
        <f>Sheet1!EW22</f>
        <v>0.38</v>
      </c>
      <c r="EX7">
        <f>Sheet1!EX22</f>
        <v>0.38</v>
      </c>
      <c r="EY7">
        <f>Sheet1!EY22</f>
        <v>0.41</v>
      </c>
      <c r="EZ7">
        <f>Sheet1!EZ22</f>
        <v>0.435</v>
      </c>
      <c r="FA7">
        <f>Sheet1!FA22</f>
        <v>0.435</v>
      </c>
      <c r="FB7">
        <f>Sheet1!FB22</f>
        <v>0.435</v>
      </c>
      <c r="FC7">
        <f>Sheet1!FC22</f>
        <v>0.435</v>
      </c>
      <c r="FD7">
        <f>Sheet1!FD22</f>
        <v>0.42199999999999999</v>
      </c>
      <c r="FE7">
        <f>Sheet1!FE22</f>
        <v>0.42199999999999999</v>
      </c>
      <c r="FF7">
        <f>Sheet1!FF22</f>
        <v>0.4</v>
      </c>
      <c r="FG7">
        <f>Sheet1!FG22</f>
        <v>0.39</v>
      </c>
      <c r="FH7">
        <f>Sheet1!FH22</f>
        <v>0.37</v>
      </c>
      <c r="FI7">
        <f>Sheet1!FI22</f>
        <v>0.36</v>
      </c>
      <c r="FJ7">
        <f>Sheet1!FJ22</f>
        <v>0.35399999999999998</v>
      </c>
      <c r="FK7">
        <f>Sheet1!FK22</f>
        <v>0.34</v>
      </c>
      <c r="FL7">
        <f>Sheet1!FL22</f>
        <v>0.34</v>
      </c>
      <c r="FM7">
        <f>Sheet1!FM22</f>
        <v>0.34</v>
      </c>
      <c r="FN7">
        <f>Sheet1!FN22</f>
        <v>0.34</v>
      </c>
      <c r="FO7">
        <f>Sheet1!FO22</f>
        <v>0.34</v>
      </c>
      <c r="FP7">
        <f>Sheet1!FP22</f>
        <v>0.33</v>
      </c>
      <c r="FQ7">
        <f>Sheet1!FQ22</f>
        <v>0.33</v>
      </c>
      <c r="FR7">
        <f>Sheet1!FR22</f>
        <v>0.315</v>
      </c>
      <c r="FS7">
        <f>Sheet1!FS22</f>
        <v>0.315</v>
      </c>
      <c r="FT7">
        <f>Sheet1!FT22</f>
        <v>0.29499999999999998</v>
      </c>
      <c r="FU7">
        <f>Sheet1!FU22</f>
        <v>0.27500000000000002</v>
      </c>
      <c r="FV7">
        <f>Sheet1!FV22</f>
        <v>0.27200000000000002</v>
      </c>
      <c r="FW7">
        <f>Sheet1!FW22</f>
        <v>0.27</v>
      </c>
      <c r="FX7">
        <f>Sheet1!FX22</f>
        <v>0.27</v>
      </c>
      <c r="FY7">
        <f>Sheet1!FY22</f>
        <v>0.27</v>
      </c>
      <c r="FZ7">
        <f>Sheet1!FZ22</f>
        <v>0.27</v>
      </c>
      <c r="GA7">
        <f>Sheet1!GA22</f>
        <v>0.29499999999999998</v>
      </c>
      <c r="GB7">
        <f>Sheet1!GB22</f>
        <v>0.36</v>
      </c>
      <c r="GC7">
        <f>Sheet1!GC22</f>
        <v>0.31</v>
      </c>
      <c r="GD7">
        <f>Sheet1!GD22</f>
        <v>0.31</v>
      </c>
      <c r="GE7">
        <f>Sheet1!GE22</f>
        <v>0.31</v>
      </c>
      <c r="GF7">
        <f>Sheet1!GF22</f>
        <v>0.29499999999999998</v>
      </c>
    </row>
    <row r="8" spans="1:188">
      <c r="A8" t="s">
        <v>257</v>
      </c>
      <c r="CJ8">
        <f>Sheet1!CJ23</f>
        <v>0.28000000000000003</v>
      </c>
      <c r="CK8">
        <f>Sheet1!CK23</f>
        <v>0.28499999999999998</v>
      </c>
      <c r="CL8">
        <f>Sheet1!CL23</f>
        <v>0.28499999999999998</v>
      </c>
      <c r="CM8">
        <f>Sheet1!CM23</f>
        <v>0.28499999999999998</v>
      </c>
      <c r="CN8">
        <f>Sheet1!CN23</f>
        <v>0.28499999999999998</v>
      </c>
      <c r="CO8">
        <f>Sheet1!CO23</f>
        <v>0.28499999999999998</v>
      </c>
      <c r="CP8">
        <f>Sheet1!CP23</f>
        <v>0.28499999999999998</v>
      </c>
      <c r="CQ8">
        <f>Sheet1!CQ23</f>
        <v>0.27500000000000002</v>
      </c>
      <c r="CR8">
        <f>Sheet1!CR23</f>
        <v>0.27500000000000002</v>
      </c>
      <c r="CS8">
        <f>Sheet1!CS23</f>
        <v>0.27500000000000002</v>
      </c>
      <c r="CT8">
        <f>Sheet1!CT23</f>
        <v>0.27500000000000002</v>
      </c>
      <c r="CU8">
        <f>Sheet1!CU23</f>
        <v>0.27500000000000002</v>
      </c>
      <c r="CV8">
        <f>Sheet1!CV23</f>
        <v>0.27500000000000002</v>
      </c>
      <c r="CW8">
        <f>Sheet1!CW23</f>
        <v>0.28000000000000003</v>
      </c>
      <c r="CX8">
        <f>Sheet1!CX23</f>
        <v>0.28499999999999998</v>
      </c>
      <c r="CY8">
        <f>Sheet1!CY23</f>
        <v>0.28499999999999998</v>
      </c>
      <c r="CZ8">
        <f>Sheet1!CZ23</f>
        <v>0.28499999999999998</v>
      </c>
      <c r="DA8">
        <f>Sheet1!DA23</f>
        <v>0.28499999999999998</v>
      </c>
      <c r="DB8">
        <f>Sheet1!DB23</f>
        <v>0.28499999999999998</v>
      </c>
      <c r="DC8">
        <f>Sheet1!DC23</f>
        <v>0.28499999999999998</v>
      </c>
      <c r="DD8">
        <f>Sheet1!DD23</f>
        <v>0.28499999999999998</v>
      </c>
      <c r="DE8">
        <f>Sheet1!DE23</f>
        <v>0.28499999999999998</v>
      </c>
      <c r="DF8">
        <f>Sheet1!DF23</f>
        <v>0.29799999999999999</v>
      </c>
      <c r="DG8">
        <f>Sheet1!DG23</f>
        <v>0.31</v>
      </c>
      <c r="DH8">
        <f>Sheet1!DH23</f>
        <v>0.35</v>
      </c>
      <c r="DI8">
        <f>Sheet1!DI23</f>
        <v>0.34</v>
      </c>
      <c r="DJ8">
        <f>Sheet1!DJ23</f>
        <v>0.34</v>
      </c>
      <c r="DK8">
        <f>Sheet1!DK23</f>
        <v>0.33</v>
      </c>
      <c r="DL8">
        <f>Sheet1!DL23</f>
        <v>0.29499999999999998</v>
      </c>
      <c r="DM8">
        <f>Sheet1!DM23</f>
        <v>0.28000000000000003</v>
      </c>
      <c r="DN8">
        <f>Sheet1!DN23</f>
        <v>0.28000000000000003</v>
      </c>
      <c r="DO8">
        <f>Sheet1!DO23</f>
        <v>0.26800000000000002</v>
      </c>
      <c r="DP8">
        <f>Sheet1!DP23</f>
        <v>0.26500000000000001</v>
      </c>
      <c r="DQ8">
        <f>Sheet1!DQ23</f>
        <v>0.26</v>
      </c>
      <c r="DR8">
        <f>Sheet1!DR23</f>
        <v>0.26</v>
      </c>
      <c r="DS8">
        <f>Sheet1!DS23</f>
        <v>0.26</v>
      </c>
      <c r="DT8">
        <f>Sheet1!DT23</f>
        <v>0.26</v>
      </c>
      <c r="DU8">
        <f>Sheet1!DU23</f>
        <v>0.26</v>
      </c>
      <c r="DV8">
        <f>Sheet1!DV23</f>
        <v>0.255</v>
      </c>
      <c r="DW8">
        <f>Sheet1!DW23</f>
        <v>0.245</v>
      </c>
      <c r="DX8">
        <f>Sheet1!DX23</f>
        <v>0.245</v>
      </c>
      <c r="DY8">
        <f>Sheet1!DY23</f>
        <v>0.26200000000000001</v>
      </c>
      <c r="DZ8">
        <f>Sheet1!DZ23</f>
        <v>0.27500000000000002</v>
      </c>
      <c r="EA8">
        <f>Sheet1!EA23</f>
        <v>0.28999999999999998</v>
      </c>
      <c r="EB8">
        <f>Sheet1!EB23</f>
        <v>0.28999999999999998</v>
      </c>
      <c r="EC8">
        <f>Sheet1!EC23</f>
        <v>0.28999999999999998</v>
      </c>
      <c r="ED8">
        <f>Sheet1!ED23</f>
        <v>0.28999999999999998</v>
      </c>
      <c r="EE8">
        <f>Sheet1!EE23</f>
        <v>0.29099999999999998</v>
      </c>
      <c r="EF8">
        <f>Sheet1!EF23</f>
        <v>0.29099999999999998</v>
      </c>
      <c r="EG8">
        <f>Sheet1!EG23</f>
        <v>0.28899999999999998</v>
      </c>
      <c r="EH8">
        <f>Sheet1!EH23</f>
        <v>0.28999999999999998</v>
      </c>
      <c r="EI8">
        <f>Sheet1!EI23</f>
        <v>0.28999999999999998</v>
      </c>
      <c r="EJ8">
        <f>Sheet1!EJ23</f>
        <v>0.28999999999999998</v>
      </c>
      <c r="EK8">
        <f>Sheet1!EK23</f>
        <v>0.28999999999999998</v>
      </c>
      <c r="EL8">
        <f>Sheet1!EL23</f>
        <v>0.28399999999999997</v>
      </c>
      <c r="EM8">
        <f>Sheet1!EM23</f>
        <v>0.28399999999999997</v>
      </c>
      <c r="EN8">
        <f>Sheet1!EN23</f>
        <v>0.28399999999999997</v>
      </c>
      <c r="EO8">
        <f>Sheet1!EO23</f>
        <v>0.28399999999999997</v>
      </c>
      <c r="EP8">
        <f>Sheet1!EP23</f>
        <v>0.28199999999999997</v>
      </c>
      <c r="EQ8">
        <f>Sheet1!EQ23</f>
        <v>0.27800000000000002</v>
      </c>
      <c r="ER8">
        <f>Sheet1!ER23</f>
        <v>0.27500000000000002</v>
      </c>
      <c r="ES8">
        <f>Sheet1!ES23</f>
        <v>0.27300000000000002</v>
      </c>
      <c r="ET8">
        <f>Sheet1!ET23</f>
        <v>0.28999999999999998</v>
      </c>
      <c r="EU8">
        <f>Sheet1!EU23</f>
        <v>0.31</v>
      </c>
      <c r="EV8">
        <f>Sheet1!EV23</f>
        <v>0.31</v>
      </c>
      <c r="EW8">
        <f>Sheet1!EW23</f>
        <v>0.37</v>
      </c>
      <c r="EX8">
        <f>Sheet1!EX23</f>
        <v>0.38</v>
      </c>
      <c r="EY8">
        <f>Sheet1!EY23</f>
        <v>0.41</v>
      </c>
      <c r="EZ8">
        <f>Sheet1!EZ23</f>
        <v>0.435</v>
      </c>
      <c r="FA8">
        <f>Sheet1!FA23</f>
        <v>0.435</v>
      </c>
      <c r="FB8">
        <f>Sheet1!FB23</f>
        <v>0.435</v>
      </c>
      <c r="FC8">
        <f>Sheet1!FC23</f>
        <v>0.435</v>
      </c>
      <c r="FD8">
        <f>Sheet1!FD23</f>
        <v>0.42</v>
      </c>
      <c r="FE8">
        <f>Sheet1!FE23</f>
        <v>0.42</v>
      </c>
      <c r="FF8">
        <f>Sheet1!FF23</f>
        <v>0.41</v>
      </c>
      <c r="FG8">
        <f>Sheet1!FG23</f>
        <v>0.39</v>
      </c>
      <c r="FH8">
        <f>Sheet1!FH23</f>
        <v>0.375</v>
      </c>
      <c r="FI8">
        <f>Sheet1!FI23</f>
        <v>0.36</v>
      </c>
      <c r="FJ8">
        <f>Sheet1!FJ23</f>
        <v>0.35499999999999998</v>
      </c>
      <c r="FK8">
        <f>Sheet1!FK23</f>
        <v>0.34</v>
      </c>
      <c r="FL8">
        <f>Sheet1!FL23</f>
        <v>0.34</v>
      </c>
      <c r="FM8">
        <f>Sheet1!FM23</f>
        <v>0.34</v>
      </c>
      <c r="FN8">
        <f>Sheet1!FN23</f>
        <v>0.34</v>
      </c>
      <c r="FO8">
        <f>Sheet1!FO23</f>
        <v>0.34</v>
      </c>
      <c r="FP8">
        <f>Sheet1!FP23</f>
        <v>0.33</v>
      </c>
      <c r="FQ8">
        <f>Sheet1!FQ23</f>
        <v>0.33</v>
      </c>
      <c r="FR8">
        <f>Sheet1!FR23</f>
        <v>0.315</v>
      </c>
      <c r="FS8">
        <f>Sheet1!FS23</f>
        <v>0.31</v>
      </c>
      <c r="FT8">
        <f>Sheet1!FT23</f>
        <v>0.28999999999999998</v>
      </c>
      <c r="FU8">
        <f>Sheet1!FU23</f>
        <v>0.27</v>
      </c>
      <c r="FV8">
        <f>Sheet1!FV23</f>
        <v>0.26800000000000002</v>
      </c>
      <c r="FW8">
        <f>Sheet1!FW23</f>
        <v>0.26800000000000002</v>
      </c>
      <c r="FX8">
        <f>Sheet1!FX23</f>
        <v>0.26800000000000002</v>
      </c>
      <c r="FY8">
        <f>Sheet1!FY23</f>
        <v>0.26800000000000002</v>
      </c>
      <c r="FZ8">
        <f>Sheet1!FZ23</f>
        <v>0.26800000000000002</v>
      </c>
      <c r="GA8">
        <f>Sheet1!GA23</f>
        <v>0.28999999999999998</v>
      </c>
      <c r="GB8">
        <f>Sheet1!GB23</f>
        <v>0.38</v>
      </c>
      <c r="GC8">
        <f>Sheet1!GC23</f>
        <v>0.30499999999999999</v>
      </c>
      <c r="GD8">
        <f>Sheet1!GD23</f>
        <v>0.3</v>
      </c>
      <c r="GE8">
        <f>Sheet1!GE23</f>
        <v>0.3</v>
      </c>
      <c r="GF8">
        <f>Sheet1!GF23</f>
        <v>0.315</v>
      </c>
    </row>
  </sheetData>
  <mergeCells count="3">
    <mergeCell ref="B2:AZ2"/>
    <mergeCell ref="BA2:CW2"/>
    <mergeCell ref="CX2:EV2"/>
  </mergeCells>
  <pageMargins left="0.7" right="0.7" top="0.75" bottom="0.75" header="0.3" footer="0.3"/>
  <pageSetup paperSize="9" orientation="portrait"/>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2:GF17"/>
  <sheetViews>
    <sheetView topLeftCell="DU19" zoomScale="55" zoomScaleNormal="55" workbookViewId="0">
      <selection activeCell="FK38" sqref="FK38"/>
    </sheetView>
  </sheetViews>
  <sheetFormatPr defaultColWidth="11" defaultRowHeight="15.75"/>
  <cols>
    <col min="1" max="1" width="50.625" customWidth="1"/>
    <col min="2" max="101" width="11" hidden="1" customWidth="1"/>
  </cols>
  <sheetData>
    <row r="2" spans="1:188">
      <c r="B2" s="99">
        <v>2023</v>
      </c>
      <c r="C2" s="99"/>
      <c r="D2" s="99"/>
      <c r="E2" s="99"/>
      <c r="F2" s="99"/>
      <c r="G2" s="99"/>
      <c r="H2" s="99"/>
      <c r="I2" s="99"/>
      <c r="J2" s="99"/>
      <c r="K2" s="99"/>
      <c r="L2" s="99"/>
      <c r="M2" s="99"/>
      <c r="N2" s="99"/>
      <c r="O2" s="99"/>
      <c r="P2" s="99"/>
      <c r="Q2" s="99"/>
      <c r="R2" s="99"/>
      <c r="S2" s="99"/>
      <c r="T2" s="99"/>
      <c r="U2" s="99"/>
      <c r="V2" s="99"/>
      <c r="W2" s="99"/>
      <c r="X2" s="99"/>
      <c r="Y2" s="99"/>
      <c r="Z2" s="99"/>
      <c r="AA2" s="99"/>
      <c r="AB2" s="99"/>
      <c r="AC2" s="99"/>
      <c r="AD2" s="99"/>
      <c r="AE2" s="99"/>
      <c r="AF2" s="99"/>
      <c r="AG2" s="99"/>
      <c r="AH2" s="99"/>
      <c r="AI2" s="99"/>
      <c r="AJ2" s="99"/>
      <c r="AK2" s="99"/>
      <c r="AL2" s="99"/>
      <c r="AM2" s="99"/>
      <c r="AN2" s="99"/>
      <c r="AO2" s="99"/>
      <c r="AP2" s="99"/>
      <c r="AQ2" s="99"/>
      <c r="AR2" s="99"/>
      <c r="AS2" s="99"/>
      <c r="AT2" s="99"/>
      <c r="AU2" s="99"/>
      <c r="AV2" s="99"/>
      <c r="AW2" s="99"/>
      <c r="AX2" s="99"/>
      <c r="AY2" s="99"/>
      <c r="AZ2" s="99"/>
      <c r="BA2" s="99">
        <v>2024</v>
      </c>
      <c r="BB2" s="99"/>
      <c r="BC2" s="99"/>
      <c r="BD2" s="99"/>
      <c r="BE2" s="99"/>
      <c r="BF2" s="99"/>
      <c r="BG2" s="99"/>
      <c r="BH2" s="99"/>
      <c r="BI2" s="99"/>
      <c r="BJ2" s="99"/>
      <c r="BK2" s="99"/>
      <c r="BL2" s="99"/>
      <c r="BM2" s="99"/>
      <c r="BN2" s="99"/>
      <c r="BO2" s="99"/>
      <c r="BP2" s="99"/>
      <c r="BQ2" s="99"/>
      <c r="BR2" s="99"/>
      <c r="BS2" s="99"/>
      <c r="BT2" s="99"/>
      <c r="BU2" s="99"/>
      <c r="BV2" s="99"/>
      <c r="BW2" s="99"/>
      <c r="BX2" s="99"/>
      <c r="BY2" s="99"/>
      <c r="BZ2" s="99"/>
      <c r="CA2" s="99"/>
      <c r="CB2" s="99"/>
      <c r="CC2" s="99"/>
      <c r="CD2" s="99"/>
      <c r="CE2" s="99"/>
      <c r="CF2" s="99"/>
      <c r="CG2" s="99"/>
      <c r="CH2" s="99"/>
      <c r="CI2" s="99"/>
      <c r="CJ2" s="99"/>
      <c r="CK2" s="99"/>
      <c r="CL2" s="99"/>
      <c r="CM2" s="99"/>
      <c r="CN2" s="99"/>
      <c r="CO2" s="99"/>
      <c r="CP2" s="99"/>
      <c r="CQ2" s="99"/>
      <c r="CR2" s="99"/>
      <c r="CS2" s="99"/>
      <c r="CT2" s="99"/>
      <c r="CU2" s="99"/>
      <c r="CV2" s="99"/>
      <c r="CW2" s="99"/>
      <c r="CX2" s="99">
        <v>2025</v>
      </c>
      <c r="CY2" s="99"/>
      <c r="CZ2" s="99"/>
      <c r="DA2" s="99"/>
      <c r="DB2" s="99"/>
      <c r="DC2" s="99"/>
      <c r="DD2" s="99"/>
      <c r="DE2" s="99"/>
      <c r="DF2" s="99"/>
      <c r="DG2" s="99"/>
      <c r="DH2" s="99"/>
      <c r="DI2" s="99"/>
      <c r="DJ2" s="99"/>
      <c r="DK2" s="99"/>
      <c r="DL2" s="99"/>
      <c r="DM2" s="99"/>
      <c r="DN2" s="99"/>
      <c r="DO2" s="99"/>
      <c r="DP2" s="99"/>
      <c r="DQ2" s="99"/>
      <c r="DR2" s="99"/>
      <c r="DS2" s="99"/>
      <c r="DT2" s="99"/>
      <c r="DU2" s="99"/>
      <c r="EW2">
        <v>2026</v>
      </c>
    </row>
    <row r="3" spans="1:188">
      <c r="B3" s="1">
        <v>1</v>
      </c>
      <c r="C3" s="1">
        <v>2</v>
      </c>
      <c r="D3" s="1">
        <v>3</v>
      </c>
      <c r="E3" s="1">
        <v>5</v>
      </c>
      <c r="F3" s="1">
        <v>6</v>
      </c>
      <c r="G3" s="1">
        <v>7</v>
      </c>
      <c r="H3" s="1">
        <v>8</v>
      </c>
      <c r="I3" s="1">
        <v>9</v>
      </c>
      <c r="J3" s="1">
        <v>10</v>
      </c>
      <c r="K3" s="1">
        <v>11</v>
      </c>
      <c r="L3" s="1">
        <v>12</v>
      </c>
      <c r="M3" s="1">
        <v>13</v>
      </c>
      <c r="N3" s="1">
        <v>14</v>
      </c>
      <c r="O3" s="1">
        <v>15</v>
      </c>
      <c r="P3" s="1">
        <v>16</v>
      </c>
      <c r="Q3" s="1">
        <v>17</v>
      </c>
      <c r="R3" s="1">
        <v>18</v>
      </c>
      <c r="S3" s="1">
        <v>19</v>
      </c>
      <c r="T3" s="1">
        <v>20</v>
      </c>
      <c r="U3" s="1">
        <v>21</v>
      </c>
      <c r="V3" s="1">
        <v>22</v>
      </c>
      <c r="W3" s="1">
        <v>23</v>
      </c>
      <c r="X3" s="1">
        <v>24</v>
      </c>
      <c r="Y3" s="1">
        <v>25</v>
      </c>
      <c r="Z3" s="1">
        <v>26</v>
      </c>
      <c r="AA3" s="1">
        <v>27</v>
      </c>
      <c r="AB3" s="1">
        <v>28</v>
      </c>
      <c r="AC3" s="1">
        <v>29</v>
      </c>
      <c r="AD3" s="1">
        <v>30</v>
      </c>
      <c r="AE3" s="1">
        <v>31</v>
      </c>
      <c r="AF3" s="1">
        <v>32</v>
      </c>
      <c r="AG3" s="1">
        <v>33</v>
      </c>
      <c r="AH3" s="1">
        <v>34</v>
      </c>
      <c r="AI3" s="1">
        <v>35</v>
      </c>
      <c r="AJ3" s="1">
        <v>36</v>
      </c>
      <c r="AK3" s="1">
        <v>37</v>
      </c>
      <c r="AL3" s="1">
        <v>38</v>
      </c>
      <c r="AM3" s="1">
        <v>39</v>
      </c>
      <c r="AN3" s="1">
        <v>40</v>
      </c>
      <c r="AO3" s="1">
        <v>41</v>
      </c>
      <c r="AP3" s="1">
        <v>42</v>
      </c>
      <c r="AQ3" s="1">
        <v>43</v>
      </c>
      <c r="AR3" s="1">
        <v>44</v>
      </c>
      <c r="AS3" s="1">
        <v>45</v>
      </c>
      <c r="AT3" s="1">
        <v>46</v>
      </c>
      <c r="AU3" s="1">
        <v>47</v>
      </c>
      <c r="AV3" s="1">
        <v>48</v>
      </c>
      <c r="AW3" s="1">
        <v>49</v>
      </c>
      <c r="AX3" s="1">
        <v>50</v>
      </c>
      <c r="AY3" s="1">
        <v>51</v>
      </c>
      <c r="AZ3" s="1">
        <v>52</v>
      </c>
      <c r="BA3" s="1">
        <v>1</v>
      </c>
      <c r="BB3">
        <v>2</v>
      </c>
      <c r="BC3">
        <v>3</v>
      </c>
      <c r="BD3">
        <v>4</v>
      </c>
      <c r="BE3">
        <v>5</v>
      </c>
      <c r="BF3">
        <v>6</v>
      </c>
      <c r="BG3">
        <v>8</v>
      </c>
      <c r="BH3">
        <v>9</v>
      </c>
      <c r="BI3">
        <v>10</v>
      </c>
      <c r="BJ3">
        <v>11</v>
      </c>
      <c r="BK3">
        <v>12</v>
      </c>
      <c r="BL3">
        <v>13</v>
      </c>
      <c r="BM3">
        <v>14</v>
      </c>
      <c r="BN3">
        <v>15</v>
      </c>
      <c r="BO3">
        <v>16</v>
      </c>
      <c r="BP3">
        <v>17</v>
      </c>
      <c r="BQ3">
        <v>19</v>
      </c>
      <c r="BR3">
        <v>20</v>
      </c>
      <c r="BS3">
        <v>21</v>
      </c>
      <c r="BT3">
        <v>22</v>
      </c>
      <c r="BU3">
        <v>23</v>
      </c>
      <c r="BV3">
        <v>24</v>
      </c>
      <c r="BW3">
        <v>25</v>
      </c>
      <c r="BX3">
        <v>26</v>
      </c>
      <c r="BY3">
        <v>27</v>
      </c>
      <c r="BZ3">
        <v>28</v>
      </c>
      <c r="CA3">
        <v>29</v>
      </c>
      <c r="CB3">
        <v>30</v>
      </c>
      <c r="CC3">
        <v>31</v>
      </c>
      <c r="CD3">
        <v>32</v>
      </c>
      <c r="CE3">
        <v>33</v>
      </c>
      <c r="CF3">
        <v>34</v>
      </c>
      <c r="CG3">
        <v>35</v>
      </c>
      <c r="CH3">
        <v>36</v>
      </c>
      <c r="CI3">
        <v>37</v>
      </c>
      <c r="CJ3">
        <v>38</v>
      </c>
      <c r="CK3">
        <v>39</v>
      </c>
      <c r="CL3">
        <v>41</v>
      </c>
      <c r="CM3">
        <v>42</v>
      </c>
      <c r="CN3">
        <v>43</v>
      </c>
      <c r="CO3">
        <v>44</v>
      </c>
      <c r="CP3">
        <v>45</v>
      </c>
      <c r="CQ3">
        <v>46</v>
      </c>
      <c r="CR3">
        <v>47</v>
      </c>
      <c r="CS3">
        <v>48</v>
      </c>
      <c r="CT3">
        <v>49</v>
      </c>
      <c r="CU3">
        <v>50</v>
      </c>
      <c r="CV3">
        <v>51</v>
      </c>
      <c r="CW3">
        <v>52</v>
      </c>
      <c r="CX3">
        <v>1</v>
      </c>
      <c r="CY3">
        <v>2</v>
      </c>
      <c r="CZ3">
        <v>3</v>
      </c>
      <c r="DA3">
        <v>4</v>
      </c>
      <c r="DB3">
        <v>6</v>
      </c>
      <c r="DC3">
        <v>7</v>
      </c>
      <c r="DD3">
        <v>8</v>
      </c>
      <c r="DE3">
        <v>9</v>
      </c>
      <c r="DF3">
        <v>10</v>
      </c>
      <c r="DG3">
        <v>11</v>
      </c>
      <c r="DH3">
        <v>12</v>
      </c>
      <c r="DI3">
        <v>13</v>
      </c>
      <c r="DJ3">
        <v>14</v>
      </c>
      <c r="DK3">
        <v>15</v>
      </c>
      <c r="DL3">
        <v>16</v>
      </c>
      <c r="DM3">
        <v>17</v>
      </c>
      <c r="DN3">
        <v>18</v>
      </c>
      <c r="DO3">
        <v>19</v>
      </c>
      <c r="DP3">
        <v>20</v>
      </c>
      <c r="DQ3">
        <v>21</v>
      </c>
      <c r="DR3">
        <v>22</v>
      </c>
      <c r="DS3">
        <v>23</v>
      </c>
      <c r="DT3">
        <v>24</v>
      </c>
      <c r="DU3">
        <v>25</v>
      </c>
      <c r="DV3">
        <v>26</v>
      </c>
      <c r="DW3">
        <v>27</v>
      </c>
      <c r="DX3">
        <v>28</v>
      </c>
      <c r="DY3">
        <v>29</v>
      </c>
      <c r="DZ3">
        <v>30</v>
      </c>
      <c r="EA3">
        <v>31</v>
      </c>
      <c r="EB3">
        <v>32</v>
      </c>
      <c r="EC3">
        <v>33</v>
      </c>
      <c r="ED3">
        <v>34</v>
      </c>
      <c r="EE3">
        <v>35</v>
      </c>
      <c r="EF3">
        <v>36</v>
      </c>
      <c r="EG3">
        <v>37</v>
      </c>
      <c r="EH3">
        <v>38</v>
      </c>
      <c r="EI3">
        <v>39</v>
      </c>
      <c r="EJ3">
        <v>41</v>
      </c>
      <c r="EK3">
        <v>42</v>
      </c>
      <c r="EL3">
        <v>43</v>
      </c>
      <c r="EM3">
        <v>44</v>
      </c>
      <c r="EN3">
        <v>45</v>
      </c>
      <c r="EO3">
        <v>46</v>
      </c>
      <c r="EP3">
        <v>47</v>
      </c>
      <c r="EQ3">
        <v>48</v>
      </c>
      <c r="ER3">
        <v>49</v>
      </c>
      <c r="ES3">
        <v>50</v>
      </c>
      <c r="ET3">
        <v>51</v>
      </c>
      <c r="EU3">
        <v>52</v>
      </c>
      <c r="EV3" t="s">
        <v>192</v>
      </c>
      <c r="EW3">
        <v>1</v>
      </c>
      <c r="EX3">
        <v>2</v>
      </c>
      <c r="EY3">
        <v>3</v>
      </c>
      <c r="EZ3">
        <v>4</v>
      </c>
      <c r="FA3">
        <v>5</v>
      </c>
      <c r="FB3">
        <v>6</v>
      </c>
      <c r="FC3">
        <v>8</v>
      </c>
      <c r="FD3">
        <v>9</v>
      </c>
      <c r="FE3">
        <v>10</v>
      </c>
      <c r="FF3">
        <v>11</v>
      </c>
      <c r="FG3">
        <v>12</v>
      </c>
      <c r="FH3">
        <v>13</v>
      </c>
      <c r="FI3">
        <v>14</v>
      </c>
      <c r="FJ3">
        <v>15</v>
      </c>
      <c r="FK3">
        <v>16</v>
      </c>
      <c r="FL3">
        <v>17</v>
      </c>
      <c r="FM3">
        <v>18</v>
      </c>
      <c r="FN3">
        <v>19</v>
      </c>
      <c r="FO3">
        <v>20</v>
      </c>
      <c r="FP3">
        <v>21</v>
      </c>
      <c r="FQ3">
        <v>22</v>
      </c>
      <c r="FR3">
        <v>23</v>
      </c>
      <c r="FS3">
        <v>24</v>
      </c>
      <c r="FT3">
        <v>25</v>
      </c>
      <c r="FU3">
        <v>26</v>
      </c>
      <c r="FV3">
        <v>27</v>
      </c>
      <c r="FW3">
        <v>28</v>
      </c>
      <c r="FX3">
        <v>29</v>
      </c>
      <c r="FY3">
        <v>30</v>
      </c>
      <c r="FZ3">
        <v>31</v>
      </c>
      <c r="GA3">
        <v>32</v>
      </c>
      <c r="GB3">
        <v>33</v>
      </c>
      <c r="GC3">
        <v>34</v>
      </c>
      <c r="GD3">
        <v>35</v>
      </c>
      <c r="GE3">
        <v>36</v>
      </c>
      <c r="GF3">
        <v>37</v>
      </c>
    </row>
    <row r="4" spans="1:188">
      <c r="A4" t="s">
        <v>217</v>
      </c>
      <c r="B4">
        <v>1.83</v>
      </c>
      <c r="C4">
        <v>1.79</v>
      </c>
      <c r="D4">
        <v>1.79</v>
      </c>
      <c r="E4">
        <v>1.79</v>
      </c>
      <c r="F4">
        <v>1.79</v>
      </c>
      <c r="G4">
        <v>1.78</v>
      </c>
      <c r="H4">
        <v>1.78</v>
      </c>
      <c r="I4">
        <v>1.76</v>
      </c>
      <c r="J4">
        <v>1.76</v>
      </c>
      <c r="K4">
        <v>1.76</v>
      </c>
      <c r="L4">
        <v>1.74</v>
      </c>
      <c r="M4">
        <v>1.73</v>
      </c>
      <c r="N4">
        <v>1.73</v>
      </c>
      <c r="O4">
        <v>1.73</v>
      </c>
      <c r="P4">
        <v>1.73</v>
      </c>
      <c r="Q4">
        <v>1.71</v>
      </c>
      <c r="R4">
        <v>1.71</v>
      </c>
      <c r="S4">
        <v>1.68</v>
      </c>
      <c r="T4">
        <v>1.62</v>
      </c>
      <c r="U4">
        <v>1.62</v>
      </c>
      <c r="V4">
        <v>1.6</v>
      </c>
      <c r="W4">
        <v>1.57</v>
      </c>
      <c r="X4">
        <v>1.4</v>
      </c>
      <c r="Y4">
        <v>1.38</v>
      </c>
      <c r="Z4">
        <v>1.375</v>
      </c>
      <c r="AA4">
        <v>1.36</v>
      </c>
      <c r="AB4">
        <v>1.33</v>
      </c>
      <c r="AC4">
        <v>1.31</v>
      </c>
      <c r="AD4">
        <v>1.31</v>
      </c>
      <c r="AE4">
        <v>1.27</v>
      </c>
      <c r="AF4">
        <v>1.27</v>
      </c>
      <c r="AG4">
        <v>1.27</v>
      </c>
      <c r="AH4">
        <v>1.27</v>
      </c>
      <c r="AI4">
        <v>1.27</v>
      </c>
      <c r="AJ4">
        <v>1.27</v>
      </c>
      <c r="AK4">
        <v>1.2549999999999999</v>
      </c>
      <c r="AL4">
        <v>1.22</v>
      </c>
      <c r="AM4">
        <v>1.1599999999999999</v>
      </c>
      <c r="AN4">
        <v>1.1599999999999999</v>
      </c>
      <c r="AO4">
        <v>1.1299999999999999</v>
      </c>
      <c r="AP4">
        <v>1.1000000000000001</v>
      </c>
      <c r="AQ4">
        <v>1.08</v>
      </c>
      <c r="AR4">
        <v>1.02</v>
      </c>
      <c r="AS4">
        <v>1</v>
      </c>
      <c r="AT4">
        <v>1</v>
      </c>
      <c r="AU4">
        <v>0.98</v>
      </c>
      <c r="AV4">
        <v>0.98</v>
      </c>
      <c r="AW4">
        <v>0.93</v>
      </c>
      <c r="AX4">
        <v>0.92</v>
      </c>
      <c r="AY4">
        <v>0.88</v>
      </c>
      <c r="AZ4">
        <f>Sheet1!AY25</f>
        <v>0.87</v>
      </c>
      <c r="BA4">
        <f>Sheet1!AZ25</f>
        <v>0.87</v>
      </c>
      <c r="BB4">
        <f>Sheet1!BA25</f>
        <v>0.87</v>
      </c>
      <c r="BC4">
        <f>Sheet1!BB25</f>
        <v>0.86</v>
      </c>
      <c r="BD4">
        <f>Sheet1!BC25</f>
        <v>0.86</v>
      </c>
      <c r="BE4">
        <f>Sheet1!BD25</f>
        <v>0.86</v>
      </c>
      <c r="BF4">
        <f>Sheet1!BE25</f>
        <v>0.86</v>
      </c>
      <c r="BG4">
        <f>Sheet1!BF25</f>
        <v>0.86</v>
      </c>
      <c r="BH4">
        <f>Sheet1!BG25</f>
        <v>0.86</v>
      </c>
      <c r="BI4">
        <f>Sheet1!BH25</f>
        <v>0.86</v>
      </c>
      <c r="BJ4">
        <f>Sheet1!BI25</f>
        <v>0.86</v>
      </c>
      <c r="BK4">
        <f>Sheet1!BJ25</f>
        <v>0.86</v>
      </c>
      <c r="BL4">
        <f>Sheet1!BK25</f>
        <v>0.85</v>
      </c>
      <c r="BM4">
        <f>Sheet1!BL25</f>
        <v>0.85</v>
      </c>
      <c r="BN4">
        <f>Sheet1!BM25</f>
        <v>0.85</v>
      </c>
      <c r="BO4">
        <f>Sheet1!BN25</f>
        <v>0.85</v>
      </c>
      <c r="BP4">
        <f>Sheet1!BO25</f>
        <v>0.84</v>
      </c>
      <c r="BQ4">
        <f>Sheet1!BP25</f>
        <v>0.83</v>
      </c>
      <c r="BR4">
        <f>Sheet1!BQ25</f>
        <v>0.82</v>
      </c>
      <c r="BS4">
        <f>Sheet1!BR25</f>
        <v>0.8</v>
      </c>
      <c r="BT4">
        <f>Sheet1!BS25</f>
        <v>0.8</v>
      </c>
      <c r="BU4">
        <f>Sheet1!BT25</f>
        <v>0.8</v>
      </c>
      <c r="BV4">
        <f>Sheet1!BU25</f>
        <v>0.8</v>
      </c>
      <c r="BW4">
        <f>Sheet1!BV25</f>
        <v>0.78</v>
      </c>
      <c r="BX4">
        <f>Sheet1!BW25</f>
        <v>0.78</v>
      </c>
      <c r="BY4">
        <f>Sheet1!BX25</f>
        <v>0.75</v>
      </c>
      <c r="BZ4">
        <f>Sheet1!BY25</f>
        <v>0.74</v>
      </c>
      <c r="CA4">
        <f>Sheet1!BZ25</f>
        <v>0.74</v>
      </c>
      <c r="CB4">
        <f>Sheet1!CA25</f>
        <v>0.74</v>
      </c>
      <c r="CC4">
        <f>Sheet1!CB25</f>
        <v>0.74</v>
      </c>
      <c r="CD4">
        <f>Sheet1!CC25</f>
        <v>0.74</v>
      </c>
      <c r="CE4">
        <f>Sheet1!CD25</f>
        <v>0.74</v>
      </c>
      <c r="CF4">
        <f>Sheet1!CE25</f>
        <v>0.74</v>
      </c>
      <c r="CG4">
        <f>Sheet1!CF25</f>
        <v>0.74</v>
      </c>
      <c r="CH4">
        <f>Sheet1!CG25</f>
        <v>0.74</v>
      </c>
      <c r="CI4">
        <f>Sheet1!CH25</f>
        <v>0.74</v>
      </c>
      <c r="CJ4">
        <f>Sheet1!CJ25</f>
        <v>0.72</v>
      </c>
      <c r="CK4">
        <f>Sheet1!CK25</f>
        <v>0.68</v>
      </c>
      <c r="CL4">
        <f>Sheet1!CL25</f>
        <v>0.68</v>
      </c>
      <c r="CM4">
        <f>Sheet1!CM25</f>
        <v>0.68</v>
      </c>
      <c r="CN4">
        <f>Sheet1!CN25</f>
        <v>0.68</v>
      </c>
      <c r="CO4">
        <f>Sheet1!CO25</f>
        <v>0.68</v>
      </c>
      <c r="CP4">
        <f>Sheet1!CP25</f>
        <v>0.68</v>
      </c>
      <c r="CQ4">
        <f>Sheet1!CQ25</f>
        <v>0.68</v>
      </c>
      <c r="CR4">
        <f>Sheet1!CR25</f>
        <v>0.67</v>
      </c>
      <c r="CS4">
        <f>Sheet1!CS25</f>
        <v>0.67</v>
      </c>
      <c r="CT4">
        <f>Sheet1!CT25</f>
        <v>0.67</v>
      </c>
      <c r="CU4">
        <f>Sheet1!CU25</f>
        <v>0.67</v>
      </c>
      <c r="CV4">
        <f>Sheet1!CV25</f>
        <v>0.67</v>
      </c>
      <c r="CW4">
        <f>Sheet1!CW25</f>
        <v>0.67</v>
      </c>
      <c r="CX4">
        <f>Sheet1!CX25</f>
        <v>0.65</v>
      </c>
      <c r="CY4">
        <f>Sheet1!CY25</f>
        <v>0.65</v>
      </c>
      <c r="CZ4">
        <f>Sheet1!CZ25</f>
        <v>0.65</v>
      </c>
      <c r="DA4">
        <f>Sheet1!DA25</f>
        <v>0.65</v>
      </c>
      <c r="DB4">
        <f>Sheet1!DB25</f>
        <v>0.65</v>
      </c>
      <c r="DC4">
        <f>Sheet1!DC25</f>
        <v>0.65</v>
      </c>
      <c r="DD4">
        <f>Sheet1!DD25</f>
        <v>0.65</v>
      </c>
      <c r="DE4">
        <f>Sheet1!DE25</f>
        <v>0.65</v>
      </c>
      <c r="DF4">
        <f>Sheet1!DF25</f>
        <v>0.65</v>
      </c>
      <c r="DG4">
        <f>Sheet1!DG25</f>
        <v>0.65</v>
      </c>
      <c r="DH4">
        <f>Sheet1!DH25</f>
        <v>0.65</v>
      </c>
      <c r="DI4">
        <f>Sheet1!DI25</f>
        <v>0.65</v>
      </c>
      <c r="DJ4">
        <f>Sheet1!DJ25</f>
        <v>0.65</v>
      </c>
      <c r="DK4">
        <f>Sheet1!DK25</f>
        <v>0.65</v>
      </c>
      <c r="DL4">
        <f>Sheet1!DL25</f>
        <v>0.65</v>
      </c>
      <c r="DM4">
        <f>Sheet1!DM25</f>
        <v>0.65</v>
      </c>
      <c r="DN4">
        <f>Sheet1!DN25</f>
        <v>0.65</v>
      </c>
      <c r="DO4">
        <f>Sheet1!DO25</f>
        <v>0.65</v>
      </c>
      <c r="DP4">
        <f>Sheet1!DP25</f>
        <v>0.65</v>
      </c>
      <c r="DQ4">
        <f>Sheet1!DQ25</f>
        <v>0.65</v>
      </c>
      <c r="DR4">
        <f>Sheet1!DR25</f>
        <v>0.65</v>
      </c>
      <c r="DS4">
        <f>Sheet1!DS25</f>
        <v>0.65</v>
      </c>
      <c r="DT4">
        <f>Sheet1!DT25</f>
        <v>0.65</v>
      </c>
      <c r="DU4">
        <f>Sheet1!DU25</f>
        <v>0.65</v>
      </c>
      <c r="DV4">
        <f>Sheet1!DV25</f>
        <v>0.65</v>
      </c>
      <c r="DW4">
        <f>Sheet1!DW25</f>
        <v>0.65</v>
      </c>
      <c r="DX4">
        <f>Sheet1!DX25</f>
        <v>0.65</v>
      </c>
      <c r="DY4">
        <f>Sheet1!DY25</f>
        <v>0.65</v>
      </c>
      <c r="DZ4">
        <f>Sheet1!DZ25</f>
        <v>0.65</v>
      </c>
      <c r="EA4">
        <f>Sheet1!EA25</f>
        <v>0.65</v>
      </c>
      <c r="EB4">
        <f>Sheet1!EB25</f>
        <v>0.65</v>
      </c>
      <c r="EC4">
        <f>Sheet1!EC25</f>
        <v>0.65</v>
      </c>
      <c r="ED4">
        <f>Sheet1!ED25</f>
        <v>0.65</v>
      </c>
      <c r="EE4">
        <f>Sheet1!EE25</f>
        <v>0.65</v>
      </c>
      <c r="EF4">
        <f>Sheet1!EF25</f>
        <v>0.65</v>
      </c>
      <c r="EG4">
        <f>Sheet1!EG25</f>
        <v>0.65</v>
      </c>
      <c r="EH4">
        <f>Sheet1!EH25</f>
        <v>0.65</v>
      </c>
    </row>
    <row r="5" spans="1:188">
      <c r="A5" t="s">
        <v>218</v>
      </c>
      <c r="B5">
        <v>1.85</v>
      </c>
      <c r="C5">
        <v>1.81</v>
      </c>
      <c r="D5">
        <v>1.81</v>
      </c>
      <c r="E5">
        <v>1.81</v>
      </c>
      <c r="F5">
        <v>1.81</v>
      </c>
      <c r="G5">
        <v>1.8</v>
      </c>
      <c r="H5">
        <v>1.8</v>
      </c>
      <c r="I5">
        <v>1.78</v>
      </c>
      <c r="J5">
        <v>1.78</v>
      </c>
      <c r="K5">
        <v>1.78</v>
      </c>
      <c r="L5">
        <v>1.76</v>
      </c>
      <c r="M5">
        <v>1.75</v>
      </c>
      <c r="N5">
        <v>1.75</v>
      </c>
      <c r="O5">
        <v>1.75</v>
      </c>
      <c r="P5">
        <v>1.75</v>
      </c>
      <c r="Q5">
        <v>1.73</v>
      </c>
      <c r="R5">
        <v>1.73</v>
      </c>
      <c r="S5">
        <v>1.7</v>
      </c>
      <c r="T5">
        <v>1.65</v>
      </c>
      <c r="U5">
        <v>1.65</v>
      </c>
      <c r="V5">
        <v>1.62</v>
      </c>
      <c r="W5">
        <v>1.59</v>
      </c>
      <c r="X5">
        <v>1.42</v>
      </c>
      <c r="Y5">
        <v>1.4</v>
      </c>
      <c r="Z5">
        <v>1.395</v>
      </c>
      <c r="AA5">
        <v>1.39</v>
      </c>
      <c r="AB5">
        <v>1.355</v>
      </c>
      <c r="AC5">
        <v>1.33</v>
      </c>
      <c r="AD5">
        <v>1.33</v>
      </c>
      <c r="AE5">
        <v>1.28</v>
      </c>
      <c r="AF5">
        <v>1.28</v>
      </c>
      <c r="AG5">
        <v>1.28</v>
      </c>
      <c r="AH5">
        <v>1.28</v>
      </c>
      <c r="AI5">
        <v>1.28</v>
      </c>
      <c r="AJ5">
        <v>1.28</v>
      </c>
      <c r="AK5">
        <v>1.2649999999999999</v>
      </c>
      <c r="AL5">
        <v>1.24</v>
      </c>
      <c r="AM5">
        <v>1.18</v>
      </c>
      <c r="AN5">
        <v>1.18</v>
      </c>
      <c r="AO5">
        <v>1.1499999999999999</v>
      </c>
      <c r="AP5">
        <v>1.1200000000000001</v>
      </c>
      <c r="AQ5">
        <v>1.1000000000000001</v>
      </c>
      <c r="AR5">
        <v>1.05</v>
      </c>
      <c r="AS5">
        <v>1.04</v>
      </c>
      <c r="AT5">
        <v>1.04</v>
      </c>
      <c r="AU5">
        <v>1.03</v>
      </c>
      <c r="AV5">
        <v>1.03</v>
      </c>
      <c r="AW5">
        <v>0.95</v>
      </c>
      <c r="AX5">
        <v>0.94</v>
      </c>
      <c r="AY5">
        <v>0.92</v>
      </c>
      <c r="AZ5">
        <f>Sheet1!AY26</f>
        <v>0.91</v>
      </c>
      <c r="BA5">
        <f>Sheet1!AZ26</f>
        <v>0.91</v>
      </c>
      <c r="BB5">
        <f>Sheet1!BA26</f>
        <v>0.91</v>
      </c>
      <c r="BC5">
        <f>Sheet1!BB26</f>
        <v>0.89</v>
      </c>
      <c r="BD5">
        <f>Sheet1!BC26</f>
        <v>0.89</v>
      </c>
      <c r="BE5">
        <f>Sheet1!BD26</f>
        <v>0.89</v>
      </c>
      <c r="BF5">
        <f>Sheet1!BE26</f>
        <v>0.89</v>
      </c>
      <c r="BG5">
        <f>Sheet1!BF26</f>
        <v>0.89</v>
      </c>
      <c r="BH5">
        <f>Sheet1!BG26</f>
        <v>0.89</v>
      </c>
      <c r="BI5">
        <f>Sheet1!BH26</f>
        <v>0.89</v>
      </c>
      <c r="BJ5">
        <f>Sheet1!BI26</f>
        <v>0.89</v>
      </c>
      <c r="BK5">
        <f>Sheet1!BJ26</f>
        <v>0.89</v>
      </c>
      <c r="BL5">
        <f>Sheet1!BK26</f>
        <v>0.88</v>
      </c>
      <c r="BM5">
        <f>Sheet1!BL26</f>
        <v>0.88</v>
      </c>
      <c r="BN5">
        <f>Sheet1!BM26</f>
        <v>0.88</v>
      </c>
      <c r="BO5">
        <f>Sheet1!BN26</f>
        <v>0.88</v>
      </c>
      <c r="BP5">
        <f>Sheet1!BO26</f>
        <v>0.87</v>
      </c>
      <c r="BQ5">
        <f>Sheet1!BP26</f>
        <v>0.86</v>
      </c>
      <c r="BR5">
        <f>Sheet1!BQ26</f>
        <v>0.85</v>
      </c>
      <c r="BS5">
        <f>Sheet1!BR26</f>
        <v>0.82</v>
      </c>
      <c r="BT5">
        <f>Sheet1!BS26</f>
        <v>0.82</v>
      </c>
      <c r="BU5">
        <f>Sheet1!BT26</f>
        <v>0.82</v>
      </c>
      <c r="BV5">
        <f>Sheet1!BU26</f>
        <v>0.82</v>
      </c>
      <c r="BW5">
        <f>Sheet1!BV26</f>
        <v>0.8</v>
      </c>
      <c r="BX5">
        <f>Sheet1!BW26</f>
        <v>0.8</v>
      </c>
      <c r="BY5">
        <f>Sheet1!BX26</f>
        <v>0.8</v>
      </c>
      <c r="BZ5">
        <f>Sheet1!BY26</f>
        <v>0.78</v>
      </c>
      <c r="CA5">
        <f>Sheet1!BZ26</f>
        <v>0.78</v>
      </c>
      <c r="CB5">
        <f>Sheet1!CA26</f>
        <v>0.78</v>
      </c>
      <c r="CC5">
        <f>Sheet1!CB26</f>
        <v>0.78</v>
      </c>
      <c r="CD5">
        <f>Sheet1!CC26</f>
        <v>0.78</v>
      </c>
      <c r="CE5">
        <f>Sheet1!CD26</f>
        <v>0.78</v>
      </c>
      <c r="CF5">
        <f>Sheet1!CE26</f>
        <v>0.78</v>
      </c>
      <c r="CG5">
        <f>Sheet1!CF26</f>
        <v>0.78</v>
      </c>
      <c r="CH5">
        <f>Sheet1!CG26</f>
        <v>0.78</v>
      </c>
      <c r="CI5">
        <f>Sheet1!CH26</f>
        <v>0.76</v>
      </c>
      <c r="CJ5">
        <f>Sheet1!CJ26</f>
        <v>0.74</v>
      </c>
      <c r="CK5">
        <f>Sheet1!CK26</f>
        <v>0.71</v>
      </c>
      <c r="CL5">
        <f>Sheet1!CL26</f>
        <v>0.71</v>
      </c>
      <c r="CM5">
        <f>Sheet1!CM26</f>
        <v>0.71</v>
      </c>
      <c r="CN5">
        <f>Sheet1!CN26</f>
        <v>0.69</v>
      </c>
      <c r="CO5">
        <f>Sheet1!CO26</f>
        <v>0.68</v>
      </c>
      <c r="CP5">
        <f>Sheet1!CP26</f>
        <v>0.68</v>
      </c>
      <c r="CQ5">
        <f>Sheet1!CQ26</f>
        <v>0.68</v>
      </c>
      <c r="CR5">
        <f>Sheet1!CR26</f>
        <v>0.67</v>
      </c>
      <c r="CS5">
        <f>Sheet1!CS26</f>
        <v>0.67</v>
      </c>
      <c r="CT5">
        <f>Sheet1!CT26</f>
        <v>0.67</v>
      </c>
      <c r="CU5">
        <f>Sheet1!CU26</f>
        <v>0.67</v>
      </c>
      <c r="CV5">
        <f>Sheet1!CV26</f>
        <v>0.67</v>
      </c>
      <c r="CW5">
        <f>Sheet1!CW26</f>
        <v>0.67</v>
      </c>
      <c r="CX5">
        <f>Sheet1!CX26</f>
        <v>0.66500000000000004</v>
      </c>
      <c r="CY5">
        <f>Sheet1!CY26</f>
        <v>0.66500000000000004</v>
      </c>
      <c r="CZ5">
        <f>Sheet1!CZ26</f>
        <v>0.66500000000000004</v>
      </c>
      <c r="DA5">
        <f>Sheet1!DA26</f>
        <v>0.66500000000000004</v>
      </c>
      <c r="DB5">
        <f>Sheet1!DB26</f>
        <v>0.66500000000000004</v>
      </c>
      <c r="DC5">
        <f>Sheet1!DC26</f>
        <v>0.66500000000000004</v>
      </c>
      <c r="DD5">
        <f>Sheet1!DD26</f>
        <v>0.66500000000000004</v>
      </c>
      <c r="DE5">
        <f>Sheet1!DE26</f>
        <v>0.66500000000000004</v>
      </c>
      <c r="DF5">
        <f>Sheet1!DF26</f>
        <v>0.66500000000000004</v>
      </c>
      <c r="DG5">
        <f>Sheet1!DG26</f>
        <v>0.66500000000000004</v>
      </c>
      <c r="DH5">
        <f>Sheet1!DH26</f>
        <v>0.66500000000000004</v>
      </c>
      <c r="DI5">
        <f>Sheet1!DI26</f>
        <v>0.66500000000000004</v>
      </c>
      <c r="DJ5">
        <f>Sheet1!DJ26</f>
        <v>0.66500000000000004</v>
      </c>
      <c r="DK5">
        <f>Sheet1!DK26</f>
        <v>0.66500000000000004</v>
      </c>
      <c r="DL5">
        <f>Sheet1!DL26</f>
        <v>0.66500000000000004</v>
      </c>
      <c r="DM5">
        <f>Sheet1!DM26</f>
        <v>0.66500000000000004</v>
      </c>
      <c r="DN5">
        <f>Sheet1!DN26</f>
        <v>0.66500000000000004</v>
      </c>
      <c r="DO5">
        <f>Sheet1!DO26</f>
        <v>0.66500000000000004</v>
      </c>
      <c r="DP5">
        <f>Sheet1!DP26</f>
        <v>0.66500000000000004</v>
      </c>
      <c r="DQ5">
        <f>Sheet1!DQ26</f>
        <v>0.66500000000000004</v>
      </c>
      <c r="DR5">
        <f>Sheet1!DR26</f>
        <v>0.66500000000000004</v>
      </c>
      <c r="DS5">
        <f>Sheet1!DS26</f>
        <v>0.66500000000000004</v>
      </c>
      <c r="DT5">
        <f>Sheet1!DT26</f>
        <v>0.66500000000000004</v>
      </c>
      <c r="DU5">
        <f>Sheet1!DU26</f>
        <v>0.66500000000000004</v>
      </c>
      <c r="DV5">
        <f>Sheet1!DV26</f>
        <v>0.66500000000000004</v>
      </c>
      <c r="DW5">
        <f>Sheet1!DW26</f>
        <v>0.66500000000000004</v>
      </c>
      <c r="DX5">
        <f>Sheet1!DX26</f>
        <v>0.66500000000000004</v>
      </c>
      <c r="DY5">
        <f>Sheet1!DY26</f>
        <v>0.66500000000000004</v>
      </c>
      <c r="DZ5">
        <f>Sheet1!DZ26</f>
        <v>0.66500000000000004</v>
      </c>
      <c r="EA5">
        <f>Sheet1!EA26</f>
        <v>0.66500000000000004</v>
      </c>
      <c r="EB5">
        <f>Sheet1!EB26</f>
        <v>0.66500000000000004</v>
      </c>
      <c r="EC5">
        <f>Sheet1!EC26</f>
        <v>0.66500000000000004</v>
      </c>
      <c r="ED5">
        <f>Sheet1!ED26</f>
        <v>0.66500000000000004</v>
      </c>
      <c r="EE5">
        <f>Sheet1!EE26</f>
        <v>0.66500000000000004</v>
      </c>
      <c r="EF5">
        <f>Sheet1!EF26</f>
        <v>0.66500000000000004</v>
      </c>
      <c r="EG5">
        <f>Sheet1!EG26</f>
        <v>0.66500000000000004</v>
      </c>
      <c r="EH5">
        <f>Sheet1!EH26</f>
        <v>0.66500000000000004</v>
      </c>
    </row>
    <row r="6" spans="1:188">
      <c r="A6" t="s">
        <v>219</v>
      </c>
      <c r="B6">
        <v>1.85</v>
      </c>
      <c r="C6">
        <v>1.81</v>
      </c>
      <c r="D6">
        <v>1.81</v>
      </c>
      <c r="E6">
        <v>1.81</v>
      </c>
      <c r="F6">
        <v>1.81</v>
      </c>
      <c r="G6">
        <v>1.8</v>
      </c>
      <c r="H6">
        <v>1.8</v>
      </c>
      <c r="I6">
        <v>1.78</v>
      </c>
      <c r="J6">
        <v>1.78</v>
      </c>
      <c r="K6">
        <v>1.78</v>
      </c>
      <c r="L6">
        <v>1.76</v>
      </c>
      <c r="M6">
        <v>1.75</v>
      </c>
      <c r="N6">
        <v>1.75</v>
      </c>
      <c r="O6">
        <v>1.75</v>
      </c>
      <c r="P6">
        <v>1.75</v>
      </c>
      <c r="Q6">
        <v>1.73</v>
      </c>
      <c r="R6">
        <v>1.73</v>
      </c>
      <c r="S6">
        <v>1.7</v>
      </c>
      <c r="T6">
        <v>1.66</v>
      </c>
      <c r="U6">
        <v>1.66</v>
      </c>
      <c r="V6">
        <v>1.63</v>
      </c>
      <c r="W6">
        <v>1.61</v>
      </c>
      <c r="X6">
        <v>1.44</v>
      </c>
      <c r="Y6">
        <v>1.42</v>
      </c>
      <c r="Z6">
        <v>1.415</v>
      </c>
      <c r="AA6">
        <v>1.41</v>
      </c>
      <c r="AB6">
        <v>1.36</v>
      </c>
      <c r="AC6">
        <v>1.33</v>
      </c>
      <c r="AD6">
        <v>1.33</v>
      </c>
      <c r="AE6">
        <v>1.28</v>
      </c>
      <c r="AF6">
        <v>1.28</v>
      </c>
      <c r="AG6">
        <v>1.28</v>
      </c>
      <c r="AH6">
        <v>1.28</v>
      </c>
      <c r="AI6">
        <v>1.28</v>
      </c>
      <c r="AJ6">
        <v>1.28</v>
      </c>
      <c r="AK6">
        <v>1.2649999999999999</v>
      </c>
      <c r="AL6">
        <v>1.24</v>
      </c>
      <c r="AM6">
        <v>1.18</v>
      </c>
      <c r="AN6">
        <v>1.18</v>
      </c>
      <c r="AO6">
        <v>1.1499999999999999</v>
      </c>
      <c r="AP6">
        <v>1.1399999999999999</v>
      </c>
      <c r="AQ6">
        <v>1.1200000000000001</v>
      </c>
      <c r="AR6">
        <v>1.05</v>
      </c>
      <c r="AS6">
        <v>1.04</v>
      </c>
      <c r="AT6">
        <v>1.1299999999999999</v>
      </c>
      <c r="AU6">
        <v>1.1299999999999999</v>
      </c>
      <c r="AV6">
        <v>1.1299999999999999</v>
      </c>
      <c r="AW6">
        <v>0.98</v>
      </c>
      <c r="AX6">
        <v>0.96</v>
      </c>
      <c r="AY6">
        <v>0.94</v>
      </c>
      <c r="AZ6">
        <f>Sheet1!AY27</f>
        <v>0.93</v>
      </c>
      <c r="BA6">
        <f>Sheet1!AZ27</f>
        <v>0.93</v>
      </c>
      <c r="BB6">
        <f>Sheet1!BA27</f>
        <v>0.93</v>
      </c>
      <c r="BC6">
        <f>Sheet1!BB27</f>
        <v>0.92</v>
      </c>
      <c r="BD6">
        <f>Sheet1!BC27</f>
        <v>0.92</v>
      </c>
      <c r="BE6">
        <f>Sheet1!BD27</f>
        <v>0.92</v>
      </c>
      <c r="BF6">
        <f>Sheet1!BE27</f>
        <v>0.92</v>
      </c>
      <c r="BG6">
        <f>Sheet1!BF27</f>
        <v>0.92</v>
      </c>
      <c r="BH6">
        <f>Sheet1!BG27</f>
        <v>0.92</v>
      </c>
      <c r="BI6">
        <f>Sheet1!BH27</f>
        <v>0.92</v>
      </c>
      <c r="BJ6">
        <f>Sheet1!BI27</f>
        <v>0.92</v>
      </c>
      <c r="BK6">
        <f>Sheet1!BJ27</f>
        <v>0.92</v>
      </c>
      <c r="BL6">
        <f>Sheet1!BK27</f>
        <v>0.9</v>
      </c>
      <c r="BM6">
        <f>Sheet1!BL27</f>
        <v>0.9</v>
      </c>
      <c r="BN6">
        <f>Sheet1!BM27</f>
        <v>0.9</v>
      </c>
      <c r="BO6">
        <f>Sheet1!BN27</f>
        <v>0.9</v>
      </c>
      <c r="BP6">
        <f>Sheet1!BO27</f>
        <v>0.88</v>
      </c>
      <c r="BQ6">
        <f>Sheet1!BP27</f>
        <v>0.87</v>
      </c>
      <c r="BR6">
        <f>Sheet1!BQ27</f>
        <v>0.86</v>
      </c>
      <c r="BS6">
        <f>Sheet1!BR27</f>
        <v>0.83</v>
      </c>
      <c r="BT6">
        <f>Sheet1!BS27</f>
        <v>0.83</v>
      </c>
      <c r="BU6">
        <f>Sheet1!BT27</f>
        <v>0.83</v>
      </c>
      <c r="BV6">
        <f>Sheet1!BU27</f>
        <v>0.83</v>
      </c>
      <c r="BW6">
        <f>Sheet1!BV27</f>
        <v>0.82</v>
      </c>
      <c r="BX6">
        <f>Sheet1!BW27</f>
        <v>0.82</v>
      </c>
      <c r="BY6">
        <f>Sheet1!BX27</f>
        <v>0.82</v>
      </c>
      <c r="BZ6">
        <f>Sheet1!BY27</f>
        <v>0.8</v>
      </c>
      <c r="CA6">
        <f>Sheet1!BZ27</f>
        <v>0.8</v>
      </c>
      <c r="CB6">
        <f>Sheet1!CA27</f>
        <v>0.8</v>
      </c>
      <c r="CC6">
        <f>Sheet1!CB27</f>
        <v>0.79</v>
      </c>
      <c r="CD6">
        <f>Sheet1!CC27</f>
        <v>0.79</v>
      </c>
      <c r="CE6">
        <f>Sheet1!CD27</f>
        <v>0.79</v>
      </c>
      <c r="CF6">
        <f>Sheet1!CE27</f>
        <v>0.79</v>
      </c>
      <c r="CG6">
        <f>Sheet1!CF27</f>
        <v>0.79</v>
      </c>
      <c r="CH6">
        <f>Sheet1!CG27</f>
        <v>0.79</v>
      </c>
      <c r="CI6">
        <f>Sheet1!CH27</f>
        <v>0.78</v>
      </c>
      <c r="CJ6">
        <f>Sheet1!CJ27</f>
        <v>0.75</v>
      </c>
      <c r="CK6">
        <f>Sheet1!CK27</f>
        <v>0.72</v>
      </c>
      <c r="CL6">
        <f>Sheet1!CL27</f>
        <v>0.72</v>
      </c>
      <c r="CM6">
        <f>Sheet1!CM27</f>
        <v>0.72</v>
      </c>
      <c r="CN6">
        <f>Sheet1!CN27</f>
        <v>0.7</v>
      </c>
      <c r="CO6">
        <f>Sheet1!CO27</f>
        <v>0.69</v>
      </c>
      <c r="CP6">
        <f>Sheet1!CP27</f>
        <v>0.69</v>
      </c>
      <c r="CQ6">
        <f>Sheet1!CQ27</f>
        <v>0.69</v>
      </c>
      <c r="CR6">
        <f>Sheet1!CR27</f>
        <v>0.68</v>
      </c>
      <c r="CS6">
        <f>Sheet1!CS27</f>
        <v>0.68</v>
      </c>
      <c r="CT6">
        <f>Sheet1!CT27</f>
        <v>0.68</v>
      </c>
      <c r="CU6">
        <f>Sheet1!CU27</f>
        <v>0.68</v>
      </c>
      <c r="CV6">
        <f>Sheet1!CV27</f>
        <v>0.68</v>
      </c>
      <c r="CW6">
        <f>Sheet1!CW27</f>
        <v>0.68</v>
      </c>
      <c r="CX6">
        <f>Sheet1!CX27</f>
        <v>0.67</v>
      </c>
      <c r="CY6">
        <f>Sheet1!CY27</f>
        <v>0.67</v>
      </c>
      <c r="CZ6">
        <f>Sheet1!CZ27</f>
        <v>0.67</v>
      </c>
      <c r="DA6">
        <f>Sheet1!DA27</f>
        <v>0.67</v>
      </c>
      <c r="DB6">
        <f>Sheet1!DB27</f>
        <v>0.67</v>
      </c>
      <c r="DC6">
        <f>Sheet1!DC27</f>
        <v>0.67</v>
      </c>
      <c r="DD6">
        <f>Sheet1!DD27</f>
        <v>0.67</v>
      </c>
      <c r="DE6">
        <f>Sheet1!DE27</f>
        <v>0.67</v>
      </c>
      <c r="DF6">
        <f>Sheet1!DF27</f>
        <v>0.67</v>
      </c>
      <c r="DG6">
        <f>Sheet1!DG27</f>
        <v>0.67</v>
      </c>
      <c r="DH6">
        <f>Sheet1!DH27</f>
        <v>0.67</v>
      </c>
      <c r="DI6">
        <f>Sheet1!DI27</f>
        <v>0.67</v>
      </c>
      <c r="DJ6">
        <f>Sheet1!DJ27</f>
        <v>0.67</v>
      </c>
      <c r="DK6">
        <f>Sheet1!DK27</f>
        <v>0.67</v>
      </c>
      <c r="DL6">
        <f>Sheet1!DL27</f>
        <v>0.67</v>
      </c>
      <c r="DM6">
        <f>Sheet1!DM27</f>
        <v>0.67</v>
      </c>
      <c r="DN6">
        <f>Sheet1!DN27</f>
        <v>0.67</v>
      </c>
      <c r="DO6">
        <f>Sheet1!DO27</f>
        <v>0.67</v>
      </c>
      <c r="DP6">
        <f>Sheet1!DP27</f>
        <v>0.67</v>
      </c>
      <c r="DQ6">
        <f>Sheet1!DQ27</f>
        <v>0.67</v>
      </c>
      <c r="DR6">
        <f>Sheet1!DR27</f>
        <v>0.67</v>
      </c>
      <c r="DS6">
        <f>Sheet1!DS27</f>
        <v>0.67</v>
      </c>
      <c r="DT6">
        <f>Sheet1!DT27</f>
        <v>0.67</v>
      </c>
      <c r="DU6">
        <f>Sheet1!DU27</f>
        <v>0.67</v>
      </c>
      <c r="DV6">
        <f>Sheet1!DV27</f>
        <v>0.67</v>
      </c>
      <c r="DW6">
        <f>Sheet1!DW27</f>
        <v>0.67</v>
      </c>
      <c r="DX6">
        <f>Sheet1!DX27</f>
        <v>0.67</v>
      </c>
      <c r="DY6">
        <f>Sheet1!DY27</f>
        <v>0.67</v>
      </c>
      <c r="DZ6">
        <f>Sheet1!DZ27</f>
        <v>0.67</v>
      </c>
      <c r="EA6">
        <f>Sheet1!EA27</f>
        <v>0.67</v>
      </c>
      <c r="EB6">
        <f>Sheet1!EB27</f>
        <v>0.67</v>
      </c>
      <c r="EC6">
        <f>Sheet1!EC27</f>
        <v>0.67</v>
      </c>
      <c r="ED6">
        <f>Sheet1!ED27</f>
        <v>0.67</v>
      </c>
      <c r="EE6">
        <f>Sheet1!EE27</f>
        <v>0.67</v>
      </c>
      <c r="EF6">
        <f>Sheet1!EF27</f>
        <v>0.67</v>
      </c>
      <c r="EG6">
        <f>Sheet1!EG27</f>
        <v>0.67</v>
      </c>
      <c r="EH6">
        <f>Sheet1!EH27</f>
        <v>0.67</v>
      </c>
    </row>
    <row r="7" spans="1:188">
      <c r="A7" t="s">
        <v>221</v>
      </c>
      <c r="B7">
        <v>1.92</v>
      </c>
      <c r="C7">
        <v>1.87</v>
      </c>
      <c r="D7">
        <v>1.87</v>
      </c>
      <c r="E7">
        <v>1.87</v>
      </c>
      <c r="F7">
        <v>1.87</v>
      </c>
      <c r="G7">
        <v>1.87</v>
      </c>
      <c r="H7">
        <v>1.85</v>
      </c>
      <c r="I7">
        <v>1.85</v>
      </c>
      <c r="J7">
        <v>1.85</v>
      </c>
      <c r="K7">
        <v>1.85</v>
      </c>
      <c r="L7">
        <v>1.85</v>
      </c>
      <c r="M7">
        <v>1.85</v>
      </c>
      <c r="N7">
        <v>1.85</v>
      </c>
      <c r="O7">
        <v>1.85</v>
      </c>
      <c r="P7">
        <v>1.85</v>
      </c>
      <c r="Q7">
        <v>1.83</v>
      </c>
      <c r="R7">
        <v>1.83</v>
      </c>
      <c r="S7">
        <v>1.78</v>
      </c>
      <c r="T7">
        <v>1.74</v>
      </c>
      <c r="U7">
        <v>1.74</v>
      </c>
      <c r="V7">
        <v>1.7</v>
      </c>
      <c r="W7">
        <v>1.69</v>
      </c>
      <c r="X7">
        <v>1.5</v>
      </c>
      <c r="Y7">
        <v>1.48</v>
      </c>
      <c r="Z7">
        <v>1.4550000000000001</v>
      </c>
      <c r="AA7">
        <v>1.4550000000000001</v>
      </c>
      <c r="AB7">
        <v>1.397</v>
      </c>
      <c r="AC7">
        <v>1.38</v>
      </c>
      <c r="AD7">
        <v>1.38</v>
      </c>
      <c r="AE7">
        <v>1.33</v>
      </c>
      <c r="AF7">
        <v>1.33</v>
      </c>
      <c r="AG7">
        <v>1.33</v>
      </c>
      <c r="AH7">
        <v>1.33</v>
      </c>
      <c r="AI7">
        <v>1.33</v>
      </c>
      <c r="AJ7">
        <v>1.33</v>
      </c>
      <c r="AK7">
        <v>1.33</v>
      </c>
      <c r="AL7">
        <v>1.28</v>
      </c>
      <c r="AM7">
        <v>1.24</v>
      </c>
      <c r="AN7">
        <v>1.24</v>
      </c>
      <c r="AO7">
        <v>1.18</v>
      </c>
      <c r="AP7">
        <v>1.17</v>
      </c>
      <c r="AQ7">
        <v>1.1499999999999999</v>
      </c>
      <c r="AR7">
        <v>1.1299999999999999</v>
      </c>
      <c r="AS7">
        <v>1.1000000000000001</v>
      </c>
      <c r="AT7">
        <v>1.1000000000000001</v>
      </c>
      <c r="AU7">
        <v>1.0900000000000001</v>
      </c>
      <c r="AV7">
        <v>1.0900000000000001</v>
      </c>
      <c r="AW7">
        <v>1.03</v>
      </c>
      <c r="AX7">
        <v>1.03</v>
      </c>
      <c r="AY7">
        <v>1.02</v>
      </c>
      <c r="AZ7">
        <f>Sheet1!AY28</f>
        <v>1.02</v>
      </c>
      <c r="BA7">
        <f>Sheet1!AZ28</f>
        <v>1.02</v>
      </c>
      <c r="BB7">
        <f>Sheet1!BA28</f>
        <v>1.02</v>
      </c>
      <c r="BC7">
        <f>Sheet1!BB28</f>
        <v>1.02</v>
      </c>
      <c r="BD7">
        <f>Sheet1!BC28</f>
        <v>0.96</v>
      </c>
      <c r="BE7">
        <f>Sheet1!BD28</f>
        <v>0.96</v>
      </c>
      <c r="BF7">
        <f>Sheet1!BE28</f>
        <v>0.96</v>
      </c>
      <c r="BG7">
        <f>Sheet1!BF28</f>
        <v>0.96</v>
      </c>
      <c r="BH7">
        <f>Sheet1!BG28</f>
        <v>0.96</v>
      </c>
      <c r="BI7">
        <f>Sheet1!BH28</f>
        <v>0.96</v>
      </c>
      <c r="BJ7">
        <f>Sheet1!BI28</f>
        <v>0.96</v>
      </c>
      <c r="BK7">
        <f>Sheet1!BJ28</f>
        <v>0.96</v>
      </c>
      <c r="BL7">
        <f>Sheet1!BK28</f>
        <v>0.96</v>
      </c>
      <c r="BM7">
        <f>Sheet1!BL28</f>
        <v>0.96</v>
      </c>
      <c r="BN7">
        <f>Sheet1!BM28</f>
        <v>0.96</v>
      </c>
      <c r="BO7">
        <f>Sheet1!BN28</f>
        <v>0.96</v>
      </c>
      <c r="BP7">
        <f>Sheet1!BO28</f>
        <v>0.94</v>
      </c>
      <c r="BQ7">
        <f>Sheet1!BP28</f>
        <v>0.92</v>
      </c>
      <c r="BR7">
        <f>Sheet1!BQ28</f>
        <v>0.9</v>
      </c>
      <c r="BS7">
        <f>Sheet1!BR28</f>
        <v>0.88</v>
      </c>
      <c r="BT7">
        <f>Sheet1!BS28</f>
        <v>0.86</v>
      </c>
      <c r="BU7">
        <f>Sheet1!BT28</f>
        <v>0.86</v>
      </c>
      <c r="BV7">
        <f>Sheet1!BU28</f>
        <v>0.86</v>
      </c>
      <c r="BW7">
        <f>Sheet1!BV28</f>
        <v>0.83</v>
      </c>
      <c r="BX7">
        <f>Sheet1!BW28</f>
        <v>0.81</v>
      </c>
      <c r="BY7">
        <f>Sheet1!BX28</f>
        <v>0.81</v>
      </c>
      <c r="BZ7">
        <f>Sheet1!BY28</f>
        <v>0.81</v>
      </c>
      <c r="CA7">
        <f>Sheet1!BZ28</f>
        <v>0.8</v>
      </c>
      <c r="CB7">
        <f>Sheet1!CA28</f>
        <v>0.8</v>
      </c>
      <c r="CC7">
        <f>Sheet1!CB28</f>
        <v>0.8</v>
      </c>
      <c r="CD7">
        <f>Sheet1!CC28</f>
        <v>0.8</v>
      </c>
      <c r="CE7">
        <f>Sheet1!CD28</f>
        <v>0.78</v>
      </c>
      <c r="CF7">
        <f>Sheet1!CE28</f>
        <v>0.77500000000000002</v>
      </c>
      <c r="CG7">
        <f>Sheet1!CF28</f>
        <v>0.77500000000000002</v>
      </c>
      <c r="CH7">
        <f>Sheet1!CG28</f>
        <v>0.75</v>
      </c>
      <c r="CI7">
        <f>Sheet1!CH28</f>
        <v>0.75</v>
      </c>
      <c r="CJ7">
        <f>Sheet1!CJ28</f>
        <v>0.75</v>
      </c>
      <c r="CK7">
        <f>Sheet1!CK28</f>
        <v>0.74</v>
      </c>
      <c r="CL7">
        <f>Sheet1!CL28</f>
        <v>0.74</v>
      </c>
      <c r="CM7">
        <f>Sheet1!CM28</f>
        <v>0.72</v>
      </c>
      <c r="CN7">
        <f>Sheet1!CN28</f>
        <v>0.72</v>
      </c>
      <c r="CO7">
        <f>Sheet1!CO28</f>
        <v>0.72</v>
      </c>
      <c r="CP7">
        <f>Sheet1!CP28</f>
        <v>0.72</v>
      </c>
      <c r="CQ7">
        <f>Sheet1!CQ28</f>
        <v>0.7</v>
      </c>
      <c r="CR7">
        <f>Sheet1!CR28</f>
        <v>0.7</v>
      </c>
      <c r="CS7">
        <f>Sheet1!CS28</f>
        <v>0.7</v>
      </c>
      <c r="CT7">
        <f>Sheet1!CT28</f>
        <v>0.7</v>
      </c>
      <c r="CU7">
        <f>Sheet1!CU28</f>
        <v>0.7</v>
      </c>
      <c r="CV7">
        <f>Sheet1!CV28</f>
        <v>0.7</v>
      </c>
      <c r="CW7">
        <f>Sheet1!CW28</f>
        <v>0.7</v>
      </c>
      <c r="CX7">
        <f>Sheet1!CX28</f>
        <v>0.7</v>
      </c>
      <c r="CY7">
        <f>Sheet1!CY28</f>
        <v>0.7</v>
      </c>
      <c r="CZ7">
        <f>Sheet1!CZ28</f>
        <v>0.7</v>
      </c>
      <c r="DA7">
        <f>Sheet1!DA28</f>
        <v>0.69</v>
      </c>
      <c r="DB7">
        <f>Sheet1!DB28</f>
        <v>0.69</v>
      </c>
      <c r="DC7">
        <f>Sheet1!DC28</f>
        <v>0.69</v>
      </c>
      <c r="DD7">
        <f>Sheet1!DD28</f>
        <v>0.69</v>
      </c>
      <c r="DE7">
        <f>Sheet1!DE28</f>
        <v>0.69</v>
      </c>
      <c r="DF7">
        <f>Sheet1!DF28</f>
        <v>0.69</v>
      </c>
      <c r="DG7">
        <f>Sheet1!DG28</f>
        <v>0.71</v>
      </c>
      <c r="DH7">
        <f>Sheet1!DH28</f>
        <v>0.72</v>
      </c>
      <c r="DI7">
        <f>Sheet1!DI28</f>
        <v>0.75</v>
      </c>
      <c r="DJ7">
        <f>Sheet1!DJ28</f>
        <v>0.75</v>
      </c>
      <c r="DK7">
        <f>Sheet1!DK28</f>
        <v>0.75</v>
      </c>
      <c r="DL7">
        <f>Sheet1!DL28</f>
        <v>0.73</v>
      </c>
      <c r="DM7">
        <f>Sheet1!DM28</f>
        <v>0.73</v>
      </c>
      <c r="DN7">
        <f>Sheet1!DN28</f>
        <v>0.71499999999999997</v>
      </c>
      <c r="DO7">
        <f>Sheet1!DO28</f>
        <v>0.70499999999999996</v>
      </c>
      <c r="DP7">
        <f>Sheet1!DP28</f>
        <v>0.68500000000000005</v>
      </c>
      <c r="DQ7">
        <f>Sheet1!DQ28</f>
        <v>0.68500000000000005</v>
      </c>
      <c r="DR7">
        <f>Sheet1!DR28</f>
        <v>0.68</v>
      </c>
      <c r="DS7">
        <f>Sheet1!DS28</f>
        <v>0.68</v>
      </c>
      <c r="DT7">
        <f>Sheet1!DT28</f>
        <v>0.68</v>
      </c>
      <c r="DU7">
        <f>Sheet1!DU28</f>
        <v>0.68</v>
      </c>
      <c r="DV7">
        <f>Sheet1!DV28</f>
        <v>0.67</v>
      </c>
      <c r="DW7">
        <f>Sheet1!DW28</f>
        <v>0.67</v>
      </c>
      <c r="DX7">
        <f>Sheet1!DX28</f>
        <v>0.67</v>
      </c>
      <c r="DY7">
        <f>Sheet1!DY28</f>
        <v>0.67500000000000004</v>
      </c>
      <c r="DZ7">
        <f>Sheet1!DZ28</f>
        <v>0.7</v>
      </c>
      <c r="EA7">
        <f>Sheet1!EA28</f>
        <v>0.7</v>
      </c>
      <c r="EB7">
        <f>Sheet1!EB28</f>
        <v>0.7</v>
      </c>
      <c r="EC7">
        <f>Sheet1!EC28</f>
        <v>0.7</v>
      </c>
      <c r="ED7">
        <f>Sheet1!ED28</f>
        <v>0.7</v>
      </c>
      <c r="EE7">
        <f>Sheet1!EE28</f>
        <v>0.7</v>
      </c>
      <c r="EF7">
        <f>Sheet1!EF28</f>
        <v>0.7</v>
      </c>
      <c r="EG7">
        <f>Sheet1!EG28</f>
        <v>0.7</v>
      </c>
      <c r="EH7">
        <f>Sheet1!EH28</f>
        <v>0.7</v>
      </c>
      <c r="EI7">
        <f>Sheet1!EI28</f>
        <v>0.69</v>
      </c>
      <c r="EJ7">
        <f>Sheet1!EJ28</f>
        <v>0.69</v>
      </c>
      <c r="EK7">
        <f>Sheet1!EK28</f>
        <v>0.69</v>
      </c>
      <c r="EL7">
        <f>Sheet1!EL28</f>
        <v>0.69</v>
      </c>
      <c r="EM7">
        <f>Sheet1!EM28</f>
        <v>0.69</v>
      </c>
      <c r="EN7">
        <f>Sheet1!EN28</f>
        <v>0.69</v>
      </c>
      <c r="EO7">
        <f>Sheet1!EO28</f>
        <v>0.69</v>
      </c>
      <c r="EP7">
        <f>Sheet1!EP28</f>
        <v>0.69</v>
      </c>
      <c r="EQ7">
        <f>Sheet1!EQ28</f>
        <v>0.69</v>
      </c>
      <c r="ER7">
        <f>Sheet1!ER28</f>
        <v>0.68</v>
      </c>
      <c r="ES7">
        <f>Sheet1!ES28</f>
        <v>0.68</v>
      </c>
      <c r="ET7">
        <f>Sheet1!ET28</f>
        <v>0.68</v>
      </c>
      <c r="EU7">
        <f>Sheet1!EU28</f>
        <v>0.68</v>
      </c>
      <c r="EV7">
        <f>Sheet1!EV28</f>
        <v>0.68</v>
      </c>
      <c r="EW7">
        <f>Sheet1!EW28</f>
        <v>0.68500000000000005</v>
      </c>
      <c r="EX7">
        <f>Sheet1!EX28</f>
        <v>0.70799999999999996</v>
      </c>
      <c r="EY7">
        <f>Sheet1!EY28</f>
        <v>0.74</v>
      </c>
      <c r="EZ7">
        <f>Sheet1!EZ28</f>
        <v>0.8</v>
      </c>
      <c r="FA7">
        <f>Sheet1!FA28</f>
        <v>0.8</v>
      </c>
      <c r="FB7">
        <f>Sheet1!FB28</f>
        <v>0.8</v>
      </c>
      <c r="FC7">
        <f>Sheet1!FC28</f>
        <v>0.83</v>
      </c>
      <c r="FD7">
        <f>Sheet1!FD28</f>
        <v>0.83</v>
      </c>
      <c r="FE7">
        <f>Sheet1!FE28</f>
        <v>0.82</v>
      </c>
      <c r="FF7">
        <f>Sheet1!FF28</f>
        <v>0.81</v>
      </c>
      <c r="FG7">
        <f>Sheet1!FG28</f>
        <v>0.81</v>
      </c>
      <c r="FH7">
        <f>Sheet1!FH28</f>
        <v>0.78</v>
      </c>
      <c r="FI7">
        <f>Sheet1!FI28</f>
        <v>0.76</v>
      </c>
      <c r="FJ7">
        <f>Sheet1!FJ28</f>
        <v>0.76</v>
      </c>
      <c r="FK7">
        <f>Sheet1!FK28</f>
        <v>0.75800000000000001</v>
      </c>
      <c r="FL7">
        <f>Sheet1!FL28</f>
        <v>0.75800000000000001</v>
      </c>
      <c r="FM7">
        <f>Sheet1!FM28</f>
        <v>0.75800000000000001</v>
      </c>
      <c r="FN7">
        <f>Sheet1!FN28</f>
        <v>0.75800000000000001</v>
      </c>
      <c r="FO7">
        <f>Sheet1!FO28</f>
        <v>0.75</v>
      </c>
      <c r="FP7">
        <f>Sheet1!FP28</f>
        <v>0.75</v>
      </c>
      <c r="FQ7">
        <f>Sheet1!FQ28</f>
        <v>0.75</v>
      </c>
      <c r="FR7">
        <f>Sheet1!FR28</f>
        <v>0.74</v>
      </c>
      <c r="FS7">
        <f>Sheet1!FS28</f>
        <v>0.74</v>
      </c>
      <c r="FT7">
        <f>Sheet1!FT28</f>
        <v>0.72</v>
      </c>
      <c r="FU7">
        <f>Sheet1!FU28</f>
        <v>0.71</v>
      </c>
      <c r="FV7">
        <f>Sheet1!FV28</f>
        <v>0.7</v>
      </c>
      <c r="FW7">
        <f>Sheet1!FW28</f>
        <v>0.68</v>
      </c>
      <c r="FX7">
        <f>Sheet1!FX28</f>
        <v>0.66</v>
      </c>
      <c r="FY7">
        <f>Sheet1!FY28</f>
        <v>0.65500000000000003</v>
      </c>
      <c r="FZ7">
        <f>Sheet1!FZ28</f>
        <v>0.64500000000000002</v>
      </c>
      <c r="GA7">
        <f>Sheet1!GA28</f>
        <v>0.64500000000000002</v>
      </c>
      <c r="GB7">
        <f>Sheet1!GB28</f>
        <v>0.65</v>
      </c>
      <c r="GC7">
        <f>Sheet1!GC28</f>
        <v>0.66</v>
      </c>
    </row>
    <row r="8" spans="1:188" ht="13.9" customHeight="1">
      <c r="A8" t="s">
        <v>222</v>
      </c>
      <c r="BD8">
        <f>Sheet1!BC29</f>
        <v>0.96</v>
      </c>
      <c r="BE8">
        <f>Sheet1!BD29</f>
        <v>0.96</v>
      </c>
      <c r="BF8">
        <f>Sheet1!BE29</f>
        <v>0.96</v>
      </c>
      <c r="BG8">
        <f>Sheet1!BF29</f>
        <v>0.96</v>
      </c>
      <c r="BH8">
        <f>Sheet1!BG29</f>
        <v>0.96</v>
      </c>
      <c r="BI8">
        <f>Sheet1!BH29</f>
        <v>0.96</v>
      </c>
      <c r="BJ8">
        <f>Sheet1!BI29</f>
        <v>0.96</v>
      </c>
      <c r="BK8">
        <f>Sheet1!BJ29</f>
        <v>0.96</v>
      </c>
      <c r="BL8">
        <f>Sheet1!BK29</f>
        <v>0.96</v>
      </c>
      <c r="BM8">
        <f>Sheet1!BL29</f>
        <v>0.96</v>
      </c>
      <c r="BN8">
        <f>Sheet1!BM29</f>
        <v>0.96</v>
      </c>
      <c r="BO8">
        <f>Sheet1!BN29</f>
        <v>0.96</v>
      </c>
      <c r="BP8">
        <f>Sheet1!BO29</f>
        <v>0.94</v>
      </c>
      <c r="BQ8">
        <f>Sheet1!BP29</f>
        <v>0.93</v>
      </c>
      <c r="BR8">
        <f>Sheet1!BQ29</f>
        <v>0.91</v>
      </c>
      <c r="BS8">
        <f>Sheet1!BR29</f>
        <v>0.89</v>
      </c>
      <c r="BT8">
        <f>Sheet1!BS29</f>
        <v>0.87</v>
      </c>
      <c r="BU8">
        <f>Sheet1!BT29</f>
        <v>0.87</v>
      </c>
      <c r="BV8">
        <f>Sheet1!BU29</f>
        <v>0.87</v>
      </c>
      <c r="BW8">
        <f>Sheet1!BV29</f>
        <v>0.84</v>
      </c>
      <c r="BX8">
        <f>Sheet1!BW29</f>
        <v>0.82</v>
      </c>
      <c r="BY8">
        <f>Sheet1!BX29</f>
        <v>0.82</v>
      </c>
      <c r="BZ8">
        <f>Sheet1!BY29</f>
        <v>0.82</v>
      </c>
      <c r="CA8">
        <f>Sheet1!BZ29</f>
        <v>0.81</v>
      </c>
      <c r="CB8">
        <f>Sheet1!CA29</f>
        <v>0.81</v>
      </c>
      <c r="CC8">
        <f>Sheet1!CB29</f>
        <v>0.81</v>
      </c>
      <c r="CD8">
        <f>Sheet1!CC29</f>
        <v>0.81</v>
      </c>
      <c r="CE8">
        <f>Sheet1!CD29</f>
        <v>0.79</v>
      </c>
      <c r="CF8">
        <f>Sheet1!CE29</f>
        <v>0.78500000000000003</v>
      </c>
      <c r="CG8">
        <f>Sheet1!CF29</f>
        <v>0.78500000000000003</v>
      </c>
      <c r="CH8">
        <f>Sheet1!CG29</f>
        <v>0.76</v>
      </c>
      <c r="CI8">
        <f>Sheet1!CH29</f>
        <v>0.76</v>
      </c>
      <c r="CJ8">
        <f>Sheet1!CJ29</f>
        <v>0.76</v>
      </c>
      <c r="CK8">
        <f>Sheet1!CK29</f>
        <v>0.75</v>
      </c>
      <c r="CL8">
        <f>Sheet1!CL29</f>
        <v>0.75</v>
      </c>
      <c r="CM8">
        <f>Sheet1!CM29</f>
        <v>0.73</v>
      </c>
      <c r="CN8">
        <f>Sheet1!CN29</f>
        <v>0.73</v>
      </c>
      <c r="CO8">
        <f>Sheet1!CO29</f>
        <v>0.72499999999999998</v>
      </c>
      <c r="CP8">
        <f>Sheet1!CP29</f>
        <v>0.72499999999999998</v>
      </c>
      <c r="CQ8">
        <f>Sheet1!CQ29</f>
        <v>0.71</v>
      </c>
      <c r="CR8">
        <f>Sheet1!CR29</f>
        <v>0.71</v>
      </c>
      <c r="CS8">
        <f>Sheet1!CS29</f>
        <v>0.71</v>
      </c>
      <c r="CT8">
        <f>Sheet1!CT29</f>
        <v>0.71</v>
      </c>
      <c r="CU8">
        <f>Sheet1!CU29</f>
        <v>0.71</v>
      </c>
      <c r="CV8">
        <f>Sheet1!CV29</f>
        <v>0.71</v>
      </c>
      <c r="CW8">
        <f>Sheet1!CW29</f>
        <v>0.71</v>
      </c>
      <c r="CX8">
        <f>Sheet1!CX29</f>
        <v>0.71</v>
      </c>
      <c r="CY8">
        <f>Sheet1!CY29</f>
        <v>0.71</v>
      </c>
      <c r="CZ8">
        <f>Sheet1!CZ29</f>
        <v>0.71</v>
      </c>
      <c r="DA8">
        <f>Sheet1!DA29</f>
        <v>0.69499999999999995</v>
      </c>
      <c r="DB8">
        <f>Sheet1!DB29</f>
        <v>0.69499999999999995</v>
      </c>
      <c r="DC8">
        <f>Sheet1!DC29</f>
        <v>0.69</v>
      </c>
      <c r="DD8">
        <f>Sheet1!DD29</f>
        <v>0.69</v>
      </c>
      <c r="DE8">
        <f>Sheet1!DE29</f>
        <v>0.69499999999999995</v>
      </c>
      <c r="DF8">
        <f>Sheet1!DF29</f>
        <v>0.69499999999999995</v>
      </c>
      <c r="DG8">
        <f>Sheet1!DG29</f>
        <v>0.71</v>
      </c>
      <c r="DH8">
        <f>Sheet1!DH29</f>
        <v>0.72499999999999998</v>
      </c>
      <c r="DI8">
        <f>Sheet1!DI29</f>
        <v>0.75</v>
      </c>
      <c r="DJ8">
        <f>Sheet1!DJ29</f>
        <v>0.75</v>
      </c>
      <c r="DK8">
        <f>Sheet1!DK29</f>
        <v>0.75</v>
      </c>
      <c r="DL8">
        <f>Sheet1!DL29</f>
        <v>0.72</v>
      </c>
      <c r="DM8">
        <f>Sheet1!DM29</f>
        <v>0.72</v>
      </c>
      <c r="DN8">
        <f>Sheet1!DN29</f>
        <v>0.71</v>
      </c>
      <c r="DO8">
        <f>Sheet1!DO29</f>
        <v>0.69499999999999995</v>
      </c>
      <c r="DP8">
        <f>Sheet1!DP29</f>
        <v>0.67500000000000004</v>
      </c>
      <c r="DQ8">
        <f>Sheet1!DQ29</f>
        <v>0.67500000000000004</v>
      </c>
      <c r="DR8">
        <f>Sheet1!DR29</f>
        <v>0.67</v>
      </c>
      <c r="DS8">
        <f>Sheet1!DS29</f>
        <v>0.67</v>
      </c>
      <c r="DT8">
        <f>Sheet1!DT29</f>
        <v>0.67</v>
      </c>
      <c r="DU8">
        <f>Sheet1!DU29</f>
        <v>0.67</v>
      </c>
      <c r="DV8">
        <f>Sheet1!DV29</f>
        <v>0.67</v>
      </c>
      <c r="DW8">
        <f>Sheet1!DW29</f>
        <v>0.67</v>
      </c>
      <c r="DX8">
        <f>Sheet1!DX29</f>
        <v>0.67</v>
      </c>
      <c r="DY8">
        <f>Sheet1!DY29</f>
        <v>0.67800000000000005</v>
      </c>
      <c r="DZ8">
        <f>Sheet1!DZ29</f>
        <v>0.7</v>
      </c>
      <c r="EA8">
        <f>Sheet1!EA29</f>
        <v>0.7</v>
      </c>
      <c r="EB8">
        <f>Sheet1!EB29</f>
        <v>0.7</v>
      </c>
      <c r="EC8">
        <f>Sheet1!EC29</f>
        <v>0.7</v>
      </c>
      <c r="ED8">
        <f>Sheet1!ED29</f>
        <v>0.7</v>
      </c>
      <c r="EE8">
        <f>Sheet1!EE29</f>
        <v>0.7</v>
      </c>
      <c r="EF8">
        <f>Sheet1!EF29</f>
        <v>0.7</v>
      </c>
      <c r="EG8">
        <f>Sheet1!EG29</f>
        <v>0.7</v>
      </c>
      <c r="EH8">
        <f>Sheet1!EH29</f>
        <v>0.7</v>
      </c>
      <c r="EI8">
        <f>Sheet1!EI29</f>
        <v>0.7</v>
      </c>
      <c r="EJ8">
        <f>Sheet1!EJ29</f>
        <v>0.7</v>
      </c>
      <c r="EK8">
        <f>Sheet1!EK29</f>
        <v>0.7</v>
      </c>
      <c r="EL8">
        <f>Sheet1!EL29</f>
        <v>0.7</v>
      </c>
      <c r="EM8">
        <f>Sheet1!EM29</f>
        <v>0.7</v>
      </c>
      <c r="EN8">
        <f>Sheet1!EN29</f>
        <v>0.7</v>
      </c>
      <c r="EO8">
        <f>Sheet1!EO29</f>
        <v>0.7</v>
      </c>
      <c r="EP8">
        <f>Sheet1!EP29</f>
        <v>0.7</v>
      </c>
      <c r="EQ8">
        <f>Sheet1!EQ29</f>
        <v>0.7</v>
      </c>
      <c r="ER8">
        <f>Sheet1!ER29</f>
        <v>0.69</v>
      </c>
      <c r="ES8">
        <f>Sheet1!ES29</f>
        <v>0.69</v>
      </c>
      <c r="ET8">
        <f>Sheet1!ET29</f>
        <v>0.69</v>
      </c>
      <c r="EU8">
        <f>Sheet1!EU29</f>
        <v>0.69</v>
      </c>
      <c r="EV8">
        <f>Sheet1!EV29</f>
        <v>0.69</v>
      </c>
      <c r="EW8">
        <f>Sheet1!EW29</f>
        <v>0.69</v>
      </c>
      <c r="EX8">
        <f>Sheet1!EX29</f>
        <v>0.73</v>
      </c>
      <c r="EY8">
        <f>Sheet1!EY29</f>
        <v>0.79</v>
      </c>
      <c r="EZ8">
        <f>Sheet1!EZ29</f>
        <v>0.8</v>
      </c>
      <c r="FA8">
        <f>Sheet1!FA29</f>
        <v>0.8</v>
      </c>
      <c r="FB8">
        <f>Sheet1!FB29</f>
        <v>0.8</v>
      </c>
      <c r="FC8">
        <f>Sheet1!FC29</f>
        <v>0.86</v>
      </c>
      <c r="FD8">
        <f>Sheet1!FD29</f>
        <v>0.86</v>
      </c>
      <c r="FE8">
        <f>Sheet1!FE29</f>
        <v>0.86</v>
      </c>
      <c r="FF8">
        <f>Sheet1!FF29</f>
        <v>0.83</v>
      </c>
      <c r="FG8">
        <f>Sheet1!FG29</f>
        <v>0.82</v>
      </c>
      <c r="FH8">
        <f>Sheet1!FH29</f>
        <v>0.79</v>
      </c>
      <c r="FI8">
        <f>Sheet1!FI29</f>
        <v>0.78</v>
      </c>
      <c r="FJ8">
        <f>Sheet1!FJ29</f>
        <v>0.78</v>
      </c>
      <c r="FK8">
        <f>Sheet1!FK29</f>
        <v>0.76900000000000002</v>
      </c>
      <c r="FL8">
        <f>Sheet1!FL29</f>
        <v>0.76900000000000002</v>
      </c>
      <c r="FM8">
        <f>Sheet1!FM29</f>
        <v>0.76900000000000002</v>
      </c>
      <c r="FN8">
        <f>Sheet1!FN29</f>
        <v>0.76</v>
      </c>
      <c r="FO8">
        <f>Sheet1!FO29</f>
        <v>0.755</v>
      </c>
      <c r="FP8">
        <f>Sheet1!FP29</f>
        <v>0.755</v>
      </c>
      <c r="FQ8">
        <f>Sheet1!FQ29</f>
        <v>0.755</v>
      </c>
      <c r="FR8">
        <f>Sheet1!FR29</f>
        <v>0.745</v>
      </c>
      <c r="FS8">
        <f>Sheet1!FS29</f>
        <v>0.745</v>
      </c>
      <c r="FT8">
        <f>Sheet1!FT29</f>
        <v>0.73</v>
      </c>
      <c r="FU8">
        <f>Sheet1!FU29</f>
        <v>0.72</v>
      </c>
      <c r="FV8">
        <f>Sheet1!FV29</f>
        <v>0.70499999999999996</v>
      </c>
      <c r="FW8">
        <f>Sheet1!FW29</f>
        <v>0.7</v>
      </c>
      <c r="FX8">
        <f>Sheet1!FX29</f>
        <v>0.7</v>
      </c>
      <c r="FY8">
        <f>Sheet1!FY29</f>
        <v>0.68500000000000005</v>
      </c>
      <c r="FZ8">
        <f>Sheet1!FZ29</f>
        <v>0.68500000000000005</v>
      </c>
      <c r="GA8">
        <f>Sheet1!GA29</f>
        <v>0.68500000000000005</v>
      </c>
      <c r="GB8">
        <f>Sheet1!GB29</f>
        <v>0.69499999999999995</v>
      </c>
      <c r="GC8">
        <f>Sheet1!GC29</f>
        <v>0.70499999999999996</v>
      </c>
      <c r="GD8">
        <f>Sheet1!GD29</f>
        <v>0.70499999999999996</v>
      </c>
      <c r="GE8">
        <f>Sheet1!GE29</f>
        <v>0.70499999999999996</v>
      </c>
      <c r="GF8">
        <f>Sheet1!GF29</f>
        <v>0.70499999999999996</v>
      </c>
    </row>
    <row r="9" spans="1:188" ht="13.9" customHeight="1">
      <c r="A9" t="s">
        <v>258</v>
      </c>
      <c r="EI9">
        <f>Sheet1!EI30</f>
        <v>0.7</v>
      </c>
      <c r="EJ9">
        <f>Sheet1!EJ30</f>
        <v>0.68799999999999994</v>
      </c>
      <c r="EK9">
        <f>Sheet1!EK30</f>
        <v>0.7</v>
      </c>
      <c r="EL9">
        <f>Sheet1!EL30</f>
        <v>0.7</v>
      </c>
      <c r="EM9">
        <f>Sheet1!EM30</f>
        <v>0.7</v>
      </c>
      <c r="EN9">
        <f>Sheet1!EN30</f>
        <v>0.7</v>
      </c>
      <c r="EO9">
        <f>Sheet1!EO30</f>
        <v>0.7</v>
      </c>
      <c r="EP9">
        <f>Sheet1!EP30</f>
        <v>0.7</v>
      </c>
      <c r="EQ9">
        <f>Sheet1!EQ30</f>
        <v>0.7</v>
      </c>
      <c r="ER9">
        <f>Sheet1!ER30</f>
        <v>0.69</v>
      </c>
      <c r="ES9">
        <f>Sheet1!ES30</f>
        <v>0.69</v>
      </c>
      <c r="ET9">
        <f>Sheet1!ET30</f>
        <v>0.69</v>
      </c>
      <c r="EU9">
        <f>Sheet1!EU30</f>
        <v>0.69</v>
      </c>
      <c r="EV9">
        <f>Sheet1!EV30</f>
        <v>0.69</v>
      </c>
      <c r="EW9">
        <f>Sheet1!EW30</f>
        <v>0.69</v>
      </c>
      <c r="EX9">
        <f>Sheet1!EX30</f>
        <v>0.70799999999999996</v>
      </c>
      <c r="EY9">
        <f>Sheet1!EY30</f>
        <v>0.79</v>
      </c>
      <c r="EZ9">
        <f>Sheet1!EZ30</f>
        <v>0.82</v>
      </c>
      <c r="FA9">
        <f>Sheet1!FA30</f>
        <v>0.82</v>
      </c>
      <c r="FB9">
        <f>Sheet1!FB30</f>
        <v>0.82</v>
      </c>
      <c r="FC9">
        <f>Sheet1!FC30</f>
        <v>0.86</v>
      </c>
      <c r="FD9">
        <f>Sheet1!FD30</f>
        <v>0.86</v>
      </c>
      <c r="FE9">
        <f>Sheet1!FE30</f>
        <v>0.86</v>
      </c>
      <c r="FF9">
        <f>Sheet1!FF30</f>
        <v>0.84</v>
      </c>
      <c r="FG9">
        <f>Sheet1!FG30</f>
        <v>0.82</v>
      </c>
      <c r="FH9">
        <f>Sheet1!FH30</f>
        <v>0.79200000000000004</v>
      </c>
      <c r="FI9">
        <f>Sheet1!FI30</f>
        <v>0.78</v>
      </c>
      <c r="FJ9">
        <f>Sheet1!FJ30</f>
        <v>0.78</v>
      </c>
      <c r="FK9">
        <f>Sheet1!FK30</f>
        <v>0.77200000000000002</v>
      </c>
      <c r="FL9">
        <f>Sheet1!FL30</f>
        <v>0.77200000000000002</v>
      </c>
      <c r="FM9">
        <f>Sheet1!FM30</f>
        <v>0.77200000000000002</v>
      </c>
      <c r="FN9">
        <f>Sheet1!FN30</f>
        <v>0.76500000000000001</v>
      </c>
      <c r="FO9">
        <f>Sheet1!FO30</f>
        <v>0.76</v>
      </c>
      <c r="FP9">
        <f>Sheet1!FP30</f>
        <v>0.76</v>
      </c>
      <c r="FQ9">
        <f>Sheet1!FQ30</f>
        <v>0.76</v>
      </c>
      <c r="FR9">
        <f>Sheet1!FR30</f>
        <v>0.745</v>
      </c>
      <c r="FS9">
        <f>Sheet1!FS30</f>
        <v>0.745</v>
      </c>
      <c r="FT9">
        <f>Sheet1!FT30</f>
        <v>0.74</v>
      </c>
      <c r="FU9">
        <f>Sheet1!FU30</f>
        <v>0.73499999999999999</v>
      </c>
      <c r="FV9">
        <f>Sheet1!FV30</f>
        <v>0.73499999999999999</v>
      </c>
      <c r="FW9">
        <f>Sheet1!FW30</f>
        <v>0.73</v>
      </c>
      <c r="FX9">
        <f>Sheet1!FX30</f>
        <v>0.73</v>
      </c>
      <c r="FY9">
        <f>Sheet1!FY30</f>
        <v>0.72</v>
      </c>
      <c r="FZ9">
        <f>Sheet1!FZ30</f>
        <v>0.72</v>
      </c>
      <c r="GA9">
        <f>Sheet1!GA30</f>
        <v>0.72</v>
      </c>
      <c r="GB9">
        <f>Sheet1!GB30</f>
        <v>0.72</v>
      </c>
      <c r="GC9">
        <f>Sheet1!GC30</f>
        <v>0.73</v>
      </c>
    </row>
    <row r="10" spans="1:188">
      <c r="A10" t="s">
        <v>259</v>
      </c>
      <c r="BH10">
        <f>Sheet1!BG31</f>
        <v>1.1000000000000001</v>
      </c>
      <c r="BI10">
        <f>Sheet1!BH31</f>
        <v>1.1000000000000001</v>
      </c>
      <c r="BJ10">
        <f>Sheet1!BI31</f>
        <v>1.1000000000000001</v>
      </c>
      <c r="BK10">
        <f>Sheet1!BJ31</f>
        <v>1.1000000000000001</v>
      </c>
      <c r="BL10">
        <f>Sheet1!BK31</f>
        <v>1.05</v>
      </c>
      <c r="BM10">
        <f>Sheet1!BL31</f>
        <v>1.05</v>
      </c>
      <c r="BN10">
        <f>Sheet1!BM31</f>
        <v>1.05</v>
      </c>
      <c r="BO10">
        <f>Sheet1!BN31</f>
        <v>1.05</v>
      </c>
      <c r="BP10">
        <f>Sheet1!BO31</f>
        <v>1.05</v>
      </c>
      <c r="BQ10">
        <f>Sheet1!BP31</f>
        <v>1.05</v>
      </c>
      <c r="BR10">
        <f>Sheet1!BQ31</f>
        <v>1.05</v>
      </c>
      <c r="BS10">
        <f>Sheet1!BR31</f>
        <v>1.05</v>
      </c>
      <c r="BT10">
        <f>Sheet1!BS31</f>
        <v>1.05</v>
      </c>
      <c r="BU10">
        <f>Sheet1!BT31</f>
        <v>1.05</v>
      </c>
      <c r="BV10">
        <f>Sheet1!BU31</f>
        <v>1.05</v>
      </c>
      <c r="BW10">
        <f>Sheet1!BV31</f>
        <v>1.05</v>
      </c>
      <c r="BX10">
        <f>Sheet1!BW31</f>
        <v>0.95</v>
      </c>
      <c r="BY10">
        <f>Sheet1!BX31</f>
        <v>0.9</v>
      </c>
      <c r="BZ10">
        <f>Sheet1!BY31</f>
        <v>0.86</v>
      </c>
      <c r="CA10">
        <f>Sheet1!BZ31</f>
        <v>0.85</v>
      </c>
      <c r="CB10">
        <f>Sheet1!CA31</f>
        <v>0.85</v>
      </c>
      <c r="CC10">
        <f>Sheet1!CB31</f>
        <v>0.84</v>
      </c>
      <c r="CD10">
        <f>Sheet1!CC31</f>
        <v>0.84</v>
      </c>
      <c r="CE10">
        <f>Sheet1!CD31</f>
        <v>0.84</v>
      </c>
      <c r="CF10">
        <f>Sheet1!CE31</f>
        <v>0.83499999999999996</v>
      </c>
      <c r="CG10">
        <f>Sheet1!CF31</f>
        <v>0.83499999999999996</v>
      </c>
      <c r="CH10">
        <f>Sheet1!CG31</f>
        <v>0.82</v>
      </c>
      <c r="CI10">
        <f>Sheet1!CH31</f>
        <v>0.81</v>
      </c>
      <c r="CJ10">
        <f>Sheet1!CJ31</f>
        <v>0.81</v>
      </c>
      <c r="CK10">
        <f>Sheet1!CK31</f>
        <v>0.78</v>
      </c>
      <c r="CL10">
        <f>Sheet1!CL31</f>
        <v>0.78</v>
      </c>
      <c r="CM10">
        <f>Sheet1!CM31</f>
        <v>0.78</v>
      </c>
      <c r="CN10">
        <f>Sheet1!CN31</f>
        <v>0.78</v>
      </c>
      <c r="CO10">
        <f>Sheet1!CO31</f>
        <v>0.78</v>
      </c>
      <c r="CP10">
        <f>Sheet1!CP31</f>
        <v>0.78</v>
      </c>
      <c r="CQ10">
        <f>Sheet1!CQ31</f>
        <v>0.78</v>
      </c>
      <c r="CR10">
        <f>Sheet1!CR31</f>
        <v>0.78</v>
      </c>
      <c r="CS10">
        <f>Sheet1!CS31</f>
        <v>0.78</v>
      </c>
      <c r="CT10">
        <f>Sheet1!CT31</f>
        <v>0.78</v>
      </c>
      <c r="CU10">
        <f>Sheet1!CU31</f>
        <v>0.75</v>
      </c>
      <c r="CV10">
        <f>Sheet1!CV31</f>
        <v>0.75</v>
      </c>
      <c r="CW10">
        <f>Sheet1!CW31</f>
        <v>0.75</v>
      </c>
      <c r="CX10">
        <f>Sheet1!CX31</f>
        <v>0.75</v>
      </c>
      <c r="CY10">
        <f>Sheet1!CY31</f>
        <v>0.75</v>
      </c>
      <c r="CZ10">
        <f>Sheet1!CZ31</f>
        <v>0.75</v>
      </c>
      <c r="DA10">
        <f>Sheet1!DA31</f>
        <v>0.75</v>
      </c>
      <c r="DB10">
        <f>Sheet1!DB31</f>
        <v>0.75</v>
      </c>
      <c r="DC10">
        <f>Sheet1!DC31</f>
        <v>0.75</v>
      </c>
      <c r="DD10">
        <f>Sheet1!DD31</f>
        <v>0.75</v>
      </c>
      <c r="DE10">
        <f>Sheet1!DE31</f>
        <v>0.75</v>
      </c>
      <c r="DF10">
        <f>Sheet1!DF31</f>
        <v>0.75</v>
      </c>
      <c r="DG10">
        <f>Sheet1!DG31</f>
        <v>0.75</v>
      </c>
      <c r="DH10">
        <f>Sheet1!DH31</f>
        <v>0.75</v>
      </c>
      <c r="DI10">
        <f>Sheet1!DI31</f>
        <v>0.79500000000000004</v>
      </c>
      <c r="DJ10">
        <f>Sheet1!DJ31</f>
        <v>0.79500000000000004</v>
      </c>
      <c r="DK10">
        <f>Sheet1!DK31</f>
        <v>0.79500000000000004</v>
      </c>
      <c r="DL10">
        <f>Sheet1!DL31</f>
        <v>0.76</v>
      </c>
      <c r="DM10">
        <f>Sheet1!DM31</f>
        <v>0.76</v>
      </c>
      <c r="DN10">
        <f>Sheet1!DN31</f>
        <v>0.76</v>
      </c>
      <c r="DO10">
        <f>Sheet1!DO31</f>
        <v>0.76</v>
      </c>
      <c r="DP10">
        <f>Sheet1!DP31</f>
        <v>0.755</v>
      </c>
      <c r="DQ10">
        <f>Sheet1!DQ31</f>
        <v>0.755</v>
      </c>
      <c r="DR10">
        <f>Sheet1!DR31</f>
        <v>0.755</v>
      </c>
      <c r="DS10">
        <f>Sheet1!DS31</f>
        <v>0.755</v>
      </c>
      <c r="DT10">
        <f>Sheet1!DT31</f>
        <v>0.755</v>
      </c>
      <c r="DU10">
        <f>Sheet1!DU31</f>
        <v>0.755</v>
      </c>
    </row>
    <row r="11" spans="1:188">
      <c r="A11" t="s">
        <v>249</v>
      </c>
      <c r="DI11">
        <f>Sheet1!DI33</f>
        <v>0.87</v>
      </c>
      <c r="DJ11">
        <f>Sheet1!DJ33</f>
        <v>0.87</v>
      </c>
      <c r="DK11">
        <f>Sheet1!DK33</f>
        <v>0.87</v>
      </c>
      <c r="DL11">
        <f>Sheet1!DL33</f>
        <v>0.87</v>
      </c>
      <c r="DM11">
        <f>Sheet1!DM33</f>
        <v>0.83</v>
      </c>
      <c r="DN11">
        <f>Sheet1!DN33</f>
        <v>0.83</v>
      </c>
      <c r="DO11">
        <f>Sheet1!DO33</f>
        <v>0.83</v>
      </c>
      <c r="DP11">
        <f>Sheet1!DP33</f>
        <v>0.78</v>
      </c>
      <c r="DQ11">
        <f>Sheet1!DQ33</f>
        <v>0.78</v>
      </c>
      <c r="DR11">
        <f>Sheet1!DR33</f>
        <v>0.78</v>
      </c>
      <c r="DS11">
        <f>Sheet1!DS33</f>
        <v>0.78</v>
      </c>
      <c r="DT11">
        <f>Sheet1!DT33</f>
        <v>0.78</v>
      </c>
      <c r="DU11">
        <f>Sheet1!DU33</f>
        <v>0.78</v>
      </c>
      <c r="DV11">
        <f>Sheet1!DV33</f>
        <v>0.78</v>
      </c>
      <c r="DW11">
        <f>Sheet1!DW33</f>
        <v>0.78</v>
      </c>
      <c r="DX11">
        <f>Sheet1!DX33</f>
        <v>0.78</v>
      </c>
      <c r="DY11">
        <f>Sheet1!DY33</f>
        <v>0.78</v>
      </c>
      <c r="DZ11">
        <f>Sheet1!DZ33</f>
        <v>0.79</v>
      </c>
      <c r="EA11">
        <f>Sheet1!EA33</f>
        <v>0.79</v>
      </c>
      <c r="EB11">
        <f>Sheet1!EB33</f>
        <v>0.79</v>
      </c>
      <c r="EC11">
        <f>Sheet1!EC33</f>
        <v>0.79</v>
      </c>
      <c r="ED11">
        <f>Sheet1!ED33</f>
        <v>0.79</v>
      </c>
      <c r="EE11">
        <f>Sheet1!EE33</f>
        <v>0.79</v>
      </c>
      <c r="EF11">
        <f>Sheet1!EF33</f>
        <v>0.79</v>
      </c>
      <c r="EG11">
        <f>Sheet1!EG33</f>
        <v>0.79</v>
      </c>
      <c r="EH11">
        <f>Sheet1!EH33</f>
        <v>0.79</v>
      </c>
      <c r="EI11">
        <f>Sheet1!EI33</f>
        <v>0.79</v>
      </c>
      <c r="EJ11">
        <f>Sheet1!EJ33</f>
        <v>0.79</v>
      </c>
      <c r="EK11">
        <f>Sheet1!EK33</f>
        <v>0.79</v>
      </c>
      <c r="EL11">
        <f>Sheet1!EL33</f>
        <v>0.79</v>
      </c>
      <c r="EM11">
        <f>Sheet1!EM33</f>
        <v>0.79</v>
      </c>
      <c r="EN11">
        <f>Sheet1!EN33</f>
        <v>0.79</v>
      </c>
      <c r="EO11">
        <f>Sheet1!EO33</f>
        <v>0.78</v>
      </c>
      <c r="EP11">
        <f>Sheet1!EP33</f>
        <v>0.78</v>
      </c>
      <c r="EQ11">
        <f>Sheet1!EQ33</f>
        <v>0.78</v>
      </c>
      <c r="ER11">
        <f>Sheet1!ER33</f>
        <v>0.76</v>
      </c>
      <c r="ES11">
        <f>Sheet1!ES33</f>
        <v>0.76</v>
      </c>
      <c r="ET11">
        <f>Sheet1!ET33</f>
        <v>0.76</v>
      </c>
      <c r="EU11">
        <f>Sheet1!EU33</f>
        <v>0.76</v>
      </c>
      <c r="EV11">
        <f>Sheet1!EV33</f>
        <v>0.76</v>
      </c>
      <c r="EW11">
        <f>Sheet1!EW33</f>
        <v>0.76</v>
      </c>
      <c r="EX11">
        <f>Sheet1!EX33</f>
        <v>0.83</v>
      </c>
      <c r="EY11">
        <f>Sheet1!EY33</f>
        <v>0.83</v>
      </c>
      <c r="EZ11">
        <f>Sheet1!EZ33</f>
        <v>0.83</v>
      </c>
      <c r="FA11">
        <f>Sheet1!FA33</f>
        <v>0.83</v>
      </c>
      <c r="FB11">
        <f>Sheet1!FB33</f>
        <v>0.83</v>
      </c>
      <c r="FC11">
        <f>Sheet1!FC33</f>
        <v>0.9</v>
      </c>
      <c r="FD11">
        <f>Sheet1!FD33</f>
        <v>0.9</v>
      </c>
      <c r="FE11">
        <f>Sheet1!FE33</f>
        <v>0.9</v>
      </c>
      <c r="FF11">
        <f>Sheet1!FF33</f>
        <v>0.9</v>
      </c>
      <c r="FG11">
        <f>Sheet1!FG33</f>
        <v>0.88</v>
      </c>
      <c r="FH11">
        <f>Sheet1!FH33</f>
        <v>0.875</v>
      </c>
      <c r="FI11">
        <f>Sheet1!FI33</f>
        <v>0.86</v>
      </c>
      <c r="FJ11">
        <f>Sheet1!FJ33</f>
        <v>0.86</v>
      </c>
      <c r="FK11">
        <f>Sheet1!FK33</f>
        <v>0.84499999999999997</v>
      </c>
      <c r="FL11">
        <f>Sheet1!FL33</f>
        <v>0.84499999999999997</v>
      </c>
      <c r="FM11">
        <f>Sheet1!FM33</f>
        <v>0.84499999999999997</v>
      </c>
      <c r="FN11">
        <f>Sheet1!FN33</f>
        <v>0.84</v>
      </c>
      <c r="FO11">
        <f>Sheet1!FO33</f>
        <v>0.83</v>
      </c>
      <c r="FP11">
        <f>Sheet1!FP33</f>
        <v>0.83</v>
      </c>
      <c r="FQ11">
        <f>Sheet1!FQ33</f>
        <v>0.83</v>
      </c>
      <c r="FR11">
        <f>Sheet1!FR33</f>
        <v>0.83</v>
      </c>
      <c r="FS11">
        <f>Sheet1!FS33</f>
        <v>0.83</v>
      </c>
      <c r="FT11">
        <f>Sheet1!FT33</f>
        <v>0.83</v>
      </c>
      <c r="FU11">
        <f>Sheet1!FU33</f>
        <v>0.83</v>
      </c>
      <c r="FV11">
        <f>Sheet1!FV33</f>
        <v>0.83</v>
      </c>
      <c r="FW11">
        <f>Sheet1!FW33</f>
        <v>0.83</v>
      </c>
      <c r="FX11">
        <f>Sheet1!FX33</f>
        <v>0.83</v>
      </c>
      <c r="FY11">
        <f>Sheet1!FY33</f>
        <v>0.83</v>
      </c>
      <c r="FZ11">
        <f>Sheet1!FZ33</f>
        <v>0.83</v>
      </c>
      <c r="GA11">
        <f>Sheet1!GA33</f>
        <v>0.83</v>
      </c>
      <c r="GB11">
        <f>Sheet1!GB33</f>
        <v>0.83</v>
      </c>
      <c r="GC11">
        <f>Sheet1!GC33</f>
        <v>0.83</v>
      </c>
      <c r="GD11">
        <f>Sheet1!GD33</f>
        <v>0.83</v>
      </c>
      <c r="GE11">
        <f>Sheet1!GE33</f>
        <v>0.83</v>
      </c>
      <c r="GF11">
        <f>Sheet1!GF33</f>
        <v>0.81</v>
      </c>
    </row>
    <row r="12" spans="1:188">
      <c r="A12" t="s">
        <v>260</v>
      </c>
      <c r="DI12">
        <f>Sheet1!DI34</f>
        <v>0.80500000000000005</v>
      </c>
      <c r="DJ12">
        <f>Sheet1!DJ34</f>
        <v>0.80500000000000005</v>
      </c>
      <c r="DK12">
        <f>Sheet1!DK34</f>
        <v>0.80500000000000005</v>
      </c>
      <c r="DL12">
        <f>Sheet1!DL34</f>
        <v>0.80500000000000005</v>
      </c>
      <c r="DM12">
        <f>Sheet1!DM34</f>
        <v>0.8</v>
      </c>
      <c r="DN12">
        <f>Sheet1!DN34</f>
        <v>0.8</v>
      </c>
      <c r="DO12">
        <f>Sheet1!DO34</f>
        <v>0.8</v>
      </c>
      <c r="DP12">
        <f>Sheet1!DP34</f>
        <v>0.76</v>
      </c>
      <c r="DQ12">
        <f>Sheet1!DQ34</f>
        <v>0.76</v>
      </c>
      <c r="DR12">
        <f>Sheet1!DR34</f>
        <v>0.76</v>
      </c>
      <c r="DS12">
        <f>Sheet1!DS34</f>
        <v>0.76</v>
      </c>
      <c r="DT12">
        <f>Sheet1!DT34</f>
        <v>0.76</v>
      </c>
      <c r="DU12">
        <f>Sheet1!DU34</f>
        <v>0.76</v>
      </c>
      <c r="DV12">
        <f>Sheet1!DV34</f>
        <v>0.76</v>
      </c>
      <c r="DW12">
        <f>Sheet1!DW34</f>
        <v>0.76</v>
      </c>
      <c r="DX12">
        <f>Sheet1!DX34</f>
        <v>0.76</v>
      </c>
      <c r="DY12">
        <f>Sheet1!DY34</f>
        <v>0.76</v>
      </c>
      <c r="DZ12">
        <f>Sheet1!DZ34</f>
        <v>0.76</v>
      </c>
      <c r="EA12">
        <f>Sheet1!EA34</f>
        <v>0.76</v>
      </c>
      <c r="EB12">
        <f>Sheet1!EB34</f>
        <v>0.76</v>
      </c>
      <c r="EC12">
        <f>Sheet1!EC34</f>
        <v>0.76</v>
      </c>
      <c r="ED12">
        <f>Sheet1!ED34</f>
        <v>0.76</v>
      </c>
      <c r="EE12">
        <f>Sheet1!EE34</f>
        <v>0.76</v>
      </c>
      <c r="EF12">
        <f>Sheet1!EF34</f>
        <v>0.76</v>
      </c>
      <c r="EG12">
        <f>Sheet1!EG34</f>
        <v>0.76</v>
      </c>
      <c r="EH12">
        <f>Sheet1!EH34</f>
        <v>0.76</v>
      </c>
      <c r="EI12">
        <f>Sheet1!EI34</f>
        <v>0.76</v>
      </c>
      <c r="EJ12">
        <f>Sheet1!EJ34</f>
        <v>0.76</v>
      </c>
      <c r="EK12">
        <f>Sheet1!EK34</f>
        <v>0.76</v>
      </c>
      <c r="EL12">
        <f>Sheet1!EL34</f>
        <v>0.76</v>
      </c>
      <c r="EM12">
        <f>Sheet1!EM34</f>
        <v>0.76</v>
      </c>
      <c r="EN12">
        <f>Sheet1!EN34</f>
        <v>0.76</v>
      </c>
      <c r="EO12">
        <f>Sheet1!EO34</f>
        <v>0.76</v>
      </c>
      <c r="EP12">
        <f>Sheet1!EP34</f>
        <v>0.76</v>
      </c>
      <c r="EQ12">
        <f>Sheet1!EQ34</f>
        <v>0.76</v>
      </c>
      <c r="ER12">
        <f>Sheet1!ER34</f>
        <v>0.76</v>
      </c>
      <c r="ES12">
        <f>Sheet1!ES34</f>
        <v>0.75</v>
      </c>
      <c r="ET12">
        <f>Sheet1!ET34</f>
        <v>0.75</v>
      </c>
      <c r="EU12">
        <f>Sheet1!EU34</f>
        <v>0.75</v>
      </c>
      <c r="EV12">
        <f>Sheet1!EV34</f>
        <v>0.75</v>
      </c>
      <c r="EW12">
        <f>Sheet1!EW34</f>
        <v>0.75</v>
      </c>
      <c r="EX12">
        <f>Sheet1!EX34</f>
        <v>0.75</v>
      </c>
      <c r="EY12">
        <f>Sheet1!EY34</f>
        <v>0.75</v>
      </c>
      <c r="EZ12">
        <f>Sheet1!EZ34</f>
        <v>0.82</v>
      </c>
      <c r="FA12">
        <f>Sheet1!FA34</f>
        <v>0.82</v>
      </c>
      <c r="FB12">
        <f>Sheet1!FB34</f>
        <v>0.82</v>
      </c>
      <c r="FC12">
        <f>Sheet1!FC34</f>
        <v>0.82</v>
      </c>
      <c r="FD12">
        <f>Sheet1!FD34</f>
        <v>0.82</v>
      </c>
      <c r="FE12">
        <f>Sheet1!FE34</f>
        <v>0.82</v>
      </c>
      <c r="FF12">
        <f>Sheet1!FF34</f>
        <v>0.82</v>
      </c>
      <c r="FG12">
        <f>Sheet1!FG34</f>
        <v>0.82</v>
      </c>
      <c r="FH12">
        <f>Sheet1!FH34</f>
        <v>0.82</v>
      </c>
      <c r="FI12">
        <f>Sheet1!FI34</f>
        <v>0.82</v>
      </c>
      <c r="FJ12">
        <f>Sheet1!FJ34</f>
        <v>0.82</v>
      </c>
      <c r="FK12">
        <f>Sheet1!FK34</f>
        <v>0.79</v>
      </c>
      <c r="FL12">
        <f>Sheet1!FL34</f>
        <v>0.79</v>
      </c>
      <c r="FM12">
        <f>Sheet1!FM34</f>
        <v>0.79</v>
      </c>
      <c r="FN12">
        <f>Sheet1!FN34</f>
        <v>0.79</v>
      </c>
      <c r="FO12">
        <f>Sheet1!FO34</f>
        <v>0.79</v>
      </c>
      <c r="FP12">
        <f>Sheet1!FP34</f>
        <v>0.79</v>
      </c>
      <c r="FQ12">
        <f>Sheet1!FQ34</f>
        <v>0.79</v>
      </c>
      <c r="FR12">
        <f>Sheet1!FR34</f>
        <v>0.79</v>
      </c>
      <c r="FS12">
        <f>Sheet1!FS34</f>
        <v>0.79</v>
      </c>
      <c r="FT12">
        <f>Sheet1!FT34</f>
        <v>0.79</v>
      </c>
      <c r="FU12">
        <f>Sheet1!FU34</f>
        <v>0.79</v>
      </c>
      <c r="FV12">
        <f>Sheet1!FV34</f>
        <v>0.79</v>
      </c>
      <c r="FW12">
        <f>Sheet1!FW34</f>
        <v>0.79</v>
      </c>
      <c r="FX12">
        <f>Sheet1!FX34</f>
        <v>0.79</v>
      </c>
      <c r="FY12">
        <f>Sheet1!FY34</f>
        <v>0.79</v>
      </c>
      <c r="FZ12">
        <f>Sheet1!FZ34</f>
        <v>0.79</v>
      </c>
      <c r="GA12">
        <f>Sheet1!GA34</f>
        <v>0.79</v>
      </c>
      <c r="GB12">
        <f>Sheet1!GB34</f>
        <v>0.79</v>
      </c>
      <c r="GC12">
        <f>Sheet1!GC34</f>
        <v>0.79</v>
      </c>
      <c r="GD12">
        <f>Sheet1!GD34</f>
        <v>0.79</v>
      </c>
      <c r="GE12">
        <f>Sheet1!GE34</f>
        <v>0.79</v>
      </c>
      <c r="GF12">
        <f>Sheet1!GF34</f>
        <v>0.78</v>
      </c>
    </row>
    <row r="13" spans="1:188">
      <c r="A13" t="s">
        <v>261</v>
      </c>
      <c r="DU13">
        <f>Sheet1!DU32</f>
        <v>0.78</v>
      </c>
      <c r="DV13">
        <f>Sheet1!DV32</f>
        <v>0.78</v>
      </c>
      <c r="DW13">
        <f>Sheet1!DW32</f>
        <v>0.78</v>
      </c>
      <c r="DX13">
        <f>Sheet1!DX32</f>
        <v>0.78</v>
      </c>
      <c r="DY13">
        <f>Sheet1!DY32</f>
        <v>0.78</v>
      </c>
      <c r="DZ13">
        <f>Sheet1!DZ32</f>
        <v>0.78500000000000003</v>
      </c>
      <c r="EA13">
        <f>Sheet1!EA32</f>
        <v>0.78500000000000003</v>
      </c>
      <c r="EB13">
        <f>Sheet1!EB32</f>
        <v>0.79</v>
      </c>
      <c r="EC13">
        <f>Sheet1!EC32</f>
        <v>0.79</v>
      </c>
      <c r="ED13">
        <f>Sheet1!ED32</f>
        <v>0.79</v>
      </c>
      <c r="EE13">
        <f>Sheet1!EE32</f>
        <v>0.79</v>
      </c>
      <c r="EF13">
        <f>Sheet1!EF32</f>
        <v>0.79</v>
      </c>
      <c r="EG13">
        <f>Sheet1!EG32</f>
        <v>0.79</v>
      </c>
      <c r="EH13">
        <f>Sheet1!EH32</f>
        <v>0.79</v>
      </c>
      <c r="EI13">
        <f>Sheet1!EI32</f>
        <v>0.79</v>
      </c>
      <c r="EJ13">
        <f>Sheet1!EJ32</f>
        <v>0.79</v>
      </c>
      <c r="EK13">
        <f>Sheet1!EK32</f>
        <v>0.79</v>
      </c>
      <c r="EL13">
        <f>Sheet1!EL32</f>
        <v>0.79</v>
      </c>
      <c r="EM13">
        <f>Sheet1!EM32</f>
        <v>0.79</v>
      </c>
      <c r="EN13">
        <f>Sheet1!EN32</f>
        <v>0.79</v>
      </c>
      <c r="EO13">
        <f>Sheet1!EO32</f>
        <v>0.78500000000000003</v>
      </c>
      <c r="EP13">
        <f>Sheet1!EP32</f>
        <v>0.78500000000000003</v>
      </c>
      <c r="EQ13">
        <f>Sheet1!EQ32</f>
        <v>0.78500000000000003</v>
      </c>
      <c r="ER13">
        <f>Sheet1!ER32</f>
        <v>0.78</v>
      </c>
      <c r="ES13">
        <f>Sheet1!ES32</f>
        <v>0.78</v>
      </c>
      <c r="ET13">
        <f>Sheet1!ET32</f>
        <v>0.78</v>
      </c>
      <c r="EU13">
        <f>Sheet1!EU32</f>
        <v>0.78</v>
      </c>
      <c r="EV13">
        <f>Sheet1!EV32</f>
        <v>0.78</v>
      </c>
      <c r="EW13">
        <f>Sheet1!EW32</f>
        <v>0.78</v>
      </c>
      <c r="EX13">
        <f>Sheet1!EX32</f>
        <v>0.83</v>
      </c>
      <c r="EY13">
        <f>Sheet1!EY32</f>
        <v>0.83</v>
      </c>
      <c r="EZ13">
        <f>Sheet1!EZ32</f>
        <v>0.83</v>
      </c>
      <c r="FA13">
        <f>Sheet1!FA32</f>
        <v>0.83</v>
      </c>
      <c r="FB13">
        <f>Sheet1!FB32</f>
        <v>0.83</v>
      </c>
      <c r="FC13">
        <f>Sheet1!FC32</f>
        <v>0.9</v>
      </c>
      <c r="FD13">
        <f>Sheet1!FD32</f>
        <v>0.9</v>
      </c>
      <c r="FE13">
        <f>Sheet1!FE32</f>
        <v>0.9</v>
      </c>
      <c r="FF13">
        <f>Sheet1!FF32</f>
        <v>0.9</v>
      </c>
      <c r="FG13">
        <f>Sheet1!FG32</f>
        <v>0.88</v>
      </c>
      <c r="FH13">
        <f>Sheet1!FH32</f>
        <v>0.87</v>
      </c>
      <c r="FI13">
        <f>Sheet1!FI32</f>
        <v>0.86</v>
      </c>
      <c r="FJ13">
        <f>Sheet1!FJ32</f>
        <v>0.86</v>
      </c>
      <c r="FK13">
        <f>Sheet1!FK32</f>
        <v>0.84499999999999997</v>
      </c>
      <c r="FL13">
        <f>Sheet1!FL32</f>
        <v>0.84499999999999997</v>
      </c>
      <c r="FM13">
        <f>Sheet1!FM32</f>
        <v>0.84499999999999997</v>
      </c>
      <c r="FN13">
        <f>Sheet1!FN32</f>
        <v>0.84499999999999997</v>
      </c>
      <c r="FO13">
        <f>Sheet1!FO32</f>
        <v>0.84499999999999997</v>
      </c>
      <c r="FP13">
        <f>Sheet1!FP32</f>
        <v>0.84499999999999997</v>
      </c>
      <c r="FQ13">
        <f>Sheet1!FQ32</f>
        <v>0.84499999999999997</v>
      </c>
      <c r="FR13">
        <f>Sheet1!FR32</f>
        <v>0.83</v>
      </c>
      <c r="FS13">
        <f>Sheet1!FS32</f>
        <v>0.83</v>
      </c>
      <c r="FT13">
        <f>Sheet1!FT32</f>
        <v>0.83</v>
      </c>
      <c r="FU13">
        <f>Sheet1!FU32</f>
        <v>0.83</v>
      </c>
      <c r="FV13">
        <f>Sheet1!FV32</f>
        <v>0.83</v>
      </c>
      <c r="FW13">
        <f>Sheet1!FW32</f>
        <v>0.83</v>
      </c>
      <c r="FX13">
        <f>Sheet1!FX32</f>
        <v>0.83</v>
      </c>
      <c r="FY13">
        <f>Sheet1!FY32</f>
        <v>0.83</v>
      </c>
      <c r="FZ13">
        <f>Sheet1!FZ32</f>
        <v>0.83</v>
      </c>
      <c r="GA13">
        <f>Sheet1!GA32</f>
        <v>0.83</v>
      </c>
      <c r="GB13">
        <f>Sheet1!GB32</f>
        <v>0.83</v>
      </c>
      <c r="GC13">
        <f>Sheet1!GC32</f>
        <v>0.83</v>
      </c>
      <c r="GD13">
        <f>Sheet1!GD32</f>
        <v>0.83</v>
      </c>
      <c r="GE13">
        <f>Sheet1!GE32</f>
        <v>0.83</v>
      </c>
      <c r="GF13">
        <f>Sheet1!GF32</f>
        <v>0.83</v>
      </c>
    </row>
    <row r="14" spans="1:188">
      <c r="A14" t="s">
        <v>251</v>
      </c>
      <c r="DR14">
        <f>Sheet1!DR37</f>
        <v>0.68</v>
      </c>
      <c r="DS14">
        <f>Sheet1!DS37</f>
        <v>0.69</v>
      </c>
      <c r="DT14">
        <f>Sheet1!DT37</f>
        <v>0.69</v>
      </c>
      <c r="DU14">
        <f>Sheet1!DU33</f>
        <v>0.78</v>
      </c>
      <c r="DV14">
        <f>Sheet1!DV33</f>
        <v>0.78</v>
      </c>
      <c r="DW14">
        <f>Sheet1!DW33</f>
        <v>0.78</v>
      </c>
      <c r="DX14">
        <f>Sheet1!DX33</f>
        <v>0.78</v>
      </c>
      <c r="DY14">
        <f>Sheet1!DY33</f>
        <v>0.78</v>
      </c>
      <c r="DZ14">
        <f>Sheet1!DZ33</f>
        <v>0.79</v>
      </c>
      <c r="EA14">
        <f>Sheet1!EA33</f>
        <v>0.79</v>
      </c>
      <c r="EB14">
        <f>Sheet1!EB33</f>
        <v>0.79</v>
      </c>
      <c r="EC14">
        <f>Sheet1!EC33</f>
        <v>0.79</v>
      </c>
      <c r="ED14">
        <f>Sheet1!ED33</f>
        <v>0.79</v>
      </c>
      <c r="EE14">
        <f>Sheet1!EE33</f>
        <v>0.79</v>
      </c>
      <c r="EF14">
        <f>Sheet1!EF33</f>
        <v>0.79</v>
      </c>
      <c r="EG14">
        <f>Sheet1!EG33</f>
        <v>0.79</v>
      </c>
      <c r="EH14">
        <f>Sheet1!EH33</f>
        <v>0.79</v>
      </c>
      <c r="EI14">
        <f>Sheet1!EI33</f>
        <v>0.79</v>
      </c>
      <c r="EJ14">
        <f>Sheet1!EJ33</f>
        <v>0.79</v>
      </c>
      <c r="EK14">
        <f>Sheet1!EK33</f>
        <v>0.79</v>
      </c>
      <c r="EL14">
        <f>Sheet1!EL33</f>
        <v>0.79</v>
      </c>
      <c r="EM14">
        <f>Sheet1!EM33</f>
        <v>0.79</v>
      </c>
      <c r="EN14">
        <f>Sheet1!EN33</f>
        <v>0.79</v>
      </c>
      <c r="EO14">
        <f>Sheet1!EO33</f>
        <v>0.78</v>
      </c>
      <c r="EP14">
        <f>Sheet1!EP33</f>
        <v>0.78</v>
      </c>
      <c r="EQ14">
        <f>Sheet1!EQ33</f>
        <v>0.78</v>
      </c>
      <c r="ER14">
        <f>Sheet1!ER33</f>
        <v>0.76</v>
      </c>
      <c r="ES14">
        <f>Sheet1!ES33</f>
        <v>0.76</v>
      </c>
      <c r="ET14">
        <f>Sheet1!ET33</f>
        <v>0.76</v>
      </c>
      <c r="EU14">
        <f>Sheet1!EU33</f>
        <v>0.76</v>
      </c>
      <c r="EV14">
        <f>Sheet1!EV33</f>
        <v>0.76</v>
      </c>
      <c r="EW14">
        <f>Sheet1!EW33</f>
        <v>0.76</v>
      </c>
      <c r="EX14">
        <f>Sheet1!EX33</f>
        <v>0.83</v>
      </c>
      <c r="EY14">
        <f>Sheet1!EY33</f>
        <v>0.83</v>
      </c>
      <c r="EZ14">
        <f>Sheet1!EZ33</f>
        <v>0.83</v>
      </c>
      <c r="FA14">
        <f>Sheet1!FA33</f>
        <v>0.83</v>
      </c>
      <c r="FB14">
        <f>Sheet1!FB33</f>
        <v>0.83</v>
      </c>
      <c r="FC14">
        <f>Sheet1!FC33</f>
        <v>0.9</v>
      </c>
      <c r="FD14">
        <f>Sheet1!FD33</f>
        <v>0.9</v>
      </c>
      <c r="FE14">
        <f>Sheet1!FE33</f>
        <v>0.9</v>
      </c>
      <c r="FF14">
        <f>Sheet1!FF33</f>
        <v>0.9</v>
      </c>
      <c r="FG14">
        <f>Sheet1!FG33</f>
        <v>0.88</v>
      </c>
      <c r="FH14">
        <f>Sheet1!FH33</f>
        <v>0.875</v>
      </c>
      <c r="FI14">
        <f>Sheet1!FI33</f>
        <v>0.86</v>
      </c>
      <c r="FJ14">
        <f>Sheet1!FJ33</f>
        <v>0.86</v>
      </c>
      <c r="FK14">
        <f>Sheet1!FK33</f>
        <v>0.84499999999999997</v>
      </c>
      <c r="FL14">
        <f>Sheet1!FL33</f>
        <v>0.84499999999999997</v>
      </c>
      <c r="FM14">
        <f>Sheet1!FM33</f>
        <v>0.84499999999999997</v>
      </c>
      <c r="FN14">
        <f>Sheet1!FN33</f>
        <v>0.84</v>
      </c>
      <c r="FO14">
        <f>Sheet1!FO33</f>
        <v>0.83</v>
      </c>
      <c r="FP14">
        <f>Sheet1!FP33</f>
        <v>0.83</v>
      </c>
      <c r="FQ14">
        <f>Sheet1!FQ33</f>
        <v>0.83</v>
      </c>
      <c r="FR14">
        <f>Sheet1!FR33</f>
        <v>0.83</v>
      </c>
      <c r="FS14">
        <f>Sheet1!FS33</f>
        <v>0.83</v>
      </c>
      <c r="FT14">
        <f>Sheet1!FT33</f>
        <v>0.83</v>
      </c>
      <c r="FU14">
        <f>Sheet1!FU33</f>
        <v>0.83</v>
      </c>
      <c r="FV14">
        <f>Sheet1!FV33</f>
        <v>0.83</v>
      </c>
      <c r="FW14">
        <f>Sheet1!FW33</f>
        <v>0.83</v>
      </c>
      <c r="FX14">
        <f>Sheet1!FX33</f>
        <v>0.83</v>
      </c>
      <c r="FY14">
        <f>Sheet1!FY33</f>
        <v>0.83</v>
      </c>
      <c r="FZ14">
        <f>Sheet1!FZ33</f>
        <v>0.83</v>
      </c>
      <c r="GA14">
        <f>Sheet1!GA33</f>
        <v>0.83</v>
      </c>
      <c r="GB14">
        <f>Sheet1!GB33</f>
        <v>0.83</v>
      </c>
      <c r="GC14">
        <f>Sheet1!GC33</f>
        <v>0.83</v>
      </c>
      <c r="GD14">
        <f>Sheet1!GD33</f>
        <v>0.83</v>
      </c>
      <c r="GE14">
        <f>Sheet1!GE33</f>
        <v>0.83</v>
      </c>
      <c r="GF14">
        <f>Sheet1!GF33</f>
        <v>0.81</v>
      </c>
    </row>
    <row r="15" spans="1:188">
      <c r="A15" t="s">
        <v>229</v>
      </c>
      <c r="DU15">
        <f>Sheet1!DU34</f>
        <v>0.76</v>
      </c>
      <c r="DV15">
        <f>Sheet1!DV34</f>
        <v>0.76</v>
      </c>
      <c r="DW15">
        <f>Sheet1!DW34</f>
        <v>0.76</v>
      </c>
      <c r="DX15">
        <f>Sheet1!DX34</f>
        <v>0.76</v>
      </c>
      <c r="DY15">
        <f>Sheet1!DY34</f>
        <v>0.76</v>
      </c>
      <c r="DZ15">
        <f>Sheet1!DZ34</f>
        <v>0.76</v>
      </c>
      <c r="EA15">
        <f>Sheet1!EA34</f>
        <v>0.76</v>
      </c>
      <c r="EB15">
        <f>Sheet1!EB34</f>
        <v>0.76</v>
      </c>
      <c r="EC15">
        <f>Sheet1!EC34</f>
        <v>0.76</v>
      </c>
      <c r="ED15">
        <f>Sheet1!ED34</f>
        <v>0.76</v>
      </c>
      <c r="EE15">
        <f>Sheet1!EE34</f>
        <v>0.76</v>
      </c>
      <c r="EF15">
        <f>Sheet1!EF34</f>
        <v>0.76</v>
      </c>
      <c r="EG15">
        <f>Sheet1!EG34</f>
        <v>0.76</v>
      </c>
      <c r="EH15">
        <f>Sheet1!EH34</f>
        <v>0.76</v>
      </c>
      <c r="EI15">
        <f>Sheet1!EI34</f>
        <v>0.76</v>
      </c>
      <c r="EJ15">
        <f>Sheet1!EJ34</f>
        <v>0.76</v>
      </c>
      <c r="EK15">
        <f>Sheet1!EK34</f>
        <v>0.76</v>
      </c>
      <c r="EL15">
        <f>Sheet1!EL34</f>
        <v>0.76</v>
      </c>
      <c r="EM15">
        <f>Sheet1!EM34</f>
        <v>0.76</v>
      </c>
      <c r="EN15">
        <f>Sheet1!EN34</f>
        <v>0.76</v>
      </c>
      <c r="EO15">
        <f>Sheet1!EO34</f>
        <v>0.76</v>
      </c>
      <c r="EP15">
        <f>Sheet1!EP34</f>
        <v>0.76</v>
      </c>
      <c r="EQ15">
        <f>Sheet1!EQ34</f>
        <v>0.76</v>
      </c>
      <c r="ER15">
        <f>Sheet1!ER34</f>
        <v>0.76</v>
      </c>
      <c r="ES15">
        <f>Sheet1!ES34</f>
        <v>0.75</v>
      </c>
      <c r="ET15">
        <f>Sheet1!ET34</f>
        <v>0.75</v>
      </c>
      <c r="EU15">
        <f>Sheet1!EU34</f>
        <v>0.75</v>
      </c>
      <c r="EV15">
        <f>Sheet1!EV34</f>
        <v>0.75</v>
      </c>
      <c r="EW15">
        <f>Sheet1!EW34</f>
        <v>0.75</v>
      </c>
      <c r="EX15">
        <f>Sheet1!EX34</f>
        <v>0.75</v>
      </c>
      <c r="EY15">
        <f>Sheet1!EY34</f>
        <v>0.75</v>
      </c>
      <c r="EZ15">
        <f>Sheet1!EZ34</f>
        <v>0.82</v>
      </c>
      <c r="FA15">
        <f>Sheet1!FA34</f>
        <v>0.82</v>
      </c>
      <c r="FB15">
        <f>Sheet1!FB34</f>
        <v>0.82</v>
      </c>
      <c r="FC15">
        <f>Sheet1!FC34</f>
        <v>0.82</v>
      </c>
      <c r="FD15">
        <f>Sheet1!FD34</f>
        <v>0.82</v>
      </c>
      <c r="FE15">
        <f>Sheet1!FE34</f>
        <v>0.82</v>
      </c>
      <c r="FF15">
        <f>Sheet1!FF34</f>
        <v>0.82</v>
      </c>
      <c r="FG15">
        <f>Sheet1!FG34</f>
        <v>0.82</v>
      </c>
      <c r="FH15">
        <f>Sheet1!FH34</f>
        <v>0.82</v>
      </c>
      <c r="FI15">
        <f>Sheet1!FI34</f>
        <v>0.82</v>
      </c>
      <c r="FJ15">
        <f>Sheet1!FJ34</f>
        <v>0.82</v>
      </c>
      <c r="FK15">
        <f>Sheet1!FK34</f>
        <v>0.79</v>
      </c>
      <c r="FL15">
        <f>Sheet1!FL34</f>
        <v>0.79</v>
      </c>
      <c r="FM15">
        <f>Sheet1!FM34</f>
        <v>0.79</v>
      </c>
      <c r="FN15">
        <f>Sheet1!FN34</f>
        <v>0.79</v>
      </c>
      <c r="FO15">
        <f>Sheet1!FO34</f>
        <v>0.79</v>
      </c>
      <c r="FP15">
        <f>Sheet1!FP34</f>
        <v>0.79</v>
      </c>
      <c r="FQ15">
        <f>Sheet1!FQ34</f>
        <v>0.79</v>
      </c>
      <c r="FR15">
        <f>Sheet1!FR34</f>
        <v>0.79</v>
      </c>
      <c r="FS15">
        <f>Sheet1!FS34</f>
        <v>0.79</v>
      </c>
      <c r="FT15">
        <f>Sheet1!FT34</f>
        <v>0.79</v>
      </c>
      <c r="FU15">
        <f>Sheet1!FU34</f>
        <v>0.79</v>
      </c>
      <c r="FV15">
        <f>Sheet1!FV34</f>
        <v>0.79</v>
      </c>
      <c r="FW15">
        <f>Sheet1!FW34</f>
        <v>0.79</v>
      </c>
      <c r="FX15">
        <f>Sheet1!FX34</f>
        <v>0.79</v>
      </c>
      <c r="FY15">
        <f>Sheet1!FY34</f>
        <v>0.79</v>
      </c>
      <c r="FZ15">
        <f>Sheet1!FZ34</f>
        <v>0.79</v>
      </c>
      <c r="GA15">
        <f>Sheet1!GA34</f>
        <v>0.79</v>
      </c>
      <c r="GB15">
        <f>Sheet1!GB34</f>
        <v>0.79</v>
      </c>
      <c r="GC15">
        <f>Sheet1!GC34</f>
        <v>0.79</v>
      </c>
      <c r="GD15">
        <f>Sheet1!GD34</f>
        <v>0.79</v>
      </c>
      <c r="GE15">
        <f>Sheet1!GE34</f>
        <v>0.79</v>
      </c>
      <c r="GF15">
        <f>Sheet1!GF34</f>
        <v>0.78</v>
      </c>
    </row>
    <row r="16" spans="1:188">
      <c r="A16" t="s">
        <v>252</v>
      </c>
      <c r="DU16">
        <f>Sheet1!DU36</f>
        <v>0.68</v>
      </c>
      <c r="DV16">
        <f>Sheet1!DV36</f>
        <v>0.68</v>
      </c>
      <c r="DW16">
        <f>Sheet1!DW36</f>
        <v>0.68</v>
      </c>
      <c r="DX16">
        <f>Sheet1!DX36</f>
        <v>0.68</v>
      </c>
      <c r="DY16">
        <f>Sheet1!DY36</f>
        <v>0.68500000000000005</v>
      </c>
      <c r="DZ16">
        <f>Sheet1!DZ36</f>
        <v>0.70499999999999996</v>
      </c>
      <c r="EA16">
        <f>Sheet1!EA36</f>
        <v>0.70499999999999996</v>
      </c>
      <c r="EB16">
        <f>Sheet1!EB36</f>
        <v>0.72</v>
      </c>
      <c r="EC16">
        <f>Sheet1!EC36</f>
        <v>0.71</v>
      </c>
      <c r="ED16">
        <f>Sheet1!ED36</f>
        <v>0.71</v>
      </c>
      <c r="EE16">
        <f>Sheet1!EE36</f>
        <v>0.71</v>
      </c>
      <c r="EF16">
        <f>Sheet1!EF36</f>
        <v>0.71</v>
      </c>
      <c r="EG16">
        <f>Sheet1!EG36</f>
        <v>0.71</v>
      </c>
      <c r="EH16">
        <f>Sheet1!EH36</f>
        <v>0.7</v>
      </c>
      <c r="EI16">
        <f>Sheet1!EI36</f>
        <v>0.68</v>
      </c>
      <c r="EJ16">
        <f>Sheet1!EJ36</f>
        <v>0.67800000000000005</v>
      </c>
      <c r="EK16">
        <f>Sheet1!EK36</f>
        <v>0.67800000000000005</v>
      </c>
      <c r="EL16">
        <f>Sheet1!EL36</f>
        <v>0.66500000000000004</v>
      </c>
      <c r="EM16">
        <f>Sheet1!EM36</f>
        <v>0.66500000000000004</v>
      </c>
      <c r="EN16">
        <f>Sheet1!EN36</f>
        <v>0.66500000000000004</v>
      </c>
      <c r="EO16">
        <f>Sheet1!EO36</f>
        <v>0.66</v>
      </c>
      <c r="EP16">
        <f>Sheet1!EP36</f>
        <v>0.66</v>
      </c>
      <c r="EQ16">
        <f>Sheet1!EQ36</f>
        <v>0.66</v>
      </c>
      <c r="ER16">
        <f>Sheet1!ER36</f>
        <v>0.65500000000000003</v>
      </c>
      <c r="ES16">
        <f>Sheet1!ES36</f>
        <v>0.65500000000000003</v>
      </c>
      <c r="ET16">
        <f>Sheet1!ET36</f>
        <v>0.65500000000000003</v>
      </c>
      <c r="EU16">
        <f>Sheet1!EU36</f>
        <v>0.65500000000000003</v>
      </c>
      <c r="EV16">
        <f>Sheet1!EV36</f>
        <v>0.65500000000000003</v>
      </c>
      <c r="EW16">
        <f>Sheet1!EW36</f>
        <v>0.66</v>
      </c>
      <c r="EX16">
        <f>Sheet1!EX36</f>
        <v>0.72</v>
      </c>
      <c r="EY16">
        <f>Sheet1!EY36</f>
        <v>0.74</v>
      </c>
      <c r="EZ16">
        <f>Sheet1!EZ36</f>
        <v>0.78</v>
      </c>
      <c r="FA16">
        <f>Sheet1!FA36</f>
        <v>0.78</v>
      </c>
      <c r="FB16">
        <f>Sheet1!FB36</f>
        <v>0.78</v>
      </c>
      <c r="FC16">
        <f>Sheet1!FC36</f>
        <v>0.86</v>
      </c>
      <c r="FD16">
        <f>Sheet1!FD36</f>
        <v>0.86</v>
      </c>
      <c r="FE16">
        <f>Sheet1!FE36</f>
        <v>0.84</v>
      </c>
      <c r="FF16">
        <f>Sheet1!FF36</f>
        <v>0.79500000000000004</v>
      </c>
      <c r="FG16">
        <f>Sheet1!FG36</f>
        <v>0.79</v>
      </c>
      <c r="FH16">
        <f>Sheet1!FH36</f>
        <v>0.77</v>
      </c>
      <c r="FI16">
        <f>Sheet1!FI36</f>
        <v>0.76</v>
      </c>
      <c r="FJ16">
        <f>Sheet1!FJ36</f>
        <v>0.76</v>
      </c>
      <c r="FK16">
        <f>Sheet1!FK36</f>
        <v>0.75800000000000001</v>
      </c>
      <c r="FL16">
        <f>Sheet1!FL36</f>
        <v>0.75800000000000001</v>
      </c>
      <c r="FM16">
        <f>Sheet1!FM36</f>
        <v>0.755</v>
      </c>
      <c r="FN16">
        <f>Sheet1!FN36</f>
        <v>0.75</v>
      </c>
      <c r="FO16">
        <f>Sheet1!FO36</f>
        <v>0.75</v>
      </c>
      <c r="FP16">
        <f>Sheet1!FP36</f>
        <v>0.745</v>
      </c>
      <c r="FQ16">
        <f>Sheet1!FQ36</f>
        <v>0.745</v>
      </c>
      <c r="FR16">
        <f>Sheet1!FR36</f>
        <v>0.73</v>
      </c>
      <c r="FS16">
        <f>Sheet1!FS36</f>
        <v>0.73</v>
      </c>
      <c r="FT16">
        <f>Sheet1!FT36</f>
        <v>0.72</v>
      </c>
      <c r="FU16">
        <f>Sheet1!FU36</f>
        <v>0.71499999999999997</v>
      </c>
      <c r="FV16">
        <f>Sheet1!FV36</f>
        <v>0.71499999999999997</v>
      </c>
      <c r="FW16">
        <f>Sheet1!FW36</f>
        <v>0.71499999999999997</v>
      </c>
      <c r="FX16">
        <f>Sheet1!FX36</f>
        <v>0.71499999999999997</v>
      </c>
      <c r="FY16">
        <f>Sheet1!FY36</f>
        <v>0.71499999999999997</v>
      </c>
      <c r="FZ16">
        <f>Sheet1!FZ36</f>
        <v>0.69</v>
      </c>
      <c r="GA16">
        <f>Sheet1!GA36</f>
        <v>0.69</v>
      </c>
      <c r="GB16">
        <f>Sheet1!GB36</f>
        <v>0.69</v>
      </c>
      <c r="GC16">
        <f>Sheet1!GC36</f>
        <v>0.69</v>
      </c>
      <c r="GD16">
        <f>Sheet1!GD36</f>
        <v>0.69</v>
      </c>
      <c r="GE16">
        <f>Sheet1!GE36</f>
        <v>0.67</v>
      </c>
      <c r="GF16">
        <f>Sheet1!GF36</f>
        <v>0.67</v>
      </c>
    </row>
    <row r="17" spans="1:188">
      <c r="A17" t="s">
        <v>228</v>
      </c>
      <c r="EL17">
        <f>Sheet1!EL35</f>
        <v>0.68500000000000005</v>
      </c>
      <c r="EM17">
        <f>Sheet1!EM35</f>
        <v>0.68</v>
      </c>
      <c r="EN17">
        <f>Sheet1!EN35</f>
        <v>0.67</v>
      </c>
      <c r="EO17">
        <f>Sheet1!EO35</f>
        <v>0.67</v>
      </c>
      <c r="EP17">
        <f>Sheet1!EP35</f>
        <v>0.67</v>
      </c>
      <c r="EQ17">
        <f>Sheet1!EQ35</f>
        <v>0.67</v>
      </c>
      <c r="ER17">
        <f>Sheet1!ER35</f>
        <v>0.66</v>
      </c>
      <c r="ES17">
        <f>Sheet1!ES35</f>
        <v>0.66</v>
      </c>
      <c r="ET17">
        <f>Sheet1!ET35</f>
        <v>0.66</v>
      </c>
      <c r="EU17">
        <f>Sheet1!EU35</f>
        <v>0.66</v>
      </c>
      <c r="EV17">
        <f>Sheet1!EV35</f>
        <v>0.66</v>
      </c>
      <c r="EW17">
        <f>Sheet1!EW35</f>
        <v>0.68</v>
      </c>
      <c r="EX17">
        <f>Sheet1!EX35</f>
        <v>0.73</v>
      </c>
      <c r="EY17">
        <f>Sheet1!EY35</f>
        <v>0.79</v>
      </c>
      <c r="EZ17">
        <f>Sheet1!EZ35</f>
        <v>0.82</v>
      </c>
      <c r="FA17">
        <f>Sheet1!FA35</f>
        <v>0.82</v>
      </c>
      <c r="FB17">
        <f>Sheet1!FB35</f>
        <v>0.82</v>
      </c>
      <c r="FC17">
        <f>Sheet1!FC35</f>
        <v>0.86</v>
      </c>
      <c r="FD17">
        <f>Sheet1!FD35</f>
        <v>0.86</v>
      </c>
      <c r="FE17">
        <f>Sheet1!FE35</f>
        <v>0.86</v>
      </c>
      <c r="FF17">
        <f>Sheet1!FF35</f>
        <v>0.83</v>
      </c>
      <c r="FG17">
        <f>Sheet1!FG35</f>
        <v>0.83</v>
      </c>
      <c r="FH17">
        <f>Sheet1!FH35</f>
        <v>0.79500000000000004</v>
      </c>
      <c r="FI17">
        <f>Sheet1!FI35</f>
        <v>0.78500000000000003</v>
      </c>
      <c r="FJ17">
        <f>Sheet1!FJ35</f>
        <v>0.78500000000000003</v>
      </c>
      <c r="FK17">
        <f>Sheet1!FK35</f>
        <v>0.77500000000000002</v>
      </c>
      <c r="FL17">
        <f>Sheet1!FL35</f>
        <v>0.77500000000000002</v>
      </c>
      <c r="FM17">
        <f>Sheet1!FM35</f>
        <v>0.77500000000000002</v>
      </c>
      <c r="FN17">
        <f>Sheet1!FN35</f>
        <v>0.77200000000000002</v>
      </c>
      <c r="FO17">
        <f>Sheet1!FO35</f>
        <v>0.755</v>
      </c>
      <c r="FP17">
        <f>Sheet1!FP35</f>
        <v>0.755</v>
      </c>
      <c r="FQ17">
        <f>Sheet1!FQ35</f>
        <v>0.755</v>
      </c>
      <c r="FR17">
        <f>Sheet1!FR35</f>
        <v>0.745</v>
      </c>
      <c r="FS17">
        <f>Sheet1!FS35</f>
        <v>0.745</v>
      </c>
      <c r="FT17">
        <f>Sheet1!FT35</f>
        <v>0.74</v>
      </c>
      <c r="FU17">
        <f>Sheet1!FU35</f>
        <v>0.73</v>
      </c>
      <c r="FV17">
        <f>Sheet1!FV35</f>
        <v>0.73</v>
      </c>
      <c r="FW17">
        <f>Sheet1!FW35</f>
        <v>0.70499999999999996</v>
      </c>
      <c r="FX17">
        <f>Sheet1!FX35</f>
        <v>0.70499999999999996</v>
      </c>
      <c r="FY17">
        <f>Sheet1!FY35</f>
        <v>0.69</v>
      </c>
      <c r="FZ17">
        <f>Sheet1!FZ35</f>
        <v>0.69</v>
      </c>
      <c r="GA17">
        <f>Sheet1!GA35</f>
        <v>0.69</v>
      </c>
      <c r="GB17">
        <f>Sheet1!GB35</f>
        <v>0.69</v>
      </c>
      <c r="GC17">
        <f>Sheet1!GC35</f>
        <v>0.7</v>
      </c>
      <c r="GD17">
        <f>Sheet1!GD35</f>
        <v>0.70499999999999996</v>
      </c>
      <c r="GE17">
        <f>Sheet1!GE35</f>
        <v>0.7</v>
      </c>
      <c r="GF17">
        <f>Sheet1!GF35</f>
        <v>0.7</v>
      </c>
    </row>
  </sheetData>
  <mergeCells count="3">
    <mergeCell ref="B2:AZ2"/>
    <mergeCell ref="BA2:CW2"/>
    <mergeCell ref="CX2:DU2"/>
  </mergeCells>
  <pageMargins left="0.7" right="0.7" top="0.75" bottom="0.75" header="0.3" footer="0.3"/>
  <pageSetup paperSize="9" orientation="portrait"/>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dimension ref="A2:GF5"/>
  <sheetViews>
    <sheetView topLeftCell="EH1" zoomScale="70" zoomScaleNormal="70" workbookViewId="0">
      <selection activeCell="FI26" sqref="FI26"/>
    </sheetView>
  </sheetViews>
  <sheetFormatPr defaultColWidth="11" defaultRowHeight="15.75"/>
  <cols>
    <col min="2" max="101" width="11" hidden="1" customWidth="1"/>
  </cols>
  <sheetData>
    <row r="2" spans="1:188">
      <c r="B2" s="99">
        <v>2023</v>
      </c>
      <c r="C2" s="99"/>
      <c r="D2" s="99"/>
      <c r="E2" s="99"/>
      <c r="F2" s="99"/>
      <c r="G2" s="99"/>
      <c r="H2" s="99"/>
      <c r="I2" s="99"/>
      <c r="J2" s="99"/>
      <c r="K2" s="99"/>
      <c r="L2" s="99"/>
      <c r="M2" s="99"/>
      <c r="N2" s="99"/>
      <c r="O2" s="99"/>
      <c r="P2" s="99"/>
      <c r="Q2" s="99"/>
      <c r="R2" s="99"/>
      <c r="S2" s="99"/>
      <c r="T2" s="99"/>
      <c r="U2" s="99"/>
      <c r="V2" s="99"/>
      <c r="W2" s="99"/>
      <c r="X2" s="99"/>
      <c r="Y2" s="99"/>
      <c r="Z2" s="99"/>
      <c r="AA2" s="99"/>
      <c r="AB2" s="99"/>
      <c r="AC2" s="99"/>
      <c r="AD2" s="99"/>
      <c r="AE2" s="99"/>
      <c r="AF2" s="99"/>
      <c r="AG2" s="99"/>
      <c r="AH2" s="99"/>
      <c r="AI2" s="99"/>
      <c r="AJ2" s="99"/>
      <c r="AK2" s="99"/>
      <c r="AL2" s="99"/>
      <c r="AM2" s="99"/>
      <c r="AN2" s="99"/>
      <c r="AO2" s="99"/>
      <c r="AP2" s="99"/>
      <c r="AQ2" s="99"/>
      <c r="AR2" s="99"/>
      <c r="AS2" s="99"/>
      <c r="AT2" s="99"/>
      <c r="AU2" s="99"/>
      <c r="AV2" s="99"/>
      <c r="AW2" s="99"/>
      <c r="AX2" s="99"/>
      <c r="AY2" s="99"/>
      <c r="AZ2" s="99"/>
      <c r="BA2" s="99">
        <v>2024</v>
      </c>
      <c r="BB2" s="99"/>
      <c r="BC2" s="99"/>
      <c r="BD2" s="99"/>
      <c r="BE2" s="99"/>
      <c r="BF2" s="99"/>
      <c r="BG2" s="99"/>
      <c r="BH2" s="99"/>
      <c r="BI2" s="99"/>
      <c r="BJ2" s="99"/>
      <c r="BK2" s="99"/>
      <c r="BL2" s="99"/>
      <c r="BM2" s="99"/>
      <c r="BN2" s="99"/>
      <c r="BO2" s="99"/>
      <c r="BP2" s="99"/>
      <c r="BQ2" s="99"/>
      <c r="BR2" s="99"/>
      <c r="BS2" s="99"/>
      <c r="BT2" s="99"/>
      <c r="BU2" s="99"/>
      <c r="BV2" s="99"/>
      <c r="BW2" s="99"/>
      <c r="BX2" s="99"/>
      <c r="BY2" s="99"/>
      <c r="BZ2" s="99"/>
      <c r="CA2" s="99"/>
      <c r="CB2" s="99"/>
      <c r="CC2" s="99"/>
      <c r="CD2" s="99"/>
      <c r="CE2" s="99"/>
      <c r="CF2" s="99"/>
      <c r="CG2" s="99"/>
      <c r="CH2" s="99"/>
      <c r="CI2" s="99"/>
      <c r="CJ2" s="99"/>
      <c r="CK2" s="99"/>
      <c r="CL2" s="99"/>
      <c r="CM2" s="99"/>
      <c r="CN2" s="99"/>
      <c r="CO2" s="99"/>
      <c r="CP2" s="99"/>
      <c r="CQ2" s="99"/>
      <c r="CR2" s="99"/>
      <c r="CS2" s="99"/>
      <c r="CT2" s="99"/>
      <c r="CU2" s="99"/>
      <c r="CV2" s="99"/>
      <c r="CW2" s="99"/>
      <c r="CX2" s="99">
        <v>2025</v>
      </c>
      <c r="CY2" s="99"/>
      <c r="CZ2" s="99"/>
      <c r="DA2" s="99"/>
      <c r="DB2" s="99"/>
      <c r="DC2" s="99"/>
      <c r="DD2" s="99"/>
      <c r="DE2" s="99"/>
      <c r="DF2" s="99"/>
      <c r="DG2" s="99"/>
      <c r="DH2" s="99"/>
      <c r="DI2" s="99"/>
      <c r="DJ2" s="99"/>
      <c r="DK2" s="99"/>
      <c r="DL2" s="99"/>
      <c r="DM2" s="99"/>
      <c r="DN2" s="99"/>
      <c r="DO2" s="99"/>
      <c r="DP2" s="99"/>
      <c r="DQ2" s="99"/>
      <c r="DR2" s="99"/>
      <c r="DS2" s="99"/>
      <c r="DT2" s="99"/>
      <c r="DU2" s="99"/>
      <c r="DV2" s="99"/>
      <c r="DW2" s="99"/>
      <c r="DX2" s="99"/>
      <c r="DY2" s="99"/>
      <c r="DZ2" s="99"/>
      <c r="EA2" s="99"/>
      <c r="EB2" s="99"/>
      <c r="EC2" s="99"/>
      <c r="ED2" s="99"/>
      <c r="EE2" s="99"/>
      <c r="EF2" s="99"/>
      <c r="EG2" s="99"/>
      <c r="EH2" s="99"/>
      <c r="EI2" s="99"/>
      <c r="EJ2" s="99"/>
      <c r="EK2" s="99"/>
      <c r="EL2" s="99"/>
      <c r="EM2" s="99"/>
      <c r="EN2" s="99"/>
      <c r="EO2" s="99"/>
      <c r="EP2" s="99"/>
      <c r="EQ2" s="99"/>
      <c r="ER2" s="99"/>
      <c r="ES2" s="99"/>
      <c r="ET2" s="99"/>
      <c r="EU2" s="99"/>
      <c r="EV2" s="99"/>
      <c r="EW2">
        <v>2026</v>
      </c>
    </row>
    <row r="3" spans="1:188">
      <c r="B3" s="1">
        <v>1</v>
      </c>
      <c r="C3" s="1">
        <v>2</v>
      </c>
      <c r="D3" s="1">
        <v>3</v>
      </c>
      <c r="E3" s="1">
        <v>5</v>
      </c>
      <c r="F3" s="1">
        <v>6</v>
      </c>
      <c r="G3" s="1">
        <v>7</v>
      </c>
      <c r="H3" s="1">
        <v>8</v>
      </c>
      <c r="I3" s="1">
        <v>9</v>
      </c>
      <c r="J3" s="1">
        <v>10</v>
      </c>
      <c r="K3" s="1">
        <v>11</v>
      </c>
      <c r="L3" s="1">
        <v>12</v>
      </c>
      <c r="M3" s="1">
        <v>13</v>
      </c>
      <c r="N3" s="1">
        <v>14</v>
      </c>
      <c r="O3" s="1">
        <v>15</v>
      </c>
      <c r="P3" s="1">
        <v>16</v>
      </c>
      <c r="Q3" s="1">
        <v>17</v>
      </c>
      <c r="R3" s="1">
        <v>18</v>
      </c>
      <c r="S3" s="1">
        <v>19</v>
      </c>
      <c r="T3" s="1">
        <v>20</v>
      </c>
      <c r="U3" s="1">
        <v>21</v>
      </c>
      <c r="V3" s="1">
        <v>22</v>
      </c>
      <c r="W3" s="1">
        <v>23</v>
      </c>
      <c r="X3" s="1">
        <v>24</v>
      </c>
      <c r="Y3" s="1">
        <v>25</v>
      </c>
      <c r="Z3" s="1">
        <v>26</v>
      </c>
      <c r="AA3" s="1">
        <v>27</v>
      </c>
      <c r="AB3" s="1">
        <v>28</v>
      </c>
      <c r="AC3" s="1">
        <v>29</v>
      </c>
      <c r="AD3" s="1">
        <v>30</v>
      </c>
      <c r="AE3" s="1">
        <v>31</v>
      </c>
      <c r="AF3" s="1">
        <v>32</v>
      </c>
      <c r="AG3" s="1">
        <v>33</v>
      </c>
      <c r="AH3" s="1">
        <v>34</v>
      </c>
      <c r="AI3" s="1">
        <v>35</v>
      </c>
      <c r="AJ3" s="1">
        <v>36</v>
      </c>
      <c r="AK3" s="1">
        <v>37</v>
      </c>
      <c r="AL3" s="1">
        <v>38</v>
      </c>
      <c r="AM3" s="1">
        <v>39</v>
      </c>
      <c r="AN3" s="1">
        <v>40</v>
      </c>
      <c r="AO3" s="1">
        <v>41</v>
      </c>
      <c r="AP3" s="1">
        <v>42</v>
      </c>
      <c r="AQ3" s="1">
        <v>43</v>
      </c>
      <c r="AR3" s="1">
        <v>44</v>
      </c>
      <c r="AS3" s="1">
        <v>45</v>
      </c>
      <c r="AT3" s="1">
        <v>46</v>
      </c>
      <c r="AU3" s="1">
        <v>47</v>
      </c>
      <c r="AV3" s="1">
        <v>48</v>
      </c>
      <c r="AW3" s="1">
        <v>49</v>
      </c>
      <c r="AX3" s="1">
        <v>50</v>
      </c>
      <c r="AY3" s="1">
        <v>51</v>
      </c>
      <c r="AZ3" s="1">
        <v>52</v>
      </c>
      <c r="BA3" s="1">
        <v>1</v>
      </c>
      <c r="BB3">
        <v>2</v>
      </c>
      <c r="BC3">
        <v>3</v>
      </c>
      <c r="BD3">
        <v>4</v>
      </c>
      <c r="BE3">
        <v>5</v>
      </c>
      <c r="BF3">
        <v>6</v>
      </c>
      <c r="BG3">
        <v>8</v>
      </c>
      <c r="BH3">
        <v>9</v>
      </c>
      <c r="BI3">
        <v>10</v>
      </c>
      <c r="BJ3">
        <v>11</v>
      </c>
      <c r="BK3">
        <v>12</v>
      </c>
      <c r="BL3">
        <v>13</v>
      </c>
      <c r="BM3">
        <v>14</v>
      </c>
      <c r="BN3">
        <v>15</v>
      </c>
      <c r="BO3">
        <v>16</v>
      </c>
      <c r="BP3">
        <v>17</v>
      </c>
      <c r="BQ3">
        <v>19</v>
      </c>
      <c r="BR3">
        <v>20</v>
      </c>
      <c r="BS3">
        <v>21</v>
      </c>
      <c r="BT3">
        <v>22</v>
      </c>
      <c r="BU3">
        <v>23</v>
      </c>
      <c r="BV3">
        <v>24</v>
      </c>
      <c r="BW3">
        <v>25</v>
      </c>
      <c r="BX3">
        <v>26</v>
      </c>
      <c r="BY3">
        <v>27</v>
      </c>
      <c r="BZ3">
        <v>28</v>
      </c>
      <c r="CA3">
        <v>29</v>
      </c>
      <c r="CB3">
        <v>30</v>
      </c>
      <c r="CC3">
        <v>31</v>
      </c>
      <c r="CD3">
        <v>32</v>
      </c>
      <c r="CE3">
        <v>33</v>
      </c>
      <c r="CF3">
        <v>34</v>
      </c>
      <c r="CG3">
        <v>35</v>
      </c>
      <c r="CH3">
        <v>36</v>
      </c>
      <c r="CI3">
        <v>37</v>
      </c>
      <c r="CJ3">
        <v>38</v>
      </c>
      <c r="CK3">
        <v>39</v>
      </c>
      <c r="CL3">
        <v>41</v>
      </c>
      <c r="CM3">
        <v>42</v>
      </c>
      <c r="CN3">
        <v>43</v>
      </c>
      <c r="CO3">
        <v>44</v>
      </c>
      <c r="CP3">
        <v>45</v>
      </c>
      <c r="CQ3">
        <v>46</v>
      </c>
      <c r="CR3">
        <v>47</v>
      </c>
      <c r="CS3">
        <v>48</v>
      </c>
      <c r="CT3">
        <v>49</v>
      </c>
      <c r="CU3">
        <v>50</v>
      </c>
      <c r="CV3">
        <v>51</v>
      </c>
      <c r="CW3">
        <v>52</v>
      </c>
      <c r="CX3">
        <v>1</v>
      </c>
      <c r="CY3">
        <v>2</v>
      </c>
      <c r="CZ3">
        <v>3</v>
      </c>
      <c r="DA3">
        <v>4</v>
      </c>
      <c r="DB3">
        <v>6</v>
      </c>
      <c r="DC3">
        <v>7</v>
      </c>
      <c r="DD3">
        <v>8</v>
      </c>
      <c r="DE3">
        <v>9</v>
      </c>
      <c r="DF3">
        <v>10</v>
      </c>
      <c r="DG3">
        <v>11</v>
      </c>
      <c r="DH3">
        <v>12</v>
      </c>
      <c r="DI3">
        <v>13</v>
      </c>
      <c r="DJ3">
        <v>14</v>
      </c>
      <c r="DK3">
        <v>15</v>
      </c>
      <c r="DL3">
        <v>16</v>
      </c>
      <c r="DM3">
        <v>17</v>
      </c>
      <c r="DN3">
        <v>18</v>
      </c>
      <c r="DO3">
        <v>19</v>
      </c>
      <c r="DP3">
        <v>20</v>
      </c>
      <c r="DQ3">
        <v>21</v>
      </c>
      <c r="DR3">
        <v>22</v>
      </c>
      <c r="DS3">
        <v>23</v>
      </c>
      <c r="DT3">
        <v>24</v>
      </c>
      <c r="DU3">
        <v>25</v>
      </c>
      <c r="DV3">
        <v>26</v>
      </c>
      <c r="DW3">
        <v>27</v>
      </c>
      <c r="DX3">
        <v>28</v>
      </c>
      <c r="DY3">
        <v>29</v>
      </c>
      <c r="DZ3">
        <v>30</v>
      </c>
      <c r="EA3">
        <v>31</v>
      </c>
      <c r="EB3">
        <v>32</v>
      </c>
      <c r="EC3">
        <v>33</v>
      </c>
      <c r="ED3">
        <v>34</v>
      </c>
      <c r="EE3">
        <v>35</v>
      </c>
      <c r="EF3">
        <v>36</v>
      </c>
      <c r="EG3">
        <v>37</v>
      </c>
      <c r="EH3">
        <v>38</v>
      </c>
      <c r="EI3">
        <v>39</v>
      </c>
      <c r="EJ3">
        <v>41</v>
      </c>
      <c r="EK3">
        <v>42</v>
      </c>
      <c r="EL3">
        <v>43</v>
      </c>
      <c r="EM3">
        <v>44</v>
      </c>
      <c r="EN3">
        <v>45</v>
      </c>
      <c r="EO3">
        <v>46</v>
      </c>
      <c r="EP3">
        <v>47</v>
      </c>
      <c r="EQ3">
        <v>48</v>
      </c>
      <c r="ER3">
        <v>49</v>
      </c>
      <c r="ES3">
        <v>50</v>
      </c>
      <c r="ET3">
        <v>51</v>
      </c>
      <c r="EU3">
        <v>52</v>
      </c>
      <c r="EV3" t="s">
        <v>192</v>
      </c>
      <c r="EW3">
        <v>1</v>
      </c>
      <c r="EX3">
        <v>2</v>
      </c>
      <c r="EY3">
        <v>3</v>
      </c>
      <c r="EZ3">
        <v>4</v>
      </c>
      <c r="FA3">
        <v>5</v>
      </c>
      <c r="FB3">
        <v>6</v>
      </c>
      <c r="FC3">
        <v>8</v>
      </c>
      <c r="FD3">
        <v>9</v>
      </c>
      <c r="FE3">
        <v>10</v>
      </c>
      <c r="FF3">
        <v>11</v>
      </c>
      <c r="FG3">
        <v>12</v>
      </c>
      <c r="FH3">
        <v>13</v>
      </c>
      <c r="FI3">
        <v>14</v>
      </c>
      <c r="FJ3">
        <v>15</v>
      </c>
      <c r="FK3">
        <v>16</v>
      </c>
      <c r="FL3">
        <v>17</v>
      </c>
      <c r="FM3">
        <v>18</v>
      </c>
      <c r="FN3">
        <v>19</v>
      </c>
      <c r="FO3">
        <v>20</v>
      </c>
      <c r="FP3">
        <v>21</v>
      </c>
      <c r="FQ3">
        <v>22</v>
      </c>
      <c r="FR3">
        <v>23</v>
      </c>
      <c r="FS3">
        <v>24</v>
      </c>
      <c r="FT3">
        <v>25</v>
      </c>
      <c r="FU3">
        <v>26</v>
      </c>
      <c r="FV3">
        <v>27</v>
      </c>
      <c r="FW3">
        <v>28</v>
      </c>
      <c r="FX3">
        <v>29</v>
      </c>
      <c r="FY3">
        <v>30</v>
      </c>
      <c r="FZ3">
        <v>31</v>
      </c>
      <c r="GA3">
        <v>32</v>
      </c>
      <c r="GB3">
        <v>33</v>
      </c>
      <c r="GC3">
        <v>34</v>
      </c>
      <c r="GD3">
        <v>35</v>
      </c>
      <c r="GE3">
        <v>36</v>
      </c>
      <c r="GF3">
        <v>37</v>
      </c>
    </row>
    <row r="4" spans="1:188">
      <c r="A4" t="str">
        <f>Sheet1!A40</f>
        <v>3.2 mm</v>
      </c>
      <c r="B4">
        <v>27.5</v>
      </c>
      <c r="C4">
        <v>26.5</v>
      </c>
      <c r="D4">
        <v>26.5</v>
      </c>
      <c r="E4">
        <v>26.5</v>
      </c>
      <c r="F4">
        <v>26.5</v>
      </c>
      <c r="G4">
        <v>26.5</v>
      </c>
      <c r="H4">
        <v>26.5</v>
      </c>
      <c r="I4">
        <v>26.5</v>
      </c>
      <c r="J4">
        <v>26.5</v>
      </c>
      <c r="K4">
        <v>27</v>
      </c>
      <c r="L4">
        <v>25</v>
      </c>
      <c r="M4">
        <v>25</v>
      </c>
      <c r="N4">
        <v>25</v>
      </c>
      <c r="O4">
        <v>25</v>
      </c>
      <c r="P4">
        <v>25</v>
      </c>
      <c r="Q4">
        <v>25</v>
      </c>
      <c r="R4">
        <v>25</v>
      </c>
      <c r="S4">
        <v>25</v>
      </c>
      <c r="T4">
        <v>25</v>
      </c>
      <c r="U4">
        <v>25</v>
      </c>
      <c r="V4">
        <v>25</v>
      </c>
      <c r="W4">
        <v>25</v>
      </c>
      <c r="X4">
        <v>25</v>
      </c>
      <c r="Y4">
        <v>25</v>
      </c>
      <c r="Z4">
        <v>25</v>
      </c>
      <c r="AA4">
        <v>25</v>
      </c>
      <c r="AB4">
        <v>25</v>
      </c>
      <c r="AC4">
        <v>25</v>
      </c>
      <c r="AD4">
        <v>25</v>
      </c>
      <c r="AE4">
        <v>25.5</v>
      </c>
      <c r="AF4">
        <v>25.5</v>
      </c>
      <c r="AG4">
        <v>25.5</v>
      </c>
      <c r="AH4">
        <v>25.5</v>
      </c>
      <c r="AI4">
        <v>28</v>
      </c>
      <c r="AJ4">
        <v>28</v>
      </c>
      <c r="AK4">
        <v>28</v>
      </c>
      <c r="AL4">
        <v>28</v>
      </c>
      <c r="AM4">
        <v>28</v>
      </c>
      <c r="AN4">
        <v>28</v>
      </c>
      <c r="AO4">
        <v>28</v>
      </c>
      <c r="AP4">
        <v>28</v>
      </c>
      <c r="AQ4">
        <v>28</v>
      </c>
      <c r="AR4">
        <v>28</v>
      </c>
      <c r="AS4">
        <v>28</v>
      </c>
      <c r="AT4">
        <v>28</v>
      </c>
      <c r="AU4">
        <v>28</v>
      </c>
      <c r="AV4">
        <v>28</v>
      </c>
      <c r="AW4">
        <v>28</v>
      </c>
      <c r="AX4">
        <v>28</v>
      </c>
      <c r="AY4">
        <v>28</v>
      </c>
      <c r="AZ4">
        <f>Sheet1!AY40</f>
        <v>28</v>
      </c>
      <c r="BA4">
        <f>Sheet1!AZ40</f>
        <v>28</v>
      </c>
      <c r="BB4">
        <f>Sheet1!BA40</f>
        <v>28</v>
      </c>
      <c r="BC4">
        <f>Sheet1!BB40</f>
        <v>28</v>
      </c>
      <c r="BD4">
        <f>Sheet1!BC40</f>
        <v>28</v>
      </c>
      <c r="BE4">
        <f>Sheet1!BD40</f>
        <v>28</v>
      </c>
      <c r="BF4">
        <f>Sheet1!BE40</f>
        <v>28</v>
      </c>
      <c r="BG4">
        <f>Sheet1!BF40</f>
        <v>28</v>
      </c>
      <c r="BH4">
        <f>Sheet1!BG40</f>
        <v>28</v>
      </c>
      <c r="BI4">
        <f>Sheet1!BH40</f>
        <v>25.5</v>
      </c>
      <c r="BJ4">
        <f>Sheet1!BI40</f>
        <v>25.5</v>
      </c>
      <c r="BK4">
        <f>Sheet1!BJ40</f>
        <v>25.5</v>
      </c>
      <c r="BL4">
        <f>Sheet1!BK40</f>
        <v>25.5</v>
      </c>
      <c r="BM4">
        <f>Sheet1!BL40</f>
        <v>25.5</v>
      </c>
      <c r="BN4">
        <f>Sheet1!BM40</f>
        <v>26</v>
      </c>
      <c r="BO4">
        <f>Sheet1!BN40</f>
        <v>26</v>
      </c>
      <c r="BP4">
        <f>Sheet1!BO40</f>
        <v>26</v>
      </c>
      <c r="BQ4">
        <f>Sheet1!BP40</f>
        <v>26</v>
      </c>
      <c r="BR4">
        <f>Sheet1!BQ40</f>
        <v>26</v>
      </c>
      <c r="BS4">
        <f>Sheet1!BR40</f>
        <v>26</v>
      </c>
      <c r="BT4">
        <f>Sheet1!BS40</f>
        <v>26</v>
      </c>
      <c r="BU4">
        <f>Sheet1!BT40</f>
        <v>26</v>
      </c>
      <c r="BV4">
        <f>Sheet1!BU40</f>
        <v>26</v>
      </c>
      <c r="BW4">
        <f>Sheet1!BV40</f>
        <v>26</v>
      </c>
      <c r="BX4">
        <f>Sheet1!BW40</f>
        <v>26</v>
      </c>
      <c r="BY4">
        <f>Sheet1!BX40</f>
        <v>26</v>
      </c>
      <c r="BZ4">
        <f>Sheet1!BY40</f>
        <v>26</v>
      </c>
      <c r="CA4">
        <f>Sheet1!BZ40</f>
        <v>26</v>
      </c>
      <c r="CB4">
        <f>Sheet1!CA40</f>
        <v>25.5</v>
      </c>
      <c r="CC4">
        <f>Sheet1!CB40</f>
        <v>25.5</v>
      </c>
      <c r="CD4">
        <f>Sheet1!CC40</f>
        <v>25.5</v>
      </c>
      <c r="CE4">
        <f>Sheet1!CD40</f>
        <v>25.5</v>
      </c>
      <c r="CF4">
        <f>Sheet1!CE40</f>
        <v>25.5</v>
      </c>
      <c r="CG4">
        <f>Sheet1!CF40</f>
        <v>25.5</v>
      </c>
      <c r="CH4">
        <f>Sheet1!CG40</f>
        <v>24</v>
      </c>
      <c r="CI4">
        <f>Sheet1!CH40</f>
        <v>24</v>
      </c>
      <c r="CJ4">
        <f>Sheet1!CJ40</f>
        <v>23</v>
      </c>
      <c r="CK4">
        <f>Sheet1!CK40</f>
        <v>22</v>
      </c>
      <c r="CL4">
        <f>Sheet1!CL40</f>
        <v>22</v>
      </c>
      <c r="CM4">
        <f>Sheet1!CM40</f>
        <v>22</v>
      </c>
      <c r="CN4">
        <f>Sheet1!CN40</f>
        <v>22</v>
      </c>
      <c r="CO4">
        <f>Sheet1!CO40</f>
        <v>22</v>
      </c>
      <c r="CP4">
        <f>Sheet1!CP40</f>
        <v>22</v>
      </c>
      <c r="CQ4">
        <f>Sheet1!CQ40</f>
        <v>22</v>
      </c>
      <c r="CR4">
        <f>Sheet1!CR40</f>
        <v>22</v>
      </c>
      <c r="CS4">
        <f>Sheet1!CS40</f>
        <v>22</v>
      </c>
      <c r="CT4">
        <f>Sheet1!CT40</f>
        <v>22</v>
      </c>
      <c r="CU4">
        <f>Sheet1!CU40</f>
        <v>21.5</v>
      </c>
      <c r="CV4">
        <f>Sheet1!CV40</f>
        <v>21.5</v>
      </c>
      <c r="CW4">
        <f>Sheet1!CW40</f>
        <v>19.5</v>
      </c>
      <c r="CX4">
        <f>Sheet1!CX40</f>
        <v>19.5</v>
      </c>
      <c r="CY4">
        <f>Sheet1!CY40</f>
        <v>19.5</v>
      </c>
      <c r="CZ4">
        <f>Sheet1!CZ40</f>
        <v>19.5</v>
      </c>
      <c r="DA4">
        <f>Sheet1!DA40</f>
        <v>19.5</v>
      </c>
      <c r="DB4">
        <f>Sheet1!DB40</f>
        <v>19.5</v>
      </c>
      <c r="DC4">
        <f>Sheet1!DC40</f>
        <v>19.5</v>
      </c>
      <c r="DD4">
        <f>Sheet1!DD40</f>
        <v>19.5</v>
      </c>
      <c r="DE4">
        <f>Sheet1!DE40</f>
        <v>19.5</v>
      </c>
      <c r="DF4">
        <f>Sheet1!DF40</f>
        <v>20</v>
      </c>
      <c r="DG4">
        <f>Sheet1!DG40</f>
        <v>20</v>
      </c>
      <c r="DH4">
        <f>Sheet1!DH40</f>
        <v>20</v>
      </c>
      <c r="DI4">
        <f>Sheet1!DI40</f>
        <v>23</v>
      </c>
      <c r="DJ4">
        <f>Sheet1!DJ40</f>
        <v>23.5</v>
      </c>
      <c r="DK4">
        <f>Sheet1!DK40</f>
        <v>23.5</v>
      </c>
      <c r="DL4">
        <f>Sheet1!DL40</f>
        <v>23.5</v>
      </c>
      <c r="DM4">
        <f>Sheet1!DM40</f>
        <v>23.5</v>
      </c>
      <c r="DN4">
        <f>Sheet1!DN40</f>
        <v>23.5</v>
      </c>
      <c r="DO4">
        <f>Sheet1!DO40</f>
        <v>23.5</v>
      </c>
      <c r="DP4">
        <f>Sheet1!DP40</f>
        <v>23</v>
      </c>
      <c r="DQ4">
        <f>Sheet1!DQ40</f>
        <v>22.5</v>
      </c>
      <c r="DR4">
        <f>Sheet1!DR40</f>
        <v>22.5</v>
      </c>
      <c r="DS4">
        <f>Sheet1!DS40</f>
        <v>22.5</v>
      </c>
      <c r="DT4">
        <f>Sheet1!DT40</f>
        <v>22.5</v>
      </c>
      <c r="DU4">
        <f>Sheet1!DU40</f>
        <v>22.5</v>
      </c>
      <c r="DV4">
        <f>Sheet1!DV40</f>
        <v>20</v>
      </c>
      <c r="DW4">
        <f>Sheet1!DW40</f>
        <v>20</v>
      </c>
      <c r="DX4">
        <f>Sheet1!DX40</f>
        <v>20</v>
      </c>
      <c r="DY4">
        <f>Sheet1!DY40</f>
        <v>20</v>
      </c>
      <c r="DZ4">
        <f>Sheet1!DZ40</f>
        <v>20</v>
      </c>
      <c r="EA4">
        <f>Sheet1!EA40</f>
        <v>20</v>
      </c>
      <c r="EB4">
        <f>Sheet1!EB40</f>
        <v>20</v>
      </c>
      <c r="EC4">
        <f>Sheet1!EC40</f>
        <v>20</v>
      </c>
      <c r="ED4">
        <f>Sheet1!ED40</f>
        <v>20</v>
      </c>
      <c r="EE4">
        <f>Sheet1!EE40</f>
        <v>20</v>
      </c>
      <c r="EF4">
        <f>Sheet1!EF40</f>
        <v>20</v>
      </c>
      <c r="EG4">
        <f>Sheet1!EG40</f>
        <v>20</v>
      </c>
      <c r="EH4">
        <f>Sheet1!EH40</f>
        <v>20</v>
      </c>
      <c r="EI4">
        <f>Sheet1!EI40</f>
        <v>20</v>
      </c>
      <c r="EJ4">
        <f>Sheet1!EJ40</f>
        <v>20</v>
      </c>
      <c r="EK4">
        <f>Sheet1!EK40</f>
        <v>20</v>
      </c>
      <c r="EL4">
        <f>Sheet1!EL40</f>
        <v>20</v>
      </c>
      <c r="EM4">
        <f>Sheet1!EM40</f>
        <v>20</v>
      </c>
      <c r="EN4">
        <f>Sheet1!EN40</f>
        <v>20</v>
      </c>
      <c r="EO4">
        <f>Sheet1!EO40</f>
        <v>20</v>
      </c>
      <c r="EP4">
        <f>Sheet1!EP40</f>
        <v>20</v>
      </c>
      <c r="EQ4">
        <f>Sheet1!EQ40</f>
        <v>20</v>
      </c>
      <c r="ER4">
        <f>Sheet1!ER40</f>
        <v>20</v>
      </c>
      <c r="ES4">
        <f>Sheet1!ES40</f>
        <v>20</v>
      </c>
      <c r="ET4">
        <f>Sheet1!ET40</f>
        <v>20</v>
      </c>
      <c r="EU4">
        <f>Sheet1!EU40</f>
        <v>20</v>
      </c>
      <c r="EV4">
        <f>Sheet1!EV40</f>
        <v>20</v>
      </c>
      <c r="EW4">
        <f>Sheet1!EW40</f>
        <v>20</v>
      </c>
      <c r="EX4">
        <f>Sheet1!EX40</f>
        <v>20</v>
      </c>
      <c r="EY4">
        <f>Sheet1!EY40</f>
        <v>20</v>
      </c>
      <c r="EZ4">
        <f>Sheet1!EZ40</f>
        <v>20</v>
      </c>
      <c r="FA4">
        <f>Sheet1!FA40</f>
        <v>20</v>
      </c>
      <c r="FB4">
        <f>Sheet1!FB40</f>
        <v>20</v>
      </c>
      <c r="FC4">
        <f>Sheet1!FC40</f>
        <v>20</v>
      </c>
      <c r="FD4">
        <f>Sheet1!FD40</f>
        <v>20</v>
      </c>
      <c r="FE4">
        <f>Sheet1!FE40</f>
        <v>20</v>
      </c>
      <c r="FF4">
        <f>Sheet1!FF40</f>
        <v>19.5</v>
      </c>
      <c r="FG4">
        <f>Sheet1!FG40</f>
        <v>19.5</v>
      </c>
      <c r="FH4">
        <f>Sheet1!FH40</f>
        <v>19.5</v>
      </c>
      <c r="FI4">
        <f>Sheet1!FI40</f>
        <v>19.5</v>
      </c>
      <c r="FJ4">
        <f>Sheet1!FJ40</f>
        <v>19.5</v>
      </c>
      <c r="FK4">
        <f>Sheet1!FK40</f>
        <v>18.5</v>
      </c>
      <c r="FL4">
        <f>Sheet1!FL40</f>
        <v>18.5</v>
      </c>
      <c r="FM4">
        <f>Sheet1!FM40</f>
        <v>18.5</v>
      </c>
      <c r="FN4">
        <f>Sheet1!FN40</f>
        <v>18.5</v>
      </c>
      <c r="FO4">
        <f>Sheet1!FO40</f>
        <v>18.5</v>
      </c>
      <c r="FP4">
        <f>Sheet1!FP40</f>
        <v>18.5</v>
      </c>
      <c r="FQ4">
        <f>Sheet1!FQ40</f>
        <v>18.5</v>
      </c>
      <c r="FR4">
        <f>Sheet1!FR40</f>
        <v>18.5</v>
      </c>
      <c r="FS4">
        <f>Sheet1!FS40</f>
        <v>18.5</v>
      </c>
      <c r="FT4">
        <f>Sheet1!FT40</f>
        <v>18.5</v>
      </c>
      <c r="FU4">
        <f>Sheet1!FU40</f>
        <v>18.5</v>
      </c>
      <c r="FV4">
        <f>Sheet1!FV40</f>
        <v>18.5</v>
      </c>
      <c r="FW4">
        <f>Sheet1!FW40</f>
        <v>18.5</v>
      </c>
      <c r="FX4">
        <f>Sheet1!FX40</f>
        <v>18.5</v>
      </c>
      <c r="FY4">
        <f>Sheet1!FY40</f>
        <v>18.5</v>
      </c>
      <c r="FZ4">
        <f>Sheet1!FZ40</f>
        <v>18.5</v>
      </c>
      <c r="GA4">
        <f>Sheet1!GA40</f>
        <v>18.5</v>
      </c>
      <c r="GB4">
        <f>Sheet1!GB40</f>
        <v>18.5</v>
      </c>
      <c r="GC4">
        <f>Sheet1!GC40</f>
        <v>18.5</v>
      </c>
      <c r="GD4">
        <f>Sheet1!GD40</f>
        <v>18.5</v>
      </c>
      <c r="GE4">
        <f>Sheet1!GE40</f>
        <v>18.5</v>
      </c>
      <c r="GF4">
        <f>Sheet1!GF40</f>
        <v>18.5</v>
      </c>
    </row>
    <row r="5" spans="1:188">
      <c r="A5" t="str">
        <f>Sheet1!A41</f>
        <v>2.0 mm</v>
      </c>
      <c r="B5">
        <v>21</v>
      </c>
      <c r="C5">
        <v>20</v>
      </c>
      <c r="D5">
        <v>20</v>
      </c>
      <c r="E5">
        <v>20</v>
      </c>
      <c r="F5">
        <v>20</v>
      </c>
      <c r="G5">
        <v>20</v>
      </c>
      <c r="H5">
        <v>20</v>
      </c>
      <c r="I5">
        <v>20</v>
      </c>
      <c r="J5">
        <v>20</v>
      </c>
      <c r="K5">
        <v>20</v>
      </c>
      <c r="L5">
        <v>18.5</v>
      </c>
      <c r="M5">
        <v>18.5</v>
      </c>
      <c r="N5">
        <v>18.5</v>
      </c>
      <c r="O5">
        <v>18.5</v>
      </c>
      <c r="P5">
        <v>18.5</v>
      </c>
      <c r="Q5">
        <v>18.5</v>
      </c>
      <c r="R5">
        <v>18.5</v>
      </c>
      <c r="S5">
        <v>18.5</v>
      </c>
      <c r="T5">
        <v>18.5</v>
      </c>
      <c r="U5">
        <v>18.5</v>
      </c>
      <c r="V5">
        <v>18.5</v>
      </c>
      <c r="W5">
        <v>18.5</v>
      </c>
      <c r="X5">
        <v>18.5</v>
      </c>
      <c r="Y5">
        <v>18.5</v>
      </c>
      <c r="Z5">
        <v>18.5</v>
      </c>
      <c r="AA5">
        <v>18.5</v>
      </c>
      <c r="AB5">
        <v>18.5</v>
      </c>
      <c r="AC5">
        <v>18.5</v>
      </c>
      <c r="AD5">
        <v>18.5</v>
      </c>
      <c r="AE5">
        <v>18.5</v>
      </c>
      <c r="AF5">
        <v>18.5</v>
      </c>
      <c r="AG5">
        <v>18.5</v>
      </c>
      <c r="AH5">
        <v>18.5</v>
      </c>
      <c r="AI5">
        <v>20</v>
      </c>
      <c r="AJ5">
        <v>20</v>
      </c>
      <c r="AK5">
        <v>20</v>
      </c>
      <c r="AL5">
        <v>20</v>
      </c>
      <c r="AM5">
        <v>20</v>
      </c>
      <c r="AN5">
        <v>20</v>
      </c>
      <c r="AO5">
        <v>20</v>
      </c>
      <c r="AP5">
        <v>20</v>
      </c>
      <c r="AQ5">
        <v>20</v>
      </c>
      <c r="AR5">
        <v>20</v>
      </c>
      <c r="AS5">
        <v>20</v>
      </c>
      <c r="AT5">
        <v>20</v>
      </c>
      <c r="AU5">
        <v>20</v>
      </c>
      <c r="AV5">
        <v>20</v>
      </c>
      <c r="AW5">
        <v>20</v>
      </c>
      <c r="AX5">
        <v>20</v>
      </c>
      <c r="AY5">
        <v>20</v>
      </c>
      <c r="AZ5">
        <f>Sheet1!AY41</f>
        <v>20</v>
      </c>
      <c r="BA5">
        <f>Sheet1!AZ41</f>
        <v>20</v>
      </c>
      <c r="BB5">
        <f>Sheet1!BA41</f>
        <v>20</v>
      </c>
      <c r="BC5">
        <f>Sheet1!BB41</f>
        <v>20</v>
      </c>
      <c r="BD5">
        <f>Sheet1!BC41</f>
        <v>20</v>
      </c>
      <c r="BE5">
        <f>Sheet1!BD41</f>
        <v>20</v>
      </c>
      <c r="BF5">
        <f>Sheet1!BE41</f>
        <v>20</v>
      </c>
      <c r="BG5">
        <f>Sheet1!BF41</f>
        <v>20</v>
      </c>
      <c r="BH5">
        <f>Sheet1!BG41</f>
        <v>20</v>
      </c>
      <c r="BI5">
        <f>Sheet1!BH41</f>
        <v>16.5</v>
      </c>
      <c r="BJ5">
        <f>Sheet1!BI41</f>
        <v>16.5</v>
      </c>
      <c r="BK5">
        <f>Sheet1!BJ41</f>
        <v>16.5</v>
      </c>
      <c r="BL5">
        <f>Sheet1!BK41</f>
        <v>16.5</v>
      </c>
      <c r="BM5">
        <f>Sheet1!BL41</f>
        <v>16.5</v>
      </c>
      <c r="BN5">
        <f>Sheet1!BM41</f>
        <v>16.5</v>
      </c>
      <c r="BO5">
        <f>Sheet1!BN41</f>
        <v>16.5</v>
      </c>
      <c r="BP5">
        <f>Sheet1!BO41</f>
        <v>16.5</v>
      </c>
      <c r="BQ5">
        <f>Sheet1!BP41</f>
        <v>16.5</v>
      </c>
      <c r="BR5">
        <f>Sheet1!BQ41</f>
        <v>16.5</v>
      </c>
      <c r="BS5">
        <f>Sheet1!BR41</f>
        <v>16.5</v>
      </c>
      <c r="BT5">
        <f>Sheet1!BS41</f>
        <v>16.5</v>
      </c>
      <c r="BU5">
        <f>Sheet1!BT41</f>
        <v>16.5</v>
      </c>
      <c r="BV5">
        <f>Sheet1!BU41</f>
        <v>16.5</v>
      </c>
      <c r="BW5">
        <f>Sheet1!BV41</f>
        <v>16.5</v>
      </c>
      <c r="BX5">
        <f>Sheet1!BW41</f>
        <v>16.5</v>
      </c>
      <c r="BY5">
        <f>Sheet1!BX41</f>
        <v>16.5</v>
      </c>
      <c r="BZ5">
        <f>Sheet1!BY41</f>
        <v>16.5</v>
      </c>
      <c r="CA5">
        <f>Sheet1!BZ41</f>
        <v>16.5</v>
      </c>
      <c r="CB5">
        <f>Sheet1!CA41</f>
        <v>15.8</v>
      </c>
      <c r="CC5">
        <f>Sheet1!CB41</f>
        <v>15.8</v>
      </c>
      <c r="CD5">
        <f>Sheet1!CC41</f>
        <v>15.8</v>
      </c>
      <c r="CE5">
        <f>Sheet1!CD41</f>
        <v>15.8</v>
      </c>
      <c r="CF5">
        <f>Sheet1!CE41</f>
        <v>15.8</v>
      </c>
      <c r="CG5">
        <f>Sheet1!CF41</f>
        <v>15.8</v>
      </c>
      <c r="CH5">
        <f>Sheet1!CG41</f>
        <v>15</v>
      </c>
      <c r="CI5">
        <f>Sheet1!CH41</f>
        <v>15</v>
      </c>
      <c r="CJ5">
        <f>Sheet1!CJ41</f>
        <v>14</v>
      </c>
      <c r="CK5">
        <f>Sheet1!CK41</f>
        <v>13</v>
      </c>
      <c r="CL5">
        <f>Sheet1!CL41</f>
        <v>13</v>
      </c>
      <c r="CM5">
        <f>Sheet1!CM41</f>
        <v>13</v>
      </c>
      <c r="CN5">
        <f>Sheet1!CN41</f>
        <v>13</v>
      </c>
      <c r="CO5">
        <f>Sheet1!CO41</f>
        <v>13</v>
      </c>
      <c r="CP5">
        <f>Sheet1!CP41</f>
        <v>13</v>
      </c>
      <c r="CQ5">
        <f>Sheet1!CQ41</f>
        <v>13</v>
      </c>
      <c r="CR5">
        <f>Sheet1!CR41</f>
        <v>13</v>
      </c>
      <c r="CS5">
        <f>Sheet1!CS41</f>
        <v>13</v>
      </c>
      <c r="CT5">
        <f>Sheet1!CT41</f>
        <v>13</v>
      </c>
      <c r="CU5">
        <f>Sheet1!CU41</f>
        <v>13</v>
      </c>
      <c r="CV5">
        <f>Sheet1!CV41</f>
        <v>13</v>
      </c>
      <c r="CW5">
        <f>Sheet1!CW41</f>
        <v>12</v>
      </c>
      <c r="CX5">
        <f>Sheet1!CX41</f>
        <v>12</v>
      </c>
      <c r="CY5">
        <f>Sheet1!CY41</f>
        <v>12</v>
      </c>
      <c r="CZ5">
        <f>Sheet1!CZ41</f>
        <v>12</v>
      </c>
      <c r="DA5">
        <f>Sheet1!DA41</f>
        <v>12</v>
      </c>
      <c r="DB5">
        <f>Sheet1!DB41</f>
        <v>12</v>
      </c>
      <c r="DC5">
        <f>Sheet1!DC41</f>
        <v>12</v>
      </c>
      <c r="DD5">
        <f>Sheet1!DD41</f>
        <v>12</v>
      </c>
      <c r="DE5">
        <f>Sheet1!DE41</f>
        <v>12</v>
      </c>
      <c r="DF5">
        <f>Sheet1!DF41</f>
        <v>13</v>
      </c>
      <c r="DG5">
        <f>Sheet1!DG41</f>
        <v>13</v>
      </c>
      <c r="DH5">
        <f>Sheet1!DH41</f>
        <v>13</v>
      </c>
      <c r="DI5">
        <f>Sheet1!DI41</f>
        <v>13.5</v>
      </c>
      <c r="DJ5">
        <f>Sheet1!DJ41</f>
        <v>14</v>
      </c>
      <c r="DK5">
        <f>Sheet1!DK41</f>
        <v>14.5</v>
      </c>
      <c r="DL5">
        <f>Sheet1!DL41</f>
        <v>14.5</v>
      </c>
      <c r="DM5">
        <f>Sheet1!DM41</f>
        <v>14.5</v>
      </c>
      <c r="DN5">
        <f>Sheet1!DN41</f>
        <v>14.5</v>
      </c>
      <c r="DO5">
        <f>Sheet1!DO41</f>
        <v>14.5</v>
      </c>
      <c r="DP5">
        <f>Sheet1!DP41</f>
        <v>14.2</v>
      </c>
      <c r="DQ5">
        <f>Sheet1!DQ41</f>
        <v>14</v>
      </c>
      <c r="DR5">
        <f>Sheet1!DR41</f>
        <v>14</v>
      </c>
      <c r="DS5">
        <f>Sheet1!DS41</f>
        <v>14</v>
      </c>
      <c r="DT5">
        <f>Sheet1!DT41</f>
        <v>14</v>
      </c>
      <c r="DU5">
        <f>Sheet1!DU41</f>
        <v>14</v>
      </c>
      <c r="DV5">
        <f>Sheet1!DV41</f>
        <v>12</v>
      </c>
      <c r="DW5">
        <f>Sheet1!DW41</f>
        <v>12</v>
      </c>
      <c r="DX5">
        <f>Sheet1!DX41</f>
        <v>12</v>
      </c>
      <c r="DY5">
        <f>Sheet1!DY41</f>
        <v>12</v>
      </c>
      <c r="DZ5">
        <f>Sheet1!DZ41</f>
        <v>12</v>
      </c>
      <c r="EA5">
        <f>Sheet1!EA41</f>
        <v>12</v>
      </c>
      <c r="EB5">
        <f>Sheet1!EB41</f>
        <v>12</v>
      </c>
      <c r="EC5">
        <f>Sheet1!EC41</f>
        <v>12</v>
      </c>
      <c r="ED5">
        <f>Sheet1!ED41</f>
        <v>12</v>
      </c>
      <c r="EE5">
        <f>Sheet1!EE41</f>
        <v>14</v>
      </c>
      <c r="EF5">
        <f>Sheet1!EF41</f>
        <v>14</v>
      </c>
      <c r="EG5">
        <f>Sheet1!EG41</f>
        <v>14</v>
      </c>
      <c r="EH5">
        <f>Sheet1!EH41</f>
        <v>14</v>
      </c>
      <c r="EI5">
        <f>Sheet1!EI41</f>
        <v>14</v>
      </c>
      <c r="EJ5">
        <f>Sheet1!EJ41</f>
        <v>14</v>
      </c>
      <c r="EK5">
        <f>Sheet1!EK41</f>
        <v>14</v>
      </c>
      <c r="EL5">
        <f>Sheet1!EL41</f>
        <v>14</v>
      </c>
      <c r="EM5">
        <f>Sheet1!EM41</f>
        <v>14</v>
      </c>
      <c r="EN5">
        <f>Sheet1!EN41</f>
        <v>14</v>
      </c>
      <c r="EO5">
        <f>Sheet1!EO41</f>
        <v>14</v>
      </c>
      <c r="EP5">
        <f>Sheet1!EP41</f>
        <v>14</v>
      </c>
      <c r="EQ5">
        <f>Sheet1!EQ41</f>
        <v>14</v>
      </c>
      <c r="ER5">
        <f>Sheet1!ER41</f>
        <v>13.5</v>
      </c>
      <c r="ES5">
        <f>Sheet1!ES41</f>
        <v>13.5</v>
      </c>
      <c r="ET5">
        <f>Sheet1!ET41</f>
        <v>13.5</v>
      </c>
      <c r="EU5">
        <f>Sheet1!EU41</f>
        <v>13.5</v>
      </c>
      <c r="EV5">
        <f>Sheet1!EV41</f>
        <v>13.5</v>
      </c>
      <c r="EW5">
        <f>Sheet1!EW41</f>
        <v>13.5</v>
      </c>
      <c r="EX5">
        <f>Sheet1!EX41</f>
        <v>13.5</v>
      </c>
      <c r="EY5">
        <f>Sheet1!EY41</f>
        <v>13.5</v>
      </c>
      <c r="EZ5">
        <f>Sheet1!EZ41</f>
        <v>13.5</v>
      </c>
      <c r="FA5">
        <f>Sheet1!FA41</f>
        <v>13.5</v>
      </c>
      <c r="FB5">
        <f>Sheet1!FB41</f>
        <v>13.5</v>
      </c>
      <c r="FC5">
        <f>Sheet1!FC41</f>
        <v>13.5</v>
      </c>
      <c r="FD5">
        <f>Sheet1!FD41</f>
        <v>13.5</v>
      </c>
      <c r="FE5">
        <f>Sheet1!FE41</f>
        <v>13.5</v>
      </c>
      <c r="FF5">
        <f>Sheet1!FF41</f>
        <v>12.8</v>
      </c>
      <c r="FG5">
        <f>Sheet1!FG41</f>
        <v>12.8</v>
      </c>
      <c r="FH5">
        <f>Sheet1!FH41</f>
        <v>12.8</v>
      </c>
      <c r="FI5">
        <f>Sheet1!FI41</f>
        <v>12.8</v>
      </c>
      <c r="FJ5">
        <f>Sheet1!FJ41</f>
        <v>12.8</v>
      </c>
      <c r="FK5">
        <f>Sheet1!FK41</f>
        <v>11.5</v>
      </c>
      <c r="FL5">
        <f>Sheet1!FL41</f>
        <v>11.5</v>
      </c>
      <c r="FM5">
        <f>Sheet1!FM41</f>
        <v>11.5</v>
      </c>
      <c r="FN5">
        <f>Sheet1!FN41</f>
        <v>11.5</v>
      </c>
      <c r="FO5">
        <f>Sheet1!FO41</f>
        <v>11.5</v>
      </c>
      <c r="FP5">
        <f>Sheet1!FP41</f>
        <v>11.5</v>
      </c>
      <c r="FQ5">
        <f>Sheet1!FQ41</f>
        <v>11.5</v>
      </c>
      <c r="FR5">
        <f>Sheet1!FR41</f>
        <v>11.5</v>
      </c>
      <c r="FS5">
        <f>Sheet1!FS41</f>
        <v>11.5</v>
      </c>
      <c r="FT5">
        <f>Sheet1!FT41</f>
        <v>11.5</v>
      </c>
      <c r="FU5">
        <f>Sheet1!FU41</f>
        <v>11.5</v>
      </c>
      <c r="FV5">
        <f>Sheet1!FV41</f>
        <v>11.5</v>
      </c>
      <c r="FW5">
        <f>Sheet1!FW41</f>
        <v>11.5</v>
      </c>
      <c r="FX5">
        <f>Sheet1!FX41</f>
        <v>11.5</v>
      </c>
      <c r="FY5">
        <f>Sheet1!FY41</f>
        <v>11.5</v>
      </c>
      <c r="FZ5">
        <f>Sheet1!FZ41</f>
        <v>11.5</v>
      </c>
      <c r="GA5">
        <f>Sheet1!GA41</f>
        <v>11.5</v>
      </c>
      <c r="GB5">
        <f>Sheet1!GB41</f>
        <v>11.5</v>
      </c>
      <c r="GC5">
        <f>Sheet1!GC41</f>
        <v>11.5</v>
      </c>
      <c r="GD5">
        <f>Sheet1!GD41</f>
        <v>11.5</v>
      </c>
      <c r="GE5">
        <f>Sheet1!GE41</f>
        <v>11.5</v>
      </c>
      <c r="GF5">
        <f>Sheet1!GF41</f>
        <v>11.5</v>
      </c>
    </row>
  </sheetData>
  <mergeCells count="3">
    <mergeCell ref="B2:AZ2"/>
    <mergeCell ref="BA2:CW2"/>
    <mergeCell ref="CX2:EV2"/>
  </mergeCells>
  <pageMargins left="0.7" right="0.7" top="0.75" bottom="0.75" header="0.3" footer="0.3"/>
  <pageSetup paperSize="9" orientation="portrait"/>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d6afe526-5676-4e8e-9ce3-ffadc18b0f40">
      <Terms xmlns="http://schemas.microsoft.com/office/infopath/2007/PartnerControls"/>
    </lcf76f155ced4ddcb4097134ff3c332f>
    <TaxCatchAll xmlns="8d8c2505-b706-4cf7-beb9-394c5948201d"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E310DF09D62325419FFEDE36C6B072ED" ma:contentTypeVersion="14" ma:contentTypeDescription="Create a new document." ma:contentTypeScope="" ma:versionID="0dc08379412b4246b94216df868568e0">
  <xsd:schema xmlns:xsd="http://www.w3.org/2001/XMLSchema" xmlns:xs="http://www.w3.org/2001/XMLSchema" xmlns:p="http://schemas.microsoft.com/office/2006/metadata/properties" xmlns:ns2="d6afe526-5676-4e8e-9ce3-ffadc18b0f40" xmlns:ns3="8d8c2505-b706-4cf7-beb9-394c5948201d" targetNamespace="http://schemas.microsoft.com/office/2006/metadata/properties" ma:root="true" ma:fieldsID="7008977a88c9def8fe5a8f3f39b464ce" ns2:_="" ns3:_="">
    <xsd:import namespace="d6afe526-5676-4e8e-9ce3-ffadc18b0f40"/>
    <xsd:import namespace="8d8c2505-b706-4cf7-beb9-394c5948201d"/>
    <xsd:element name="properties">
      <xsd:complexType>
        <xsd:sequence>
          <xsd:element name="documentManagement">
            <xsd:complexType>
              <xsd:all>
                <xsd:element ref="ns2:lcf76f155ced4ddcb4097134ff3c332f" minOccurs="0"/>
                <xsd:element ref="ns3:TaxCatchAll" minOccurs="0"/>
                <xsd:element ref="ns2:MediaServiceMetadata" minOccurs="0"/>
                <xsd:element ref="ns2:MediaServiceFastMetadata" minOccurs="0"/>
                <xsd:element ref="ns2:MediaServiceObjectDetectorVersions" minOccurs="0"/>
                <xsd:element ref="ns2:MediaServiceOCR" minOccurs="0"/>
                <xsd:element ref="ns2:MediaServiceGenerationTime" minOccurs="0"/>
                <xsd:element ref="ns2:MediaServiceEventHashCode" minOccurs="0"/>
                <xsd:element ref="ns2:MediaLengthInSeconds" minOccurs="0"/>
                <xsd:element ref="ns3:SharedWithUsers" minOccurs="0"/>
                <xsd:element ref="ns3:SharedWithDetails" minOccurs="0"/>
                <xsd:element ref="ns2:MediaServiceDateTaken"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6afe526-5676-4e8e-9ce3-ffadc18b0f40" elementFormDefault="qualified">
    <xsd:import namespace="http://schemas.microsoft.com/office/2006/documentManagement/types"/>
    <xsd:import namespace="http://schemas.microsoft.com/office/infopath/2007/PartnerControls"/>
    <xsd:element name="lcf76f155ced4ddcb4097134ff3c332f" ma:index="9" nillable="true" ma:taxonomy="true" ma:internalName="lcf76f155ced4ddcb4097134ff3c332f" ma:taxonomyFieldName="MediaServiceImageTags" ma:displayName="Image Tags" ma:readOnly="false" ma:fieldId="{5cf76f15-5ced-4ddc-b409-7134ff3c332f}" ma:taxonomyMulti="true" ma:sspId="ad9446a6-8486-4162-95d0-761464952115" ma:termSetId="09814cd3-568e-fe90-9814-8d621ff8fb84" ma:anchorId="fba54fb3-c3e1-fe81-a776-ca4b69148c4d" ma:open="true" ma:isKeyword="false">
      <xsd:complexType>
        <xsd:sequence>
          <xsd:element ref="pc:Terms" minOccurs="0" maxOccurs="1"/>
        </xsd:sequence>
      </xsd:complex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8d8c2505-b706-4cf7-beb9-394c5948201d" elementFormDefault="qualified">
    <xsd:import namespace="http://schemas.microsoft.com/office/2006/documentManagement/types"/>
    <xsd:import namespace="http://schemas.microsoft.com/office/infopath/2007/PartnerControls"/>
    <xsd:element name="TaxCatchAll" ma:index="10" nillable="true" ma:displayName="Taxonomy Catch All Column" ma:hidden="true" ma:list="{ce5085ee-65c5-413f-9f3c-53501522a76c}" ma:internalName="TaxCatchAll" ma:showField="CatchAllData" ma:web="8d8c2505-b706-4cf7-beb9-394c5948201d">
      <xsd:complexType>
        <xsd:complexContent>
          <xsd:extension base="dms:MultiChoiceLookup">
            <xsd:sequence>
              <xsd:element name="Value" type="dms:Lookup" maxOccurs="unbounded" minOccurs="0" nillable="true"/>
            </xsd:sequence>
          </xsd:extension>
        </xsd:complexContent>
      </xsd:complexType>
    </xsd:element>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1E77259-4808-49F8-981E-4EA3716EB4FE}"/>
</file>

<file path=customXml/itemProps2.xml><?xml version="1.0" encoding="utf-8"?>
<ds:datastoreItem xmlns:ds="http://schemas.openxmlformats.org/officeDocument/2006/customXml" ds:itemID="{7F7E7D9B-41BB-4BF7-80A4-4BEC971A5F26}"/>
</file>

<file path=customXml/itemProps3.xml><?xml version="1.0" encoding="utf-8"?>
<ds:datastoreItem xmlns:ds="http://schemas.openxmlformats.org/officeDocument/2006/customXml" ds:itemID="{00D388FC-F43D-42CC-9219-1A01A1C19D71}"/>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Microsoft Office User</dc:creator>
  <cp:keywords/>
  <dc:description/>
  <cp:lastModifiedBy/>
  <cp:revision/>
  <dcterms:created xsi:type="dcterms:W3CDTF">2023-06-08T04:00:00Z</dcterms:created>
  <dcterms:modified xsi:type="dcterms:W3CDTF">2026-09-22T10:40:01Z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3CFE95A362874ED6B8B728FE13E772AC_13</vt:lpwstr>
  </property>
  <property fmtid="{D5CDD505-2E9C-101B-9397-08002B2CF9AE}" pid="3" name="KSOProductBuildVer">
    <vt:lpwstr>2052-12.1.0.28505</vt:lpwstr>
  </property>
  <property fmtid="{D5CDD505-2E9C-101B-9397-08002B2CF9AE}" pid="4" name="CalculationRule">
    <vt:i4>0</vt:i4>
  </property>
  <property fmtid="{D5CDD505-2E9C-101B-9397-08002B2CF9AE}" pid="5" name="ContentTypeId">
    <vt:lpwstr>0x010100E310DF09D62325419FFEDE36C6B072ED</vt:lpwstr>
  </property>
</Properties>
</file>